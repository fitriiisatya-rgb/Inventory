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1075" windowHeight="10035"/>
  </bookViews>
  <sheets>
    <sheet name="FCKT" sheetId="1" r:id="rId1"/>
  </sheets>
  <externalReferences>
    <externalReference r:id="rId2"/>
  </externalReferences>
  <definedNames>
    <definedName name="_xlnm._FilterDatabase" localSheetId="0" hidden="1">FCKT!$A$6:$H$249</definedName>
  </definedNames>
  <calcPr calcId="144525"/>
</workbook>
</file>

<file path=xl/calcChain.xml><?xml version="1.0" encoding="utf-8"?>
<calcChain xmlns="http://schemas.openxmlformats.org/spreadsheetml/2006/main">
  <c r="H386" i="1" l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5" i="1"/>
  <c r="A4" i="1"/>
</calcChain>
</file>

<file path=xl/sharedStrings.xml><?xml version="1.0" encoding="utf-8"?>
<sst xmlns="http://schemas.openxmlformats.org/spreadsheetml/2006/main" count="771" uniqueCount="411">
  <si>
    <t xml:space="preserve"> </t>
  </si>
  <si>
    <t>SO Nominal Gudang Kecil</t>
  </si>
  <si>
    <t>Area : Pabrik Karang Tengah</t>
  </si>
  <si>
    <t>NO</t>
  </si>
  <si>
    <t>ITEM</t>
  </si>
  <si>
    <t>kode barang</t>
  </si>
  <si>
    <t>UoM</t>
  </si>
  <si>
    <t>HARGA</t>
  </si>
  <si>
    <t>Stock Akhir Produksi</t>
  </si>
  <si>
    <t>Stock Akhir Gudang</t>
  </si>
  <si>
    <t xml:space="preserve">Jumlah </t>
  </si>
  <si>
    <t>CH-12 @1X3000PCS</t>
  </si>
  <si>
    <t>pcs</t>
  </si>
  <si>
    <t>DUS BF ULTAH 22X22</t>
  </si>
  <si>
    <t>Pcs</t>
  </si>
  <si>
    <t>DUS BF ULTAH 28X28</t>
  </si>
  <si>
    <t>DUS MOCHI COKELAT SPESIAL</t>
  </si>
  <si>
    <t>DUS MOCHI GREENTEA SPESIAL</t>
  </si>
  <si>
    <t>DUS MOCHI OREO SPESIAL</t>
  </si>
  <si>
    <t>DUS MOCHI WIJEN SPESIAL</t>
  </si>
  <si>
    <t>KERANJANG MOCHI</t>
  </si>
  <si>
    <t>LABEL MOCHI BLUEBERRY @1X500PCS</t>
  </si>
  <si>
    <t>LABEL MOCHI COKLAT @1X500PCS</t>
  </si>
  <si>
    <t>LABEL MOCHI DURIAN @1X500PCS</t>
  </si>
  <si>
    <t>LABEL MOCHI MOCCA @1X500PCS</t>
  </si>
  <si>
    <t>LABEL MOCHI STRAWBERRY @1X500PCS</t>
  </si>
  <si>
    <t>MIKA BROWNIES S PUTIH</t>
  </si>
  <si>
    <t>PAPERCASE 3051 DARK GREEN (MUFFIN)@50 PAK</t>
  </si>
  <si>
    <t>PAPERCASE 3312 Hexa-N18 (MOULTEN) @100</t>
  </si>
  <si>
    <t>STICKER BUNGA BOLU AMOR</t>
  </si>
  <si>
    <t>Sticker Milkbun</t>
  </si>
  <si>
    <t>TATAKAN COKLAT KOTAK 22X22</t>
  </si>
  <si>
    <t>PAPER CASE 3017 BULAT @200</t>
  </si>
  <si>
    <t xml:space="preserve">TELUR </t>
  </si>
  <si>
    <t>kg</t>
  </si>
  <si>
    <t>PASTA STRAWBERRY CAP KUPU-KUPU</t>
  </si>
  <si>
    <t>RICH WHIP TOPPING GOLD LABEL</t>
  </si>
  <si>
    <t>SP SPONGE CAKE COKLAT</t>
  </si>
  <si>
    <t>PISANG RAJA MATANG</t>
  </si>
  <si>
    <t>TATAKAN 22X22 KOTAK</t>
  </si>
  <si>
    <t>PREMIX GULA SPONGE CAKE COKLAT</t>
  </si>
  <si>
    <t>PREMIX GULA SPONGE CAKE VANILA</t>
  </si>
  <si>
    <t>SP SPONGE CAKE VANILA</t>
  </si>
  <si>
    <t>PREMIX SCM SPONGE CAKE VANILA</t>
  </si>
  <si>
    <t>PREMIX SCM SPONGE CAKE COKLAT</t>
  </si>
  <si>
    <t xml:space="preserve">TRANS WHIPPING CREAM - GOLD </t>
  </si>
  <si>
    <t>Kg</t>
  </si>
  <si>
    <t>CHERRY WILMOND @ 2KG</t>
  </si>
  <si>
    <t>PREMIX GULA ROTI TAWAR</t>
  </si>
  <si>
    <t>MIKA CT 15 @150 pcs</t>
  </si>
  <si>
    <t>PREMIX SCM ROTI TAWAR</t>
  </si>
  <si>
    <t>VANILA ESSENS</t>
  </si>
  <si>
    <t>LABEL MOCHI PANDAN SUJI @1X500PCS</t>
  </si>
  <si>
    <t>MERCOLADE DARK PREMIUM @4X5KG</t>
  </si>
  <si>
    <t>KERTAS ROTI BURAM</t>
  </si>
  <si>
    <t>SUSU UHT FULL CREAM DIAMOND @ 12 X 1 L</t>
  </si>
  <si>
    <t>liter</t>
  </si>
  <si>
    <t>STICKER NAYLA @1PCS</t>
  </si>
  <si>
    <t>SPIKEL</t>
  </si>
  <si>
    <t>PALMIA SUPERCAKE @1X15KG</t>
  </si>
  <si>
    <t>LEPATTA STRAWBERRY @1X10KG</t>
  </si>
  <si>
    <t>Dancow instant 1kg</t>
  </si>
  <si>
    <t>WILTON BLACKFOREST @1LITER</t>
  </si>
  <si>
    <t>SARUNG TANGAN KAIN</t>
  </si>
  <si>
    <t>PASTA MOCCA CAP KUPU-KUPU @6x12x60ml</t>
  </si>
  <si>
    <t>PLASTIK SEGITIGA BESAR</t>
  </si>
  <si>
    <t>Pack</t>
  </si>
  <si>
    <t>PREMIX SCM MILKBATH</t>
  </si>
  <si>
    <t>PREMIX GULA MILKBATH</t>
  </si>
  <si>
    <t>SP MILKBATH</t>
  </si>
  <si>
    <t>PREMIX SCM MOULTEN</t>
  </si>
  <si>
    <t xml:space="preserve">MC LEWIS TOMATO A004 5.7KG </t>
  </si>
  <si>
    <t>Dancow coklat 1kg</t>
  </si>
  <si>
    <t>Abon Sapi Piala @4x1kg</t>
  </si>
  <si>
    <t>TEGRAL DONAT PRIME @ 10KG</t>
  </si>
  <si>
    <t>BISKUIT RODEO</t>
  </si>
  <si>
    <t>PALMIA BOS @1X15KG</t>
  </si>
  <si>
    <t>MADUSARI SMOKED BEEF</t>
  </si>
  <si>
    <t>KG</t>
  </si>
  <si>
    <t>jamur kaleng</t>
  </si>
  <si>
    <t>PREMIX GULA MOCHI</t>
  </si>
  <si>
    <t>PREMIX SCM MOCHI</t>
  </si>
  <si>
    <t xml:space="preserve">Zee Strawberry </t>
  </si>
  <si>
    <t>gram</t>
  </si>
  <si>
    <t>LEPATTA BLUEBERRY @1X10KG</t>
  </si>
  <si>
    <t xml:space="preserve">SP CAIR MILKBATH </t>
  </si>
  <si>
    <t>Biskuit marie</t>
  </si>
  <si>
    <t>Chefmate paste @4x5kg</t>
  </si>
  <si>
    <t>BLACK COOCKIE CRUMB @5 KG</t>
  </si>
  <si>
    <t>CHEFMATE STICK DARK @8X1KG</t>
  </si>
  <si>
    <t>TATAKAN 28X28 KOTAK</t>
  </si>
  <si>
    <t>Chessy Process Cream Cheese @1.9Kg</t>
  </si>
  <si>
    <t>STICKER BOLU AMOR OVAL @43PCS</t>
  </si>
  <si>
    <t>HAAN WIPY CREAM</t>
  </si>
  <si>
    <t>Gr</t>
  </si>
  <si>
    <t>PREMIX SCM CHOCOROLL</t>
  </si>
  <si>
    <t>PREMIX GULA CHOCOROLL</t>
  </si>
  <si>
    <t>PREMIX SCM JAPPANESE CAKE</t>
  </si>
  <si>
    <t xml:space="preserve">MC LEWIS CHILI A004 5.5KG </t>
  </si>
  <si>
    <t>paprika merah</t>
  </si>
  <si>
    <t>paprika hijau</t>
  </si>
  <si>
    <t>abon ayam pedas</t>
  </si>
  <si>
    <t>selai kacang tanah</t>
  </si>
  <si>
    <t>MALINDA BAKERFAT @1X15KG</t>
  </si>
  <si>
    <t>DUSTING DONAT @1X5KG</t>
  </si>
  <si>
    <t>HOLLMAN SOFT @ 15 KG</t>
  </si>
  <si>
    <t>PASTRICIA ICING SUGAR  @1X10KG</t>
  </si>
  <si>
    <t>CHEFMATE GLAZE COKLAT 2X5KG</t>
  </si>
  <si>
    <t>MAURIPAN 20x500gr</t>
  </si>
  <si>
    <t>WIJEN PUTIH @1kg</t>
  </si>
  <si>
    <t>COLLATA CHOCO CHIPS</t>
  </si>
  <si>
    <t>MIKA BG 24</t>
  </si>
  <si>
    <t>Set</t>
  </si>
  <si>
    <t>WINCHEEZ FILLING @8X1KG</t>
  </si>
  <si>
    <t>GULA CAIR RB. HFS 55% @1X30 KG</t>
  </si>
  <si>
    <t xml:space="preserve">GOLDEN BROWN REDVELVET </t>
  </si>
  <si>
    <t>MINYAK</t>
  </si>
  <si>
    <t>HAND GLOVE PLASTIK</t>
  </si>
  <si>
    <t>PM (S) STRECH FILM 45CM @6ROLL</t>
  </si>
  <si>
    <t>POLIBAG</t>
  </si>
  <si>
    <t>MIKA OVAL JAPANESE CAKE @300 SET</t>
  </si>
  <si>
    <t>PALMIA DEE FRYING FAT @1X15KG</t>
  </si>
  <si>
    <t>PREMIX SCM AMERICAN BROWNIES</t>
  </si>
  <si>
    <t>GAS 12 KG SUKABUMI</t>
  </si>
  <si>
    <t>ALUMUNIUM FOIL</t>
  </si>
  <si>
    <t>Roll</t>
  </si>
  <si>
    <t>Creamfill Vanila 5kg</t>
  </si>
  <si>
    <t>KELAPA KERING</t>
  </si>
  <si>
    <t>ALMONESIA</t>
  </si>
  <si>
    <t>Chefmate Glaze 5Kg Pail Vanila Caramel</t>
  </si>
  <si>
    <t>KEJU WINCHEEZ @8X2KG</t>
  </si>
  <si>
    <t>MAESTRO STD PORCH @10X1KG</t>
  </si>
  <si>
    <t>FOND TIRAMISU @1X5KG</t>
  </si>
  <si>
    <t>FILMA PUFF PASTRY@ 12 X 1 KG</t>
  </si>
  <si>
    <t>ANGGUR</t>
  </si>
  <si>
    <t>SELAI KACANG HIJAU YUAI</t>
  </si>
  <si>
    <t>PASTA PANDAN CAP KUPU-KUPU @6x12x60ml</t>
  </si>
  <si>
    <t>GARAM</t>
  </si>
  <si>
    <t>CHEFMATE GLAZE 5KG PAIL TIRAMISU</t>
  </si>
  <si>
    <t>Terigu Stupa Hijau @25Kg</t>
  </si>
  <si>
    <t>CHEFMATE GLAZE GREENTEA 2X5KG</t>
  </si>
  <si>
    <t>ELMER GLAZE AVOCADO @2X5KG</t>
  </si>
  <si>
    <t>Melon</t>
  </si>
  <si>
    <t>SUSU KENTAL MANIS TIGA SAPI @48X500 ML</t>
  </si>
  <si>
    <t>jar</t>
  </si>
  <si>
    <t>oregano</t>
  </si>
  <si>
    <t>MADUSARI SOSIS @25x1000GR</t>
  </si>
  <si>
    <t>HAND GLOVE NITRILE SENSI</t>
  </si>
  <si>
    <t>MEISES HOLLAND MERAH 12.5 KG</t>
  </si>
  <si>
    <t>COKLAT FILLING FILOKU @4X5KG</t>
  </si>
  <si>
    <t>MERCOLADE WHITE @4X5KG</t>
  </si>
  <si>
    <t>ELMER GLAZE TARO @2X5KG</t>
  </si>
  <si>
    <t>bawang daun</t>
  </si>
  <si>
    <t>Kacang cincang @1kg x 10</t>
  </si>
  <si>
    <t>MANDARIN ORANGE WILMOND</t>
  </si>
  <si>
    <t>MAGLAM PASTA TIRAMISU @1KG</t>
  </si>
  <si>
    <t xml:space="preserve">TEPUNG PANIR </t>
  </si>
  <si>
    <t>MAMA LEMON 680 ML</t>
  </si>
  <si>
    <t>LEPATTA REALFRUIT DURIAN @1X8KG</t>
  </si>
  <si>
    <t>SUSU F&amp;N</t>
  </si>
  <si>
    <t>Maizena Cornstrach 25kg</t>
  </si>
  <si>
    <t>MIKA BROWNIES BAKAR @200 SET</t>
  </si>
  <si>
    <t>SOSIS AYAM @1 KG</t>
  </si>
  <si>
    <t>TATAKAN AMOR 22X22 KOTAK</t>
  </si>
  <si>
    <t xml:space="preserve">TRANS WHIPPING CREAM - SILVER </t>
  </si>
  <si>
    <t>PERFAIT SUPER SOFT @10X500GR</t>
  </si>
  <si>
    <t>PREMIX GULA ROTI MANIS</t>
  </si>
  <si>
    <t>PREMIX SCM ROTI MANIS</t>
  </si>
  <si>
    <t>Goldfill Strawberry 5Kg</t>
  </si>
  <si>
    <t>ABON AYAM</t>
  </si>
  <si>
    <t>CHOPPED PEANUT @8X1KG</t>
  </si>
  <si>
    <t>CHEFMATE GLAZE 5KG PAIL STRAWBERRY</t>
  </si>
  <si>
    <t>TEPUNG KANJI GUNUNG @1X25KG</t>
  </si>
  <si>
    <t>PREMIX SCM VLA SUS</t>
  </si>
  <si>
    <t>PREMIX SCM SUS</t>
  </si>
  <si>
    <t>PREMIX GULA SUS</t>
  </si>
  <si>
    <t>TEPUNG MUFFIN COKELAT @1X10KG</t>
  </si>
  <si>
    <t>TEPUNG MUFFIN VANILA @1X10KG</t>
  </si>
  <si>
    <t>PAPPER CUP MILKBATH 360ML</t>
  </si>
  <si>
    <t xml:space="preserve">PLASTIK OPP 15X25 </t>
  </si>
  <si>
    <t>PREMIX GULA BOLLEN</t>
  </si>
  <si>
    <t>Bumbu kare indofood</t>
  </si>
  <si>
    <t>COOKING CREAM ANCHOR @ 1 LITER</t>
  </si>
  <si>
    <t>ml</t>
  </si>
  <si>
    <t>TEPUNG TAPIOKA</t>
  </si>
  <si>
    <t>PASTA TOFIECO BLUEBERRY</t>
  </si>
  <si>
    <t>kG</t>
  </si>
  <si>
    <t>PASTA DURIAN REDBELL</t>
  </si>
  <si>
    <t>Ml</t>
  </si>
  <si>
    <t>PASTA COKLAT KUPU-KUPU  60ML</t>
  </si>
  <si>
    <t>BAWANG MERAH @ 1 KG</t>
  </si>
  <si>
    <t>BAWANG PUTIH @ 1 KG</t>
  </si>
  <si>
    <t>CABE RAWIT</t>
  </si>
  <si>
    <t>PREMIX SCM ROTI TAWAR EKONOMIS</t>
  </si>
  <si>
    <t>MC LEWIS MAYO LPPouch 1KG</t>
  </si>
  <si>
    <t>CHEESY MOZARELLA @4x2,3 kg</t>
  </si>
  <si>
    <t>MERCOLADE VIOLET BLUEBERRY @12X1KG</t>
  </si>
  <si>
    <t>MERCOLADE LEMON FRESH @12X1KG</t>
  </si>
  <si>
    <t>MERCOLADE PINK STRAWBERRY @12X1KG</t>
  </si>
  <si>
    <t>PAPER CASE 3018 (OVAL) @200</t>
  </si>
  <si>
    <t>PREMIX COKLAT BUBUK</t>
  </si>
  <si>
    <t>GREENTEA MACCA POWDER @1X500GRAM</t>
  </si>
  <si>
    <t>premix stupa hijau</t>
  </si>
  <si>
    <t>PREMIX SCM DANISH COKLAT BELEPOTAN</t>
  </si>
  <si>
    <t>gula pasir kiloan</t>
  </si>
  <si>
    <t>MERCOLADE TIRAMISU @12X1KG</t>
  </si>
  <si>
    <t>ITALIAN CHOCO POWDER @1X500GRAM</t>
  </si>
  <si>
    <t>REDVELVET POWDER @1X500GRAM</t>
  </si>
  <si>
    <t>TARO POWDER @1X500GRAM</t>
  </si>
  <si>
    <t xml:space="preserve">Selai Nanas </t>
  </si>
  <si>
    <t>DUS BOLLEN ALL VARIAN</t>
  </si>
  <si>
    <t>GREENTEA POWDER</t>
  </si>
  <si>
    <t>KOPI INDOCOFFEE MIX</t>
  </si>
  <si>
    <t>Pasta Greentea Toefico</t>
  </si>
  <si>
    <t>STRAWBERRY</t>
  </si>
  <si>
    <t>CRYSTAL JELLY @5KG</t>
  </si>
  <si>
    <t>PREMIX SCM BOLLEN</t>
  </si>
  <si>
    <t>Gula halus claris merah 4kg</t>
  </si>
  <si>
    <t>Madu</t>
  </si>
  <si>
    <t xml:space="preserve">JUMBO ROLL TISSUE </t>
  </si>
  <si>
    <t>ALAS SEGITIGA EMAS KECIL</t>
  </si>
  <si>
    <t>ALAS KOTAK EMAS KECIL</t>
  </si>
  <si>
    <t>cup bento cake</t>
  </si>
  <si>
    <t>L'AGIE CHIC CHOC</t>
  </si>
  <si>
    <t>GELATIN @1KG</t>
  </si>
  <si>
    <t>SENDOK MILKBATH</t>
  </si>
  <si>
    <t>SENDOK MILKBUN</t>
  </si>
  <si>
    <t>terigu segitiga biru 25kg</t>
  </si>
  <si>
    <t>MERCOLADE ORANGE SUNKIST @12X1KG</t>
  </si>
  <si>
    <t>GULA HALUS CLARIS ORANGE</t>
  </si>
  <si>
    <t>Gram</t>
  </si>
  <si>
    <t>MARGARIN DELILEN @15 KG</t>
  </si>
  <si>
    <t>SUSU BUBUK F-04 @ 10 KG</t>
  </si>
  <si>
    <t xml:space="preserve">PREMIX BAKING POWDER </t>
  </si>
  <si>
    <t>FOUNDAN BAKEL</t>
  </si>
  <si>
    <t>BUTTER WYSMAN</t>
  </si>
  <si>
    <t>KEJU PARMESAN ANCHOR @ 1 KG</t>
  </si>
  <si>
    <t>PLAZA GULA HALUS @500 GR</t>
  </si>
  <si>
    <t xml:space="preserve">TEPUNG SAGU </t>
  </si>
  <si>
    <t>MERCOLADE BISCOA SPREAD@5KG</t>
  </si>
  <si>
    <t>SELAI NASTAR</t>
  </si>
  <si>
    <t>ALAS BULAT EMAS KECIL</t>
  </si>
  <si>
    <t>premix maizena</t>
  </si>
  <si>
    <t>AYAM FILLET</t>
  </si>
  <si>
    <t>PREMIX GULA ROTI TAWAR EKONOMIS</t>
  </si>
  <si>
    <t>KISMIS LION SUNRAISIN</t>
  </si>
  <si>
    <t>TEPUNG KETAN ROSEBRAND @20X500GR</t>
  </si>
  <si>
    <t>DISHWASH 5LITER</t>
  </si>
  <si>
    <t>PITA MERAH</t>
  </si>
  <si>
    <t>BUN FALLING - RED BEAN @1KG</t>
  </si>
  <si>
    <t>BUN FALLING - PANDAN @1KG</t>
  </si>
  <si>
    <t>LADA BUBUK</t>
  </si>
  <si>
    <t>SUNQUICK MANGO 650ML @6PAIL</t>
  </si>
  <si>
    <t>pail</t>
  </si>
  <si>
    <t>PLASTIK ROTI TAWAR HD VOL 22</t>
  </si>
  <si>
    <t>PLASTIK ROTI TAWAR vol 11</t>
  </si>
  <si>
    <t>PISAU KUE PLASTIK BESAR</t>
  </si>
  <si>
    <t>Lilin Spiral @1x12 batang</t>
  </si>
  <si>
    <t>RICH WHIP TOPPING CHOCOLATE.</t>
  </si>
  <si>
    <t>PREMIX SCM BUTTER SUGAR</t>
  </si>
  <si>
    <t>BAKE WALL WHIPPING CREAM (BLUE)</t>
  </si>
  <si>
    <t>BAWANG BOMBAY</t>
  </si>
  <si>
    <t>PISAU KUE BROWNIS</t>
  </si>
  <si>
    <t>PLASTIK OPP 10X30</t>
  </si>
  <si>
    <t xml:space="preserve">ALAS KOTAK 10X10 </t>
  </si>
  <si>
    <t>Maraschino Red Cherry @4 Jar</t>
  </si>
  <si>
    <t>PLASTIK KAKU 17X35</t>
  </si>
  <si>
    <t>KRESEK JUMBO UK 50 @50PCS</t>
  </si>
  <si>
    <t>KUNAFA KERING</t>
  </si>
  <si>
    <t>PASTA PISTACHIO</t>
  </si>
  <si>
    <t>MIKA MOONCAKE</t>
  </si>
  <si>
    <t xml:space="preserve">THINWALL 350ML @20X25SET </t>
  </si>
  <si>
    <t>set</t>
  </si>
  <si>
    <t>CAKE CASE</t>
  </si>
  <si>
    <t>PCS</t>
  </si>
  <si>
    <t>THINWALL 300ML @20X25SET</t>
  </si>
  <si>
    <t>STICKER DUBAI CHEWY COOKIES</t>
  </si>
  <si>
    <t>STICKER DUBAI CHEWY COOKIES BESAR</t>
  </si>
  <si>
    <t>PEWARNA KUNING MUDA CAP KUPU-KUPU@12x12x15ml</t>
  </si>
  <si>
    <t>PEWARNA HIJAU TUA CAP KUPU-KUPU</t>
  </si>
  <si>
    <t>PEWARNA HIJAU MUDA 30ML</t>
  </si>
  <si>
    <t>PREMIX DUBAI CHEWY COOKIE</t>
  </si>
  <si>
    <t>MARSHMELLOW</t>
  </si>
  <si>
    <t>AGAR-AGAR SWALLOW</t>
  </si>
  <si>
    <t>PREMIX GULA DANISH COKLAT BELEPOTAN</t>
  </si>
  <si>
    <t>KECAP MANIS @ 700GR</t>
  </si>
  <si>
    <t>COKLAT STICK BELEPOTAN</t>
  </si>
  <si>
    <t>BATHROOM ROOL SMART DUE @1*100 ROLL</t>
  </si>
  <si>
    <t>WORTEL @ 1 KG</t>
  </si>
  <si>
    <t>PALA BUBUK @ 65 GR</t>
  </si>
  <si>
    <t>KETUMBAR</t>
  </si>
  <si>
    <t>BIHUN</t>
  </si>
  <si>
    <t>KERTAS ROTI DIAMETER 17</t>
  </si>
  <si>
    <t>KERTAS ROTI DIAMETER 13</t>
  </si>
  <si>
    <t>PREMIX MENTEGA BASIC</t>
  </si>
  <si>
    <t>MIKA BROWNIES S TECHNO @300SET</t>
  </si>
  <si>
    <t>STICKER BENTO</t>
  </si>
  <si>
    <t>TOPPER KUE AMORCAKE</t>
  </si>
  <si>
    <t>kertas roti bento cake 15x15</t>
  </si>
  <si>
    <t>TUSUK GIGI</t>
  </si>
  <si>
    <t>pack</t>
  </si>
  <si>
    <t>TUSUK SATE</t>
  </si>
  <si>
    <t>LOTUS BISCOFF</t>
  </si>
  <si>
    <t>BUBUK CRUMB REDVELVET</t>
  </si>
  <si>
    <t>CRACKERBALL WARNA PUTIH</t>
  </si>
  <si>
    <t xml:space="preserve">CRACKERBALL WARNA COKLAT </t>
  </si>
  <si>
    <t>CRACKERBALL WARNA PINK</t>
  </si>
  <si>
    <t>CRACKERBALL WARNA UNGU</t>
  </si>
  <si>
    <t>CRACKER BALL WARNA KUNING</t>
  </si>
  <si>
    <t>TERIGU KUNCI BIRU</t>
  </si>
  <si>
    <t>PREMIX COOKIES LIDAH KUCING</t>
  </si>
  <si>
    <t>PREMIX COOKIES NASTAR SULTAN</t>
  </si>
  <si>
    <t>PREMIX COOKIES KASTANGLES</t>
  </si>
  <si>
    <t>DOILIES PAPER</t>
  </si>
  <si>
    <t>OXYGEN ABSORBER</t>
  </si>
  <si>
    <t xml:space="preserve">KEJU EDAM </t>
  </si>
  <si>
    <t>STICKER COOKIES RASA</t>
  </si>
  <si>
    <t>STICKER COOKIES HAMPERS</t>
  </si>
  <si>
    <t xml:space="preserve">PREMIX MENTEGA ROTI </t>
  </si>
  <si>
    <t>TERIGU CAKRA KEMBAR @1X25KG</t>
  </si>
  <si>
    <t>Gula Rafinasi @ 50kg</t>
  </si>
  <si>
    <t>PREMIX FILLING COKLAT RIMBO</t>
  </si>
  <si>
    <t>PASTRICIA DUSTING SUGAR  @1X10KG</t>
  </si>
  <si>
    <t>ELMER GLAZE GREENTEA @2X5KG</t>
  </si>
  <si>
    <t>ELMER GLAZE STRAWBERRY @2X5KG</t>
  </si>
  <si>
    <t>ELMER GLAZE DARK @2X5KG</t>
  </si>
  <si>
    <t>MEISES PLAZA BIRU @12.5kg</t>
  </si>
  <si>
    <t>COKLAT PASTA RIMBO</t>
  </si>
  <si>
    <t>TOPLES TUTUP GOLD @ 80x15 CM</t>
  </si>
  <si>
    <t>PLASTIK PE 20X40 (CAP BAWANG)</t>
  </si>
  <si>
    <t>MERCOLADE RED STRAWBERRY @12X1KG</t>
  </si>
  <si>
    <t>RAGI MAGEST 20x500 gr</t>
  </si>
  <si>
    <t>PEWARNA HITAM CAP KUPU-KUPU</t>
  </si>
  <si>
    <t>PEWARNA PINK CAP KUPU-KUPU</t>
  </si>
  <si>
    <t>PEWARNA UNGU CAP KUPU-KUPU</t>
  </si>
  <si>
    <t>SUN KARA 1000 ML</t>
  </si>
  <si>
    <t>FLOOR CLEANER LAVENDER @5LITER</t>
  </si>
  <si>
    <t>MILK BARN @ 8X2,5 KG</t>
  </si>
  <si>
    <t>ES BATU</t>
  </si>
  <si>
    <t>Kentang</t>
  </si>
  <si>
    <t>SEREH</t>
  </si>
  <si>
    <t>DAUN SALAM</t>
  </si>
  <si>
    <t>DAUN JERUK</t>
  </si>
  <si>
    <t>SELEDRI @ 1 KG</t>
  </si>
  <si>
    <t>Daun Pisang</t>
  </si>
  <si>
    <t>RED HANDSOAP 5LITER</t>
  </si>
  <si>
    <t>DUS ONLINE SHOP ISI 6</t>
  </si>
  <si>
    <t>DUS DONAT - VOL.6</t>
  </si>
  <si>
    <t>DUS DONAT VOL. 4 LAMINASI</t>
  </si>
  <si>
    <t>DUS SNACKBOX 12X12</t>
  </si>
  <si>
    <t>DUS SNACKBOX 16X16</t>
  </si>
  <si>
    <t>MASAKO RASA AYAM @1KG</t>
  </si>
  <si>
    <t>PENYEDAP RASA SASA</t>
  </si>
  <si>
    <t>BERAS KETAN PUTIH</t>
  </si>
  <si>
    <t>SOLATIF</t>
  </si>
  <si>
    <t>PEWARNA CROSS  BLACK PHANTOM @60ML</t>
  </si>
  <si>
    <t>PEWARNA CROSS  SUPER RED @60ML</t>
  </si>
  <si>
    <t>PEWARNA CROSS  PINK @60ML</t>
  </si>
  <si>
    <t>PEWARNA CROSS  HIJAU @60ML</t>
  </si>
  <si>
    <t>PEWARNA CROSS  VIOLET @60ML</t>
  </si>
  <si>
    <t>PEWARNA CROSS  ROYAL BLUE @60ML</t>
  </si>
  <si>
    <t>PEWARNA CROSS  SKY  BLUE @60ML</t>
  </si>
  <si>
    <t>TEGRAL MOCHI BREAD</t>
  </si>
  <si>
    <t>PAPERBAG FOR FRANCE</t>
  </si>
  <si>
    <t>SASA SANTAN CAIR 65ML @32pcs</t>
  </si>
  <si>
    <t>DUS SNACKBOX 14X14</t>
  </si>
  <si>
    <t>CHICKEN SEASONING POWDER KNORR @ 1 KG</t>
  </si>
  <si>
    <t>DUS ONLINE SHOP ISI 4</t>
  </si>
  <si>
    <t>ELMER GLAZE WHITE @2X5KG</t>
  </si>
  <si>
    <t>MINYAK FORTUNE @18 LITER</t>
  </si>
  <si>
    <t>PAPER CASE - 3029 (G1) BULAT</t>
  </si>
  <si>
    <t>PLAZA CHOCO CHIP</t>
  </si>
  <si>
    <t>BAKERIN PLUS 20X500 GR</t>
  </si>
  <si>
    <t>Terigu Tali Mas @25kg</t>
  </si>
  <si>
    <t>MUTIARA PUTIH 8 MM</t>
  </si>
  <si>
    <t>MUTIARA PUTIH 4 MM</t>
  </si>
  <si>
    <t>MUTIARA PUTIH 14 MM</t>
  </si>
  <si>
    <t>MUTIARA PUTIH 10 MM</t>
  </si>
  <si>
    <t>MUTIARA PUTIH 2 MM</t>
  </si>
  <si>
    <t>MUTIARA EMAS 4 MM</t>
  </si>
  <si>
    <t>MUTIARA EMAS 6 MM</t>
  </si>
  <si>
    <t>MUATIARA EMAS BINTANG</t>
  </si>
  <si>
    <t>MUTIARA SILVER 10 MM</t>
  </si>
  <si>
    <t>MUTIARA SILVER 6 MM</t>
  </si>
  <si>
    <t>MUTIARA SILVER 2 MM</t>
  </si>
  <si>
    <t>MUATIARA SILVER BINTANG</t>
  </si>
  <si>
    <t>MUTIARA EMAS FAKE 2 MM</t>
  </si>
  <si>
    <t>MUTIARA EMAS FAKE 6 MM</t>
  </si>
  <si>
    <t>MUTIARA EMAS FAKE 8 MM</t>
  </si>
  <si>
    <t>MUTIARA WARNA</t>
  </si>
  <si>
    <t>PEWARNA CROSS SUPER RED @450ML</t>
  </si>
  <si>
    <t>PEWARNA CROSS HIJAU @450ML</t>
  </si>
  <si>
    <t>PEWARNA CROSS EGG YELLOW @450ML</t>
  </si>
  <si>
    <t>PEWARNA ORANGE CAP KUPU-KUPU</t>
  </si>
  <si>
    <t>YUPI LOVE</t>
  </si>
  <si>
    <t>YUPI ES KRIM</t>
  </si>
  <si>
    <t>SUSU CAIR INDOMILK @12X1 LITER</t>
  </si>
  <si>
    <t>IF 100 @20X500 GR</t>
  </si>
  <si>
    <t>COKLAT BUBUK DANISH GRADE A</t>
  </si>
  <si>
    <t>SODA KUE</t>
  </si>
  <si>
    <t>CMC @43 GR</t>
  </si>
  <si>
    <t>PASTA MANGO @1KG</t>
  </si>
  <si>
    <t>PLASTIK ROTI TAWAR vol 22</t>
  </si>
  <si>
    <t>ELMER GLAZE TIRAMISU @2X5KG</t>
  </si>
  <si>
    <t>TATAKAN NICOLE 22X22 KOTAK</t>
  </si>
  <si>
    <t>PEWARNA CROSS EGG YELLOW @60ML</t>
  </si>
  <si>
    <t>PEWARNA CROSS  ROYAL BLUE @450ML</t>
  </si>
  <si>
    <t>SUSU VAMOLA</t>
  </si>
  <si>
    <t>AIR MINERAL 220 ML</t>
  </si>
  <si>
    <t xml:space="preserve">ELMER CHOCO CHIP </t>
  </si>
  <si>
    <t>GAS PORTABLE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</si>
</sst>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[$Rp]#,##0"/>
    <numFmt numFmtId="165" formatCode="_([$Rp-421]* #,##0_);_([$Rp-421]* \(#,##0\);_([$Rp-421]* &quot;-&quot;_);_(@_)"/>
    <numFmt numFmtId="166" formatCode="_(* #,##0_);_(* \(#,##0\);_(* &quot;-&quot;??_);_(@_)"/>
    <numFmt numFmtId="167" formatCode="_([$Rp-421]* #,##0.00_);_([$Rp-421]* \(#,##0.00\);_([$Rp-421]* &quot;-&quot;??_);_(@_)"/>
  </numFmts>
  <fonts count="8" x14ac:knownFonts="1">
    <font>
      <sz val="10"/>
      <color rgb="FF000000"/>
      <name val="Calibri"/>
      <scheme val="minor"/>
    </font>
    <font>
      <sz val="12"/>
      <color theme="1"/>
      <name val="Calibri"/>
    </font>
    <font>
      <b/>
      <sz val="12"/>
      <color theme="1"/>
      <name val="Calibri"/>
    </font>
    <font>
      <sz val="10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Times New Roman"/>
    </font>
    <font>
      <sz val="11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Border="1" applyAlignment="1"/>
    <xf numFmtId="0" fontId="1" fillId="2" borderId="0" xfId="0" applyFont="1" applyFill="1" applyBorder="1"/>
    <xf numFmtId="0" fontId="1" fillId="2" borderId="0" xfId="0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/>
    </xf>
    <xf numFmtId="3" fontId="1" fillId="2" borderId="0" xfId="0" applyNumberFormat="1" applyFont="1" applyFill="1" applyBorder="1" applyAlignment="1">
      <alignment horizontal="right"/>
    </xf>
    <xf numFmtId="0" fontId="0" fillId="0" borderId="0" xfId="0" applyFont="1" applyAlignment="1"/>
    <xf numFmtId="0" fontId="2" fillId="3" borderId="0" xfId="0" applyFont="1" applyFill="1" applyBorder="1"/>
    <xf numFmtId="0" fontId="3" fillId="3" borderId="0" xfId="0" applyFont="1" applyFill="1" applyBorder="1"/>
    <xf numFmtId="0" fontId="3" fillId="3" borderId="0" xfId="0" applyFont="1" applyFill="1" applyBorder="1" applyAlignment="1">
      <alignment horizontal="center"/>
    </xf>
    <xf numFmtId="164" fontId="3" fillId="3" borderId="0" xfId="0" applyNumberFormat="1" applyFont="1" applyFill="1" applyBorder="1" applyAlignment="1">
      <alignment horizontal="center"/>
    </xf>
    <xf numFmtId="3" fontId="3" fillId="3" borderId="0" xfId="0" applyNumberFormat="1" applyFont="1" applyFill="1" applyBorder="1"/>
    <xf numFmtId="0" fontId="3" fillId="3" borderId="1" xfId="0" applyFont="1" applyFill="1" applyBorder="1"/>
    <xf numFmtId="0" fontId="3" fillId="4" borderId="2" xfId="0" applyFont="1" applyFill="1" applyBorder="1"/>
    <xf numFmtId="165" fontId="2" fillId="4" borderId="2" xfId="0" applyNumberFormat="1" applyFont="1" applyFill="1" applyBorder="1" applyAlignment="1">
      <alignment horizontal="right"/>
    </xf>
    <xf numFmtId="0" fontId="3" fillId="4" borderId="3" xfId="0" applyFont="1" applyFill="1" applyBorder="1"/>
    <xf numFmtId="165" fontId="3" fillId="4" borderId="3" xfId="0" applyNumberFormat="1" applyFont="1" applyFill="1" applyBorder="1"/>
    <xf numFmtId="165" fontId="3" fillId="3" borderId="0" xfId="0" applyNumberFormat="1" applyFont="1" applyFill="1" applyBorder="1"/>
    <xf numFmtId="0" fontId="3" fillId="3" borderId="0" xfId="0" applyFont="1" applyFill="1" applyBorder="1" applyAlignment="1"/>
    <xf numFmtId="3" fontId="3" fillId="3" borderId="0" xfId="0" applyNumberFormat="1" applyFont="1" applyFill="1" applyBorder="1" applyAlignment="1"/>
    <xf numFmtId="164" fontId="3" fillId="3" borderId="0" xfId="0" applyNumberFormat="1" applyFont="1" applyFill="1" applyBorder="1" applyAlignment="1"/>
    <xf numFmtId="165" fontId="4" fillId="2" borderId="4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right"/>
    </xf>
    <xf numFmtId="0" fontId="3" fillId="0" borderId="0" xfId="0" applyFont="1" applyAlignment="1"/>
    <xf numFmtId="166" fontId="3" fillId="0" borderId="0" xfId="0" applyNumberFormat="1" applyFont="1" applyAlignment="1"/>
    <xf numFmtId="0" fontId="5" fillId="2" borderId="0" xfId="0" applyFont="1" applyFill="1" applyBorder="1"/>
    <xf numFmtId="0" fontId="5" fillId="2" borderId="4" xfId="0" applyFont="1" applyFill="1" applyBorder="1" applyAlignment="1">
      <alignment horizontal="center"/>
    </xf>
    <xf numFmtId="0" fontId="5" fillId="2" borderId="4" xfId="0" applyFont="1" applyFill="1" applyBorder="1" applyAlignment="1"/>
    <xf numFmtId="0" fontId="5" fillId="2" borderId="5" xfId="0" applyFont="1" applyFill="1" applyBorder="1" applyAlignment="1">
      <alignment horizontal="center"/>
    </xf>
    <xf numFmtId="165" fontId="5" fillId="2" borderId="5" xfId="0" applyNumberFormat="1" applyFont="1" applyFill="1" applyBorder="1" applyAlignment="1">
      <alignment horizontal="center"/>
    </xf>
    <xf numFmtId="3" fontId="6" fillId="2" borderId="5" xfId="0" applyNumberFormat="1" applyFont="1" applyFill="1" applyBorder="1" applyAlignment="1">
      <alignment horizontal="right"/>
    </xf>
    <xf numFmtId="3" fontId="6" fillId="2" borderId="4" xfId="0" applyNumberFormat="1" applyFont="1" applyFill="1" applyBorder="1" applyAlignment="1">
      <alignment horizontal="right"/>
    </xf>
    <xf numFmtId="167" fontId="5" fillId="2" borderId="4" xfId="0" applyNumberFormat="1" applyFont="1" applyFill="1" applyBorder="1" applyAlignment="1">
      <alignment horizontal="right"/>
    </xf>
    <xf numFmtId="43" fontId="3" fillId="0" borderId="0" xfId="0" applyNumberFormat="1" applyFont="1" applyAlignment="1"/>
    <xf numFmtId="165" fontId="3" fillId="0" borderId="0" xfId="0" applyNumberFormat="1" applyFont="1" applyAlignment="1"/>
    <xf numFmtId="165" fontId="5" fillId="2" borderId="4" xfId="0" applyNumberFormat="1" applyFont="1" applyFill="1" applyBorder="1" applyAlignment="1">
      <alignment horizontal="right"/>
    </xf>
    <xf numFmtId="3" fontId="3" fillId="2" borderId="4" xfId="0" applyNumberFormat="1" applyFont="1" applyFill="1" applyBorder="1" applyAlignment="1"/>
    <xf numFmtId="3" fontId="3" fillId="2" borderId="4" xfId="0" applyNumberFormat="1" applyFont="1" applyFill="1" applyBorder="1" applyAlignment="1">
      <alignment horizontal="right"/>
    </xf>
    <xf numFmtId="0" fontId="5" fillId="0" borderId="0" xfId="0" applyFont="1"/>
    <xf numFmtId="166" fontId="3" fillId="4" borderId="0" xfId="0" applyNumberFormat="1" applyFont="1" applyFill="1" applyBorder="1" applyAlignment="1"/>
    <xf numFmtId="0" fontId="5" fillId="4" borderId="0" xfId="0" applyFont="1" applyFill="1" applyBorder="1"/>
    <xf numFmtId="0" fontId="1" fillId="2" borderId="4" xfId="0" applyFont="1" applyFill="1" applyBorder="1" applyAlignment="1"/>
    <xf numFmtId="3" fontId="5" fillId="2" borderId="4" xfId="0" applyNumberFormat="1" applyFont="1" applyFill="1" applyBorder="1" applyAlignment="1">
      <alignment horizontal="right"/>
    </xf>
    <xf numFmtId="0" fontId="5" fillId="3" borderId="0" xfId="0" applyFont="1" applyFill="1" applyBorder="1" applyAlignment="1"/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/>
    <xf numFmtId="165" fontId="5" fillId="2" borderId="2" xfId="0" applyNumberFormat="1" applyFont="1" applyFill="1" applyBorder="1" applyAlignment="1">
      <alignment horizontal="right"/>
    </xf>
    <xf numFmtId="0" fontId="5" fillId="2" borderId="0" xfId="0" applyFont="1" applyFill="1" applyBorder="1" applyAlignment="1"/>
    <xf numFmtId="0" fontId="5" fillId="2" borderId="2" xfId="0" applyFont="1" applyFill="1" applyBorder="1" applyAlignment="1"/>
    <xf numFmtId="0" fontId="5" fillId="2" borderId="2" xfId="0" applyFont="1" applyFill="1" applyBorder="1" applyAlignment="1">
      <alignment horizontal="center"/>
    </xf>
    <xf numFmtId="3" fontId="5" fillId="2" borderId="2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/>
    <xf numFmtId="0" fontId="7" fillId="4" borderId="4" xfId="0" applyFont="1" applyFill="1" applyBorder="1" applyAlignment="1">
      <alignment horizontal="left" vertical="center"/>
    </xf>
    <xf numFmtId="0" fontId="5" fillId="2" borderId="4" xfId="0" applyFont="1" applyFill="1" applyBorder="1"/>
    <xf numFmtId="0" fontId="7" fillId="0" borderId="4" xfId="0" applyFont="1" applyBorder="1" applyAlignment="1">
      <alignment horizontal="center" vertical="center"/>
    </xf>
    <xf numFmtId="0" fontId="5" fillId="2" borderId="0" xfId="0" applyFont="1" applyFill="1" applyBorder="1" applyAlignment="1">
      <alignment horizontal="center"/>
    </xf>
    <xf numFmtId="164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276225</xdr:colOff>
      <xdr:row>197</xdr:row>
      <xdr:rowOff>0</xdr:rowOff>
    </xdr:from>
    <xdr:ext cx="190500" cy="266700"/>
    <xdr:sp macro="" textlink="">
      <xdr:nvSpPr>
        <xdr:cNvPr id="2" name="Shape 3"/>
        <xdr:cNvSpPr txBox="1"/>
      </xdr:nvSpPr>
      <xdr:spPr>
        <a:xfrm>
          <a:off x="590550" y="41290875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276225</xdr:colOff>
      <xdr:row>180</xdr:row>
      <xdr:rowOff>152400</xdr:rowOff>
    </xdr:from>
    <xdr:ext cx="190500" cy="266700"/>
    <xdr:sp macro="" textlink="">
      <xdr:nvSpPr>
        <xdr:cNvPr id="3" name="Shape 3"/>
        <xdr:cNvSpPr txBox="1"/>
      </xdr:nvSpPr>
      <xdr:spPr>
        <a:xfrm>
          <a:off x="590550" y="37880925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276225</xdr:colOff>
      <xdr:row>197</xdr:row>
      <xdr:rowOff>0</xdr:rowOff>
    </xdr:from>
    <xdr:ext cx="190500" cy="266700"/>
    <xdr:sp macro="" textlink="">
      <xdr:nvSpPr>
        <xdr:cNvPr id="4" name="Shape 3"/>
        <xdr:cNvSpPr txBox="1"/>
      </xdr:nvSpPr>
      <xdr:spPr>
        <a:xfrm>
          <a:off x="590550" y="41290875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276225</xdr:colOff>
      <xdr:row>180</xdr:row>
      <xdr:rowOff>152400</xdr:rowOff>
    </xdr:from>
    <xdr:ext cx="190500" cy="266700"/>
    <xdr:sp macro="" textlink="">
      <xdr:nvSpPr>
        <xdr:cNvPr id="5" name="Shape 3"/>
        <xdr:cNvSpPr txBox="1"/>
      </xdr:nvSpPr>
      <xdr:spPr>
        <a:xfrm>
          <a:off x="590550" y="37880925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276225</xdr:colOff>
      <xdr:row>187</xdr:row>
      <xdr:rowOff>0</xdr:rowOff>
    </xdr:from>
    <xdr:ext cx="190500" cy="266700"/>
    <xdr:sp macro="" textlink="">
      <xdr:nvSpPr>
        <xdr:cNvPr id="6" name="Shape 4"/>
        <xdr:cNvSpPr txBox="1"/>
      </xdr:nvSpPr>
      <xdr:spPr>
        <a:xfrm>
          <a:off x="590550" y="39195375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276225</xdr:colOff>
      <xdr:row>133</xdr:row>
      <xdr:rowOff>152400</xdr:rowOff>
    </xdr:from>
    <xdr:ext cx="190500" cy="266700"/>
    <xdr:sp macro="" textlink="">
      <xdr:nvSpPr>
        <xdr:cNvPr id="7" name="Shape 4"/>
        <xdr:cNvSpPr txBox="1"/>
      </xdr:nvSpPr>
      <xdr:spPr>
        <a:xfrm>
          <a:off x="590550" y="28032075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276225</xdr:colOff>
      <xdr:row>197</xdr:row>
      <xdr:rowOff>0</xdr:rowOff>
    </xdr:from>
    <xdr:ext cx="190500" cy="266700"/>
    <xdr:sp macro="" textlink="">
      <xdr:nvSpPr>
        <xdr:cNvPr id="8" name="Shape 4"/>
        <xdr:cNvSpPr txBox="1"/>
      </xdr:nvSpPr>
      <xdr:spPr>
        <a:xfrm>
          <a:off x="590550" y="41290875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276225</xdr:colOff>
      <xdr:row>197</xdr:row>
      <xdr:rowOff>0</xdr:rowOff>
    </xdr:from>
    <xdr:ext cx="190500" cy="266700"/>
    <xdr:sp macro="" textlink="">
      <xdr:nvSpPr>
        <xdr:cNvPr id="9" name="Shape 4"/>
        <xdr:cNvSpPr txBox="1"/>
      </xdr:nvSpPr>
      <xdr:spPr>
        <a:xfrm>
          <a:off x="590550" y="41290875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%20NOMINAL%20SEPTEMBER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BD"/>
      <sheetName val="FCKT"/>
      <sheetName val="BKSM"/>
      <sheetName val="BKDR"/>
      <sheetName val="BKBG"/>
      <sheetName val="BKCB"/>
      <sheetName val="BKCL"/>
      <sheetName val="BKBL"/>
      <sheetName val="BKHM"/>
      <sheetName val="BKCP"/>
      <sheetName val="BKPG"/>
      <sheetName val="BKPK"/>
      <sheetName val="BKMS"/>
      <sheetName val="BKCK"/>
      <sheetName val="BKJM"/>
      <sheetName val="BKNI"/>
      <sheetName val="BKCN"/>
      <sheetName val="BKRL"/>
      <sheetName val="BKPN"/>
      <sheetName val="BKBN"/>
      <sheetName val="BKAG"/>
      <sheetName val="BKKJ"/>
      <sheetName val="BKSH"/>
      <sheetName val="BKPS"/>
      <sheetName val="RTM"/>
      <sheetName val="VBI"/>
      <sheetName val="BKPU"/>
      <sheetName val="RESUME"/>
    </sheetNames>
    <sheetDataSet>
      <sheetData sheetId="0">
        <row r="4">
          <cell r="A4" t="str">
            <v>Periode Juli 2026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A1077"/>
  <sheetViews>
    <sheetView tabSelected="1" workbookViewId="0">
      <pane ySplit="6" topLeftCell="A7" activePane="bottomLeft" state="frozen"/>
      <selection pane="bottomLeft" activeCell="F15" sqref="F15"/>
    </sheetView>
  </sheetViews>
  <sheetFormatPr defaultColWidth="12.5703125" defaultRowHeight="15.75" customHeight="1" x14ac:dyDescent="0.2"/>
  <cols>
    <col min="1" max="1" width="4.7109375" style="6" customWidth="1"/>
    <col min="2" max="2" width="53.140625" style="6" customWidth="1"/>
    <col min="3" max="3" width="10.42578125" style="6" customWidth="1"/>
    <col min="4" max="4" width="8" style="6" customWidth="1"/>
    <col min="5" max="5" width="13.5703125" style="6" customWidth="1"/>
    <col min="6" max="6" width="18.140625" style="6" customWidth="1"/>
    <col min="7" max="7" width="14.7109375" style="6" customWidth="1"/>
    <col min="8" max="8" width="20.85546875" style="6" customWidth="1"/>
    <col min="9" max="9" width="19.42578125" style="6" customWidth="1"/>
    <col min="10" max="10" width="19.28515625" style="6" customWidth="1"/>
    <col min="11" max="11" width="9.42578125" style="6" customWidth="1"/>
    <col min="12" max="27" width="7.5703125" style="6" customWidth="1"/>
    <col min="28" max="16384" width="12.5703125" style="6"/>
  </cols>
  <sheetData>
    <row r="1" spans="1:27" x14ac:dyDescent="0.25">
      <c r="A1" s="1" t="s">
        <v>0</v>
      </c>
      <c r="B1" s="2"/>
      <c r="C1" s="3"/>
      <c r="D1" s="3"/>
      <c r="E1" s="4"/>
      <c r="F1" s="5"/>
      <c r="G1" s="5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25">
      <c r="A2" s="7" t="s">
        <v>1</v>
      </c>
      <c r="B2" s="8"/>
      <c r="C2" s="9"/>
      <c r="D2" s="9"/>
      <c r="E2" s="10"/>
      <c r="F2" s="11"/>
      <c r="G2" s="11"/>
      <c r="H2" s="12"/>
      <c r="I2" s="13"/>
      <c r="J2" s="14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25">
      <c r="A3" s="7" t="s">
        <v>2</v>
      </c>
      <c r="B3" s="8"/>
      <c r="C3" s="9"/>
      <c r="D3" s="9"/>
      <c r="E3" s="10"/>
      <c r="F3" s="11"/>
      <c r="G3" s="11"/>
      <c r="H3" s="12"/>
      <c r="I3" s="15"/>
      <c r="J3" s="1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25">
      <c r="A4" s="7" t="str">
        <f>[1]FCBD!A4</f>
        <v>Periode Juli 2026</v>
      </c>
      <c r="B4" s="8"/>
      <c r="C4" s="9"/>
      <c r="D4" s="9"/>
      <c r="E4" s="10"/>
      <c r="F4" s="11"/>
      <c r="G4" s="11"/>
      <c r="H4" s="8"/>
      <c r="I4" s="8"/>
      <c r="J4" s="1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25">
      <c r="A5" s="8"/>
      <c r="B5" s="18"/>
      <c r="C5" s="9"/>
      <c r="D5" s="9"/>
      <c r="E5" s="10"/>
      <c r="F5" s="19"/>
      <c r="G5" s="19"/>
      <c r="H5" s="20">
        <f>SUBTOTAL(9,H7:H386)</f>
        <v>327364108.45871329</v>
      </c>
      <c r="I5" s="8"/>
      <c r="J5" s="17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7" customHeight="1" x14ac:dyDescent="0.25">
      <c r="A6" s="21" t="s">
        <v>3</v>
      </c>
      <c r="B6" s="22" t="s">
        <v>4</v>
      </c>
      <c r="C6" s="23" t="s">
        <v>5</v>
      </c>
      <c r="D6" s="22" t="s">
        <v>6</v>
      </c>
      <c r="E6" s="24" t="s">
        <v>7</v>
      </c>
      <c r="F6" s="25" t="s">
        <v>8</v>
      </c>
      <c r="G6" s="25" t="s">
        <v>9</v>
      </c>
      <c r="H6" s="22" t="s">
        <v>10</v>
      </c>
      <c r="I6" s="26"/>
      <c r="J6" s="27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spans="1:27" ht="16.5" customHeight="1" x14ac:dyDescent="0.25">
      <c r="A7" s="29">
        <v>1</v>
      </c>
      <c r="B7" s="30" t="s">
        <v>11</v>
      </c>
      <c r="C7" s="31">
        <v>777101</v>
      </c>
      <c r="D7" s="31" t="s">
        <v>12</v>
      </c>
      <c r="E7" s="32">
        <v>344.1</v>
      </c>
      <c r="F7" s="33">
        <v>260</v>
      </c>
      <c r="G7" s="34">
        <v>300</v>
      </c>
      <c r="H7" s="35">
        <f t="shared" ref="H7:H386" si="0">(G7+F7)*E7</f>
        <v>192696</v>
      </c>
      <c r="I7" s="36"/>
      <c r="J7" s="37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spans="1:27" ht="16.5" customHeight="1" x14ac:dyDescent="0.25">
      <c r="A8" s="29">
        <v>2</v>
      </c>
      <c r="B8" s="30" t="s">
        <v>13</v>
      </c>
      <c r="C8" s="31">
        <v>555201</v>
      </c>
      <c r="D8" s="31" t="s">
        <v>14</v>
      </c>
      <c r="E8" s="32">
        <v>3700</v>
      </c>
      <c r="F8" s="33">
        <v>277</v>
      </c>
      <c r="G8" s="34">
        <v>900</v>
      </c>
      <c r="H8" s="38">
        <f t="shared" si="0"/>
        <v>4354900</v>
      </c>
      <c r="I8" s="36"/>
      <c r="J8" s="37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spans="1:27" ht="16.5" customHeight="1" x14ac:dyDescent="0.25">
      <c r="A9" s="29">
        <v>3</v>
      </c>
      <c r="B9" s="30" t="s">
        <v>15</v>
      </c>
      <c r="C9" s="31">
        <v>555111</v>
      </c>
      <c r="D9" s="31" t="s">
        <v>14</v>
      </c>
      <c r="E9" s="32">
        <v>6400</v>
      </c>
      <c r="F9" s="33">
        <v>160</v>
      </c>
      <c r="G9" s="34">
        <v>200</v>
      </c>
      <c r="H9" s="38">
        <f t="shared" si="0"/>
        <v>2304000</v>
      </c>
      <c r="I9" s="36"/>
      <c r="J9" s="37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spans="1:27" ht="16.5" customHeight="1" x14ac:dyDescent="0.25">
      <c r="A10" s="29">
        <v>4</v>
      </c>
      <c r="B10" s="30" t="s">
        <v>16</v>
      </c>
      <c r="C10" s="31">
        <v>555901</v>
      </c>
      <c r="D10" s="31" t="s">
        <v>14</v>
      </c>
      <c r="E10" s="32">
        <v>1225</v>
      </c>
      <c r="F10" s="33">
        <v>70</v>
      </c>
      <c r="G10" s="39"/>
      <c r="H10" s="38">
        <f t="shared" si="0"/>
        <v>85750</v>
      </c>
      <c r="I10" s="36"/>
      <c r="J10" s="37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spans="1:27" ht="16.5" customHeight="1" x14ac:dyDescent="0.25">
      <c r="A11" s="29">
        <v>5</v>
      </c>
      <c r="B11" s="30" t="s">
        <v>17</v>
      </c>
      <c r="C11" s="31">
        <v>555903</v>
      </c>
      <c r="D11" s="31" t="s">
        <v>14</v>
      </c>
      <c r="E11" s="32">
        <v>1225</v>
      </c>
      <c r="F11" s="33">
        <v>200</v>
      </c>
      <c r="G11" s="39"/>
      <c r="H11" s="38">
        <f t="shared" si="0"/>
        <v>245000</v>
      </c>
      <c r="I11" s="27"/>
      <c r="J11" s="37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spans="1:27" ht="16.5" customHeight="1" x14ac:dyDescent="0.25">
      <c r="A12" s="29">
        <v>6</v>
      </c>
      <c r="B12" s="30" t="s">
        <v>18</v>
      </c>
      <c r="C12" s="31">
        <v>555905</v>
      </c>
      <c r="D12" s="31" t="s">
        <v>14</v>
      </c>
      <c r="E12" s="32">
        <v>1225</v>
      </c>
      <c r="F12" s="33">
        <v>84</v>
      </c>
      <c r="G12" s="39"/>
      <c r="H12" s="38">
        <f t="shared" si="0"/>
        <v>102900</v>
      </c>
      <c r="I12" s="27"/>
      <c r="J12" s="37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spans="1:27" ht="16.5" customHeight="1" x14ac:dyDescent="0.25">
      <c r="A13" s="29">
        <v>7</v>
      </c>
      <c r="B13" s="30" t="s">
        <v>19</v>
      </c>
      <c r="C13" s="31">
        <v>555906</v>
      </c>
      <c r="D13" s="31" t="s">
        <v>14</v>
      </c>
      <c r="E13" s="32">
        <v>1225</v>
      </c>
      <c r="F13" s="33">
        <v>84</v>
      </c>
      <c r="G13" s="39"/>
      <c r="H13" s="38">
        <f t="shared" si="0"/>
        <v>102900</v>
      </c>
      <c r="I13" s="27"/>
      <c r="J13" s="37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spans="1:27" ht="15" customHeight="1" x14ac:dyDescent="0.25">
      <c r="A14" s="29">
        <v>8</v>
      </c>
      <c r="B14" s="30" t="s">
        <v>20</v>
      </c>
      <c r="C14" s="31">
        <v>111600</v>
      </c>
      <c r="D14" s="31" t="s">
        <v>12</v>
      </c>
      <c r="E14" s="32">
        <v>650</v>
      </c>
      <c r="F14" s="33">
        <v>257</v>
      </c>
      <c r="G14" s="40">
        <v>100</v>
      </c>
      <c r="H14" s="38">
        <f t="shared" si="0"/>
        <v>232050</v>
      </c>
      <c r="I14" s="27"/>
      <c r="J14" s="37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spans="1:27" ht="16.5" customHeight="1" x14ac:dyDescent="0.25">
      <c r="A15" s="29">
        <v>9</v>
      </c>
      <c r="B15" s="30" t="s">
        <v>21</v>
      </c>
      <c r="C15" s="31">
        <v>333301</v>
      </c>
      <c r="D15" s="31" t="s">
        <v>12</v>
      </c>
      <c r="E15" s="32">
        <v>186</v>
      </c>
      <c r="F15" s="33">
        <v>242</v>
      </c>
      <c r="G15" s="34"/>
      <c r="H15" s="38">
        <f t="shared" si="0"/>
        <v>45012</v>
      </c>
      <c r="I15" s="27"/>
      <c r="J15" s="37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spans="1:27" ht="16.5" customHeight="1" x14ac:dyDescent="0.25">
      <c r="A16" s="29">
        <v>10</v>
      </c>
      <c r="B16" s="30" t="s">
        <v>22</v>
      </c>
      <c r="C16" s="31">
        <v>333302</v>
      </c>
      <c r="D16" s="31" t="s">
        <v>12</v>
      </c>
      <c r="E16" s="32">
        <v>189</v>
      </c>
      <c r="F16" s="33">
        <v>180</v>
      </c>
      <c r="G16" s="39">
        <v>500</v>
      </c>
      <c r="H16" s="38">
        <f t="shared" si="0"/>
        <v>128520</v>
      </c>
      <c r="I16" s="27"/>
      <c r="J16" s="37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spans="1:27" ht="15" customHeight="1" x14ac:dyDescent="0.25">
      <c r="A17" s="29">
        <v>11</v>
      </c>
      <c r="B17" s="30" t="s">
        <v>23</v>
      </c>
      <c r="C17" s="31">
        <v>333303</v>
      </c>
      <c r="D17" s="31" t="s">
        <v>12</v>
      </c>
      <c r="E17" s="32">
        <v>186</v>
      </c>
      <c r="F17" s="33">
        <v>600</v>
      </c>
      <c r="G17" s="34">
        <v>200</v>
      </c>
      <c r="H17" s="38">
        <f t="shared" si="0"/>
        <v>148800</v>
      </c>
      <c r="I17" s="27"/>
      <c r="J17" s="37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spans="1:27" ht="16.5" customHeight="1" x14ac:dyDescent="0.25">
      <c r="A18" s="29">
        <v>12</v>
      </c>
      <c r="B18" s="30" t="s">
        <v>24</v>
      </c>
      <c r="C18" s="31">
        <v>333304</v>
      </c>
      <c r="D18" s="31" t="s">
        <v>12</v>
      </c>
      <c r="E18" s="32">
        <v>186</v>
      </c>
      <c r="F18" s="33">
        <v>481</v>
      </c>
      <c r="G18" s="34">
        <v>100</v>
      </c>
      <c r="H18" s="38">
        <f t="shared" si="0"/>
        <v>108066</v>
      </c>
      <c r="I18" s="27"/>
      <c r="J18" s="37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spans="1:27" ht="16.5" customHeight="1" x14ac:dyDescent="0.25">
      <c r="A19" s="29">
        <v>13</v>
      </c>
      <c r="B19" s="30" t="s">
        <v>25</v>
      </c>
      <c r="C19" s="31">
        <v>333306</v>
      </c>
      <c r="D19" s="31" t="s">
        <v>12</v>
      </c>
      <c r="E19" s="32">
        <v>186</v>
      </c>
      <c r="F19" s="33">
        <v>1480</v>
      </c>
      <c r="G19" s="34">
        <v>500</v>
      </c>
      <c r="H19" s="38">
        <f t="shared" si="0"/>
        <v>368280</v>
      </c>
      <c r="I19" s="27"/>
      <c r="J19" s="37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spans="1:27" ht="16.5" customHeight="1" x14ac:dyDescent="0.25">
      <c r="A20" s="29">
        <v>14</v>
      </c>
      <c r="B20" s="30" t="s">
        <v>26</v>
      </c>
      <c r="C20" s="31">
        <v>666407</v>
      </c>
      <c r="D20" s="31" t="s">
        <v>12</v>
      </c>
      <c r="E20" s="32">
        <v>785</v>
      </c>
      <c r="F20" s="33">
        <v>800</v>
      </c>
      <c r="G20" s="34">
        <v>400</v>
      </c>
      <c r="H20" s="38">
        <f t="shared" si="0"/>
        <v>942000</v>
      </c>
      <c r="I20" s="27"/>
      <c r="J20" s="37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spans="1:27" ht="16.5" customHeight="1" x14ac:dyDescent="0.25">
      <c r="A21" s="29">
        <v>15</v>
      </c>
      <c r="B21" s="30" t="s">
        <v>27</v>
      </c>
      <c r="C21" s="31">
        <v>333404</v>
      </c>
      <c r="D21" s="31" t="s">
        <v>14</v>
      </c>
      <c r="E21" s="32">
        <v>350</v>
      </c>
      <c r="F21" s="33">
        <v>300</v>
      </c>
      <c r="G21" s="34">
        <v>100</v>
      </c>
      <c r="H21" s="38">
        <f t="shared" si="0"/>
        <v>140000</v>
      </c>
      <c r="I21" s="27"/>
      <c r="J21" s="37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spans="1:27" ht="16.5" customHeight="1" x14ac:dyDescent="0.25">
      <c r="A22" s="29">
        <v>16</v>
      </c>
      <c r="B22" s="30" t="s">
        <v>28</v>
      </c>
      <c r="C22" s="31">
        <v>333405</v>
      </c>
      <c r="D22" s="31" t="s">
        <v>14</v>
      </c>
      <c r="E22" s="32">
        <v>470</v>
      </c>
      <c r="F22" s="33"/>
      <c r="G22" s="39"/>
      <c r="H22" s="38">
        <f t="shared" si="0"/>
        <v>0</v>
      </c>
      <c r="I22" s="27"/>
      <c r="J22" s="37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spans="1:27" ht="16.5" customHeight="1" x14ac:dyDescent="0.25">
      <c r="A23" s="29">
        <v>17</v>
      </c>
      <c r="B23" s="30" t="s">
        <v>29</v>
      </c>
      <c r="C23" s="31">
        <v>333503</v>
      </c>
      <c r="D23" s="31" t="s">
        <v>12</v>
      </c>
      <c r="E23" s="32">
        <v>69</v>
      </c>
      <c r="F23" s="33">
        <v>10176</v>
      </c>
      <c r="G23" s="34">
        <v>43200</v>
      </c>
      <c r="H23" s="38">
        <f t="shared" si="0"/>
        <v>3682944</v>
      </c>
      <c r="I23" s="27"/>
      <c r="J23" s="37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ht="16.5" customHeight="1" x14ac:dyDescent="0.25">
      <c r="A24" s="29">
        <v>18</v>
      </c>
      <c r="B24" s="30" t="s">
        <v>30</v>
      </c>
      <c r="C24" s="31">
        <v>333511</v>
      </c>
      <c r="D24" s="31" t="s">
        <v>14</v>
      </c>
      <c r="E24" s="32">
        <v>1250</v>
      </c>
      <c r="F24" s="33">
        <v>1122</v>
      </c>
      <c r="G24" s="34">
        <v>1680</v>
      </c>
      <c r="H24" s="38">
        <f t="shared" si="0"/>
        <v>3502500</v>
      </c>
      <c r="I24" s="27"/>
      <c r="J24" s="37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spans="1:27" ht="16.5" customHeight="1" x14ac:dyDescent="0.25">
      <c r="A25" s="29">
        <v>19</v>
      </c>
      <c r="B25" s="30" t="s">
        <v>31</v>
      </c>
      <c r="C25" s="31">
        <v>222208</v>
      </c>
      <c r="D25" s="31" t="s">
        <v>14</v>
      </c>
      <c r="E25" s="32">
        <v>2500</v>
      </c>
      <c r="F25" s="33"/>
      <c r="G25" s="39"/>
      <c r="H25" s="38">
        <f t="shared" si="0"/>
        <v>0</v>
      </c>
      <c r="I25" s="27"/>
      <c r="J25" s="37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spans="1:27" ht="16.5" customHeight="1" x14ac:dyDescent="0.25">
      <c r="A26" s="29">
        <v>20</v>
      </c>
      <c r="B26" s="30" t="s">
        <v>32</v>
      </c>
      <c r="C26" s="31">
        <v>333401</v>
      </c>
      <c r="D26" s="31" t="s">
        <v>14</v>
      </c>
      <c r="E26" s="32">
        <v>270</v>
      </c>
      <c r="F26" s="33">
        <v>84</v>
      </c>
      <c r="G26" s="39">
        <v>525</v>
      </c>
      <c r="H26" s="38">
        <f t="shared" si="0"/>
        <v>164430</v>
      </c>
      <c r="I26" s="27"/>
      <c r="J26" s="37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spans="1:27" ht="16.5" customHeight="1" x14ac:dyDescent="0.25">
      <c r="A27" s="29">
        <v>21</v>
      </c>
      <c r="B27" s="30" t="s">
        <v>33</v>
      </c>
      <c r="C27" s="31">
        <v>400502</v>
      </c>
      <c r="D27" s="31" t="s">
        <v>34</v>
      </c>
      <c r="E27" s="32">
        <v>26500</v>
      </c>
      <c r="F27" s="33"/>
      <c r="G27" s="39">
        <v>555</v>
      </c>
      <c r="H27" s="38">
        <f t="shared" si="0"/>
        <v>14707500</v>
      </c>
      <c r="I27" s="27"/>
      <c r="J27" s="37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spans="1:27" ht="16.5" customHeight="1" x14ac:dyDescent="0.25">
      <c r="A28" s="29">
        <v>22</v>
      </c>
      <c r="B28" s="30" t="s">
        <v>35</v>
      </c>
      <c r="C28" s="31">
        <v>900208</v>
      </c>
      <c r="D28" s="31" t="s">
        <v>12</v>
      </c>
      <c r="E28" s="32">
        <v>6750</v>
      </c>
      <c r="F28" s="33">
        <v>5.0833333329999997</v>
      </c>
      <c r="G28" s="39"/>
      <c r="H28" s="38">
        <f t="shared" si="0"/>
        <v>34312.499997749997</v>
      </c>
      <c r="I28" s="27"/>
      <c r="J28" s="37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spans="1:27" ht="16.5" customHeight="1" x14ac:dyDescent="0.25">
      <c r="A29" s="29">
        <v>23</v>
      </c>
      <c r="B29" s="30" t="s">
        <v>36</v>
      </c>
      <c r="C29" s="31">
        <v>300303</v>
      </c>
      <c r="D29" s="31" t="s">
        <v>12</v>
      </c>
      <c r="E29" s="32">
        <v>55250</v>
      </c>
      <c r="F29" s="33"/>
      <c r="G29" s="39"/>
      <c r="H29" s="38">
        <f t="shared" si="0"/>
        <v>0</v>
      </c>
      <c r="I29" s="27"/>
      <c r="J29" s="37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spans="1:27" ht="16.5" customHeight="1" x14ac:dyDescent="0.25">
      <c r="A30" s="29">
        <v>24</v>
      </c>
      <c r="B30" s="30" t="s">
        <v>37</v>
      </c>
      <c r="C30" s="31">
        <v>999611</v>
      </c>
      <c r="D30" s="31" t="s">
        <v>14</v>
      </c>
      <c r="E30" s="32">
        <v>22608</v>
      </c>
      <c r="F30" s="33"/>
      <c r="G30" s="40">
        <v>20</v>
      </c>
      <c r="H30" s="38">
        <f t="shared" si="0"/>
        <v>452160</v>
      </c>
      <c r="I30" s="27"/>
      <c r="J30" s="37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spans="1:27" ht="16.5" customHeight="1" x14ac:dyDescent="0.25">
      <c r="A31" s="29">
        <v>25</v>
      </c>
      <c r="B31" s="30" t="s">
        <v>38</v>
      </c>
      <c r="C31" s="31">
        <v>400204</v>
      </c>
      <c r="D31" s="31" t="s">
        <v>34</v>
      </c>
      <c r="E31" s="32">
        <v>10500</v>
      </c>
      <c r="F31" s="33"/>
      <c r="G31" s="34">
        <v>33.15</v>
      </c>
      <c r="H31" s="38">
        <f t="shared" si="0"/>
        <v>348075</v>
      </c>
      <c r="I31" s="27"/>
      <c r="J31" s="37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spans="1:27" ht="16.5" customHeight="1" x14ac:dyDescent="0.25">
      <c r="A32" s="29">
        <v>26</v>
      </c>
      <c r="B32" s="30" t="s">
        <v>39</v>
      </c>
      <c r="C32" s="31">
        <v>222202</v>
      </c>
      <c r="D32" s="31" t="s">
        <v>12</v>
      </c>
      <c r="E32" s="32">
        <v>1416.666667</v>
      </c>
      <c r="F32" s="33">
        <v>388</v>
      </c>
      <c r="G32" s="34">
        <v>840</v>
      </c>
      <c r="H32" s="38">
        <f t="shared" si="0"/>
        <v>1739666.667076</v>
      </c>
      <c r="I32" s="27"/>
      <c r="J32" s="37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spans="1:27" ht="16.5" customHeight="1" x14ac:dyDescent="0.25">
      <c r="A33" s="29">
        <v>27</v>
      </c>
      <c r="B33" s="30" t="s">
        <v>40</v>
      </c>
      <c r="C33" s="31">
        <v>999415</v>
      </c>
      <c r="D33" s="31" t="s">
        <v>14</v>
      </c>
      <c r="E33" s="32">
        <v>65846</v>
      </c>
      <c r="F33" s="33">
        <v>18</v>
      </c>
      <c r="G33" s="39">
        <v>15</v>
      </c>
      <c r="H33" s="38">
        <f t="shared" si="0"/>
        <v>2172918</v>
      </c>
      <c r="I33" s="27"/>
      <c r="J33" s="37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spans="1:27" ht="16.5" customHeight="1" x14ac:dyDescent="0.25">
      <c r="A34" s="29">
        <v>28</v>
      </c>
      <c r="B34" s="30" t="s">
        <v>41</v>
      </c>
      <c r="C34" s="31">
        <v>999416</v>
      </c>
      <c r="D34" s="31" t="s">
        <v>14</v>
      </c>
      <c r="E34" s="32">
        <v>65846</v>
      </c>
      <c r="F34" s="33"/>
      <c r="G34" s="34">
        <v>15</v>
      </c>
      <c r="H34" s="38">
        <f t="shared" si="0"/>
        <v>987690</v>
      </c>
      <c r="I34" s="27"/>
      <c r="J34" s="37"/>
      <c r="K34" s="28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 spans="1:27" ht="16.5" customHeight="1" x14ac:dyDescent="0.25">
      <c r="A35" s="29">
        <v>29</v>
      </c>
      <c r="B35" s="30" t="s">
        <v>42</v>
      </c>
      <c r="C35" s="31">
        <v>999612</v>
      </c>
      <c r="D35" s="31" t="s">
        <v>14</v>
      </c>
      <c r="E35" s="32">
        <v>22608</v>
      </c>
      <c r="F35" s="33">
        <v>32</v>
      </c>
      <c r="G35" s="34">
        <v>15</v>
      </c>
      <c r="H35" s="38">
        <f t="shared" si="0"/>
        <v>1062576</v>
      </c>
      <c r="I35" s="27"/>
      <c r="J35" s="37"/>
      <c r="K35" s="28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 spans="1:27" ht="16.5" customHeight="1" x14ac:dyDescent="0.25">
      <c r="A36" s="29">
        <v>30</v>
      </c>
      <c r="B36" s="30" t="s">
        <v>43</v>
      </c>
      <c r="C36" s="31">
        <v>999718</v>
      </c>
      <c r="D36" s="31" t="s">
        <v>14</v>
      </c>
      <c r="E36" s="32">
        <v>39078</v>
      </c>
      <c r="F36" s="33">
        <v>21</v>
      </c>
      <c r="G36" s="34">
        <v>15</v>
      </c>
      <c r="H36" s="38">
        <f t="shared" si="0"/>
        <v>1406808</v>
      </c>
      <c r="I36" s="27"/>
      <c r="J36" s="37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spans="1:27" ht="16.5" customHeight="1" x14ac:dyDescent="0.25">
      <c r="A37" s="29">
        <v>31</v>
      </c>
      <c r="B37" s="30" t="s">
        <v>44</v>
      </c>
      <c r="C37" s="31">
        <v>999717</v>
      </c>
      <c r="D37" s="31" t="s">
        <v>14</v>
      </c>
      <c r="E37" s="32">
        <v>252301</v>
      </c>
      <c r="F37" s="33">
        <v>13</v>
      </c>
      <c r="G37" s="34">
        <v>20</v>
      </c>
      <c r="H37" s="38">
        <f t="shared" si="0"/>
        <v>8325933</v>
      </c>
      <c r="I37" s="27"/>
      <c r="J37" s="37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spans="1:27" ht="16.5" customHeight="1" x14ac:dyDescent="0.25">
      <c r="A38" s="29">
        <v>32</v>
      </c>
      <c r="B38" s="30" t="s">
        <v>45</v>
      </c>
      <c r="C38" s="31">
        <v>300403</v>
      </c>
      <c r="D38" s="31" t="s">
        <v>46</v>
      </c>
      <c r="E38" s="32">
        <v>48000</v>
      </c>
      <c r="F38" s="33"/>
      <c r="G38" s="39"/>
      <c r="H38" s="38">
        <f t="shared" si="0"/>
        <v>0</v>
      </c>
      <c r="I38" s="27"/>
      <c r="J38" s="37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spans="1:27" ht="16.5" customHeight="1" x14ac:dyDescent="0.25">
      <c r="A39" s="29">
        <v>33</v>
      </c>
      <c r="B39" s="30" t="s">
        <v>47</v>
      </c>
      <c r="C39" s="31">
        <v>400114</v>
      </c>
      <c r="D39" s="31" t="s">
        <v>34</v>
      </c>
      <c r="E39" s="32">
        <v>80000</v>
      </c>
      <c r="F39" s="33"/>
      <c r="G39" s="40"/>
      <c r="H39" s="38">
        <f t="shared" si="0"/>
        <v>0</v>
      </c>
      <c r="I39" s="27"/>
      <c r="J39" s="37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spans="1:27" ht="16.5" customHeight="1" x14ac:dyDescent="0.25">
      <c r="A40" s="29">
        <v>34</v>
      </c>
      <c r="B40" s="30" t="s">
        <v>48</v>
      </c>
      <c r="C40" s="31">
        <v>999410</v>
      </c>
      <c r="D40" s="31" t="s">
        <v>14</v>
      </c>
      <c r="E40" s="32">
        <v>7234</v>
      </c>
      <c r="F40" s="33">
        <v>1</v>
      </c>
      <c r="G40" s="34">
        <v>19</v>
      </c>
      <c r="H40" s="38">
        <f t="shared" si="0"/>
        <v>144680</v>
      </c>
      <c r="I40" s="27"/>
      <c r="J40" s="37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spans="1:27" ht="16.5" customHeight="1" x14ac:dyDescent="0.25">
      <c r="A41" s="29">
        <v>35</v>
      </c>
      <c r="B41" s="30" t="s">
        <v>49</v>
      </c>
      <c r="C41" s="31">
        <v>666109</v>
      </c>
      <c r="D41" s="31" t="s">
        <v>14</v>
      </c>
      <c r="E41" s="32">
        <v>1530</v>
      </c>
      <c r="F41" s="33">
        <v>1560</v>
      </c>
      <c r="G41" s="34">
        <v>900</v>
      </c>
      <c r="H41" s="38">
        <f t="shared" si="0"/>
        <v>3763800</v>
      </c>
      <c r="I41" s="27"/>
      <c r="J41" s="37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spans="1:27" ht="16.5" customHeight="1" x14ac:dyDescent="0.25">
      <c r="A42" s="29">
        <v>36</v>
      </c>
      <c r="B42" s="30" t="s">
        <v>50</v>
      </c>
      <c r="C42" s="31">
        <v>999712</v>
      </c>
      <c r="D42" s="31" t="s">
        <v>14</v>
      </c>
      <c r="E42" s="32">
        <v>60453</v>
      </c>
      <c r="F42" s="33">
        <v>1</v>
      </c>
      <c r="G42" s="34">
        <v>19</v>
      </c>
      <c r="H42" s="38">
        <f t="shared" si="0"/>
        <v>1209060</v>
      </c>
      <c r="I42" s="27"/>
      <c r="J42" s="37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spans="1:27" ht="16.5" customHeight="1" x14ac:dyDescent="0.25">
      <c r="A43" s="29">
        <v>37</v>
      </c>
      <c r="B43" s="30" t="s">
        <v>51</v>
      </c>
      <c r="C43" s="31">
        <v>900306</v>
      </c>
      <c r="D43" s="31" t="s">
        <v>12</v>
      </c>
      <c r="E43" s="32">
        <v>15540</v>
      </c>
      <c r="F43" s="33"/>
      <c r="G43" s="34">
        <v>3</v>
      </c>
      <c r="H43" s="38">
        <f t="shared" si="0"/>
        <v>46620</v>
      </c>
      <c r="I43" s="27"/>
      <c r="J43" s="37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spans="1:27" ht="16.5" customHeight="1" x14ac:dyDescent="0.25">
      <c r="A44" s="29">
        <v>38</v>
      </c>
      <c r="B44" s="30" t="s">
        <v>52</v>
      </c>
      <c r="C44" s="31">
        <v>333305</v>
      </c>
      <c r="D44" s="31" t="s">
        <v>12</v>
      </c>
      <c r="E44" s="32">
        <v>186</v>
      </c>
      <c r="F44" s="33">
        <v>492</v>
      </c>
      <c r="G44" s="39"/>
      <c r="H44" s="38">
        <f t="shared" si="0"/>
        <v>91512</v>
      </c>
      <c r="I44" s="27"/>
      <c r="J44" s="37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spans="1:27" ht="16.5" customHeight="1" x14ac:dyDescent="0.25">
      <c r="A45" s="29">
        <v>39</v>
      </c>
      <c r="B45" s="30" t="s">
        <v>53</v>
      </c>
      <c r="C45" s="31">
        <v>100403</v>
      </c>
      <c r="D45" s="31" t="s">
        <v>46</v>
      </c>
      <c r="E45" s="32">
        <v>53014.95</v>
      </c>
      <c r="F45" s="33">
        <v>144.559</v>
      </c>
      <c r="G45" s="34">
        <v>87</v>
      </c>
      <c r="H45" s="38">
        <f t="shared" si="0"/>
        <v>12276088.807049999</v>
      </c>
      <c r="I45" s="27"/>
      <c r="J45" s="37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spans="1:27" ht="16.5" customHeight="1" x14ac:dyDescent="0.25">
      <c r="A46" s="29">
        <v>40</v>
      </c>
      <c r="B46" s="30" t="s">
        <v>54</v>
      </c>
      <c r="C46" s="31">
        <v>333205</v>
      </c>
      <c r="D46" s="31" t="s">
        <v>12</v>
      </c>
      <c r="E46" s="32">
        <v>840</v>
      </c>
      <c r="F46" s="33">
        <v>186</v>
      </c>
      <c r="G46" s="34">
        <v>800</v>
      </c>
      <c r="H46" s="38">
        <f t="shared" si="0"/>
        <v>828240</v>
      </c>
      <c r="I46" s="27"/>
      <c r="J46" s="37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spans="1:27" ht="16.5" customHeight="1" x14ac:dyDescent="0.25">
      <c r="A47" s="29">
        <v>41</v>
      </c>
      <c r="B47" s="30" t="s">
        <v>55</v>
      </c>
      <c r="C47" s="31">
        <v>120117</v>
      </c>
      <c r="D47" s="31" t="s">
        <v>56</v>
      </c>
      <c r="E47" s="32">
        <v>17029.25</v>
      </c>
      <c r="F47" s="33">
        <v>110.98</v>
      </c>
      <c r="G47" s="34">
        <v>18</v>
      </c>
      <c r="H47" s="38">
        <f t="shared" si="0"/>
        <v>2196432.6650000005</v>
      </c>
      <c r="I47" s="27"/>
      <c r="J47" s="37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spans="1:27" ht="16.5" customHeight="1" x14ac:dyDescent="0.25">
      <c r="A48" s="29">
        <v>42</v>
      </c>
      <c r="B48" s="30" t="s">
        <v>57</v>
      </c>
      <c r="C48" s="31">
        <v>333504</v>
      </c>
      <c r="D48" s="31" t="s">
        <v>12</v>
      </c>
      <c r="E48" s="32">
        <v>200</v>
      </c>
      <c r="F48" s="33"/>
      <c r="G48" s="39"/>
      <c r="H48" s="38">
        <f t="shared" si="0"/>
        <v>0</v>
      </c>
      <c r="I48" s="27"/>
      <c r="J48" s="37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spans="1:27" ht="16.5" customHeight="1" x14ac:dyDescent="0.25">
      <c r="A49" s="29">
        <v>43</v>
      </c>
      <c r="B49" s="30" t="s">
        <v>58</v>
      </c>
      <c r="C49" s="31">
        <v>400401</v>
      </c>
      <c r="D49" s="31" t="s">
        <v>34</v>
      </c>
      <c r="E49" s="32">
        <v>90000</v>
      </c>
      <c r="F49" s="33">
        <v>1.925</v>
      </c>
      <c r="G49" s="34">
        <v>8.5</v>
      </c>
      <c r="H49" s="38">
        <f t="shared" si="0"/>
        <v>938250.00000000012</v>
      </c>
      <c r="I49" s="27"/>
      <c r="J49" s="37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spans="1:27" ht="16.5" customHeight="1" x14ac:dyDescent="0.25">
      <c r="A50" s="29">
        <v>44</v>
      </c>
      <c r="B50" s="30" t="s">
        <v>59</v>
      </c>
      <c r="C50" s="31">
        <v>800506</v>
      </c>
      <c r="D50" s="31" t="s">
        <v>34</v>
      </c>
      <c r="E50" s="32">
        <v>27240</v>
      </c>
      <c r="F50" s="33">
        <v>32.409999999999997</v>
      </c>
      <c r="G50" s="34">
        <v>30</v>
      </c>
      <c r="H50" s="38">
        <f t="shared" si="0"/>
        <v>1700048.4</v>
      </c>
      <c r="I50" s="27"/>
      <c r="J50" s="37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spans="1:27" ht="16.5" customHeight="1" x14ac:dyDescent="0.25">
      <c r="A51" s="29">
        <v>45</v>
      </c>
      <c r="B51" s="30" t="s">
        <v>60</v>
      </c>
      <c r="C51" s="31">
        <v>140603</v>
      </c>
      <c r="D51" s="31" t="s">
        <v>34</v>
      </c>
      <c r="E51" s="32">
        <v>14749.9</v>
      </c>
      <c r="F51" s="33">
        <v>10.7</v>
      </c>
      <c r="G51" s="34">
        <v>53</v>
      </c>
      <c r="H51" s="38">
        <f t="shared" si="0"/>
        <v>939568.63</v>
      </c>
      <c r="I51" s="27"/>
      <c r="J51" s="37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spans="1:27" ht="16.5" customHeight="1" x14ac:dyDescent="0.25">
      <c r="A52" s="29">
        <v>46</v>
      </c>
      <c r="B52" s="30" t="s">
        <v>61</v>
      </c>
      <c r="C52" s="31">
        <v>120111</v>
      </c>
      <c r="D52" s="31" t="s">
        <v>34</v>
      </c>
      <c r="E52" s="32">
        <v>122000</v>
      </c>
      <c r="F52" s="33">
        <v>17.375</v>
      </c>
      <c r="G52" s="40">
        <v>2.06</v>
      </c>
      <c r="H52" s="38">
        <f t="shared" si="0"/>
        <v>2371070</v>
      </c>
      <c r="I52" s="27"/>
      <c r="J52" s="37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spans="1:27" ht="16.5" customHeight="1" x14ac:dyDescent="0.25">
      <c r="A53" s="29">
        <v>47</v>
      </c>
      <c r="B53" s="30" t="s">
        <v>62</v>
      </c>
      <c r="C53" s="31">
        <v>900501</v>
      </c>
      <c r="D53" s="31" t="s">
        <v>34</v>
      </c>
      <c r="E53" s="32">
        <v>98000</v>
      </c>
      <c r="F53" s="33">
        <v>13.981</v>
      </c>
      <c r="G53" s="34">
        <v>18</v>
      </c>
      <c r="H53" s="38">
        <f t="shared" si="0"/>
        <v>3134138</v>
      </c>
      <c r="I53" s="27"/>
      <c r="J53" s="37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spans="1:27" ht="16.5" customHeight="1" x14ac:dyDescent="0.25">
      <c r="A54" s="29">
        <v>48</v>
      </c>
      <c r="B54" s="30" t="s">
        <v>63</v>
      </c>
      <c r="C54" s="31">
        <v>444903</v>
      </c>
      <c r="D54" s="31" t="s">
        <v>14</v>
      </c>
      <c r="E54" s="32">
        <v>3958</v>
      </c>
      <c r="F54" s="33">
        <v>55</v>
      </c>
      <c r="G54" s="40">
        <v>48</v>
      </c>
      <c r="H54" s="38">
        <f t="shared" si="0"/>
        <v>407674</v>
      </c>
      <c r="I54" s="27"/>
      <c r="J54" s="37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spans="1:27" ht="16.5" customHeight="1" x14ac:dyDescent="0.25">
      <c r="A55" s="29">
        <v>49</v>
      </c>
      <c r="B55" s="30" t="s">
        <v>64</v>
      </c>
      <c r="C55" s="31">
        <v>900205</v>
      </c>
      <c r="D55" s="31" t="s">
        <v>12</v>
      </c>
      <c r="E55" s="32">
        <v>6805.5555560000003</v>
      </c>
      <c r="F55" s="33">
        <v>8</v>
      </c>
      <c r="G55" s="34">
        <v>7</v>
      </c>
      <c r="H55" s="38">
        <f t="shared" si="0"/>
        <v>102083.33334</v>
      </c>
      <c r="I55" s="27"/>
      <c r="J55" s="37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spans="1:27" ht="16.5" customHeight="1" x14ac:dyDescent="0.25">
      <c r="A56" s="29">
        <v>50</v>
      </c>
      <c r="B56" s="30" t="s">
        <v>65</v>
      </c>
      <c r="C56" s="31">
        <v>666301</v>
      </c>
      <c r="D56" s="31" t="s">
        <v>66</v>
      </c>
      <c r="E56" s="32">
        <v>16000</v>
      </c>
      <c r="F56" s="33">
        <v>15</v>
      </c>
      <c r="G56" s="34">
        <v>34</v>
      </c>
      <c r="H56" s="38">
        <f t="shared" si="0"/>
        <v>784000</v>
      </c>
      <c r="I56" s="27"/>
      <c r="J56" s="37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spans="1:27" ht="16.5" customHeight="1" x14ac:dyDescent="0.25">
      <c r="A57" s="29">
        <v>51</v>
      </c>
      <c r="B57" s="30" t="s">
        <v>67</v>
      </c>
      <c r="C57" s="31">
        <v>999709</v>
      </c>
      <c r="D57" s="31" t="s">
        <v>14</v>
      </c>
      <c r="E57" s="32">
        <v>13600</v>
      </c>
      <c r="F57" s="33"/>
      <c r="G57" s="39"/>
      <c r="H57" s="38">
        <f t="shared" si="0"/>
        <v>0</v>
      </c>
      <c r="I57" s="27"/>
      <c r="J57" s="37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spans="1:27" ht="16.5" customHeight="1" x14ac:dyDescent="0.25">
      <c r="A58" s="29">
        <v>52</v>
      </c>
      <c r="B58" s="30" t="s">
        <v>68</v>
      </c>
      <c r="C58" s="31">
        <v>999407</v>
      </c>
      <c r="D58" s="31" t="s">
        <v>14</v>
      </c>
      <c r="E58" s="32">
        <v>7234</v>
      </c>
      <c r="F58" s="33"/>
      <c r="G58" s="39"/>
      <c r="H58" s="38">
        <f t="shared" si="0"/>
        <v>0</v>
      </c>
      <c r="I58" s="27"/>
      <c r="J58" s="37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spans="1:27" ht="16.5" customHeight="1" x14ac:dyDescent="0.25">
      <c r="A59" s="29">
        <v>53</v>
      </c>
      <c r="B59" s="30" t="s">
        <v>69</v>
      </c>
      <c r="C59" s="31">
        <v>999608</v>
      </c>
      <c r="D59" s="31" t="s">
        <v>14</v>
      </c>
      <c r="E59" s="32">
        <v>5989</v>
      </c>
      <c r="F59" s="33"/>
      <c r="G59" s="39"/>
      <c r="H59" s="38">
        <f t="shared" si="0"/>
        <v>0</v>
      </c>
      <c r="I59" s="27"/>
      <c r="J59" s="37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spans="1:27" ht="16.5" customHeight="1" x14ac:dyDescent="0.25">
      <c r="A60" s="29">
        <v>54</v>
      </c>
      <c r="B60" s="30" t="s">
        <v>70</v>
      </c>
      <c r="C60" s="31">
        <v>999720</v>
      </c>
      <c r="D60" s="31" t="s">
        <v>12</v>
      </c>
      <c r="E60" s="32">
        <v>3772</v>
      </c>
      <c r="F60" s="33"/>
      <c r="G60" s="39"/>
      <c r="H60" s="38">
        <f t="shared" si="0"/>
        <v>0</v>
      </c>
      <c r="I60" s="27"/>
      <c r="J60" s="37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spans="1:27" ht="16.5" customHeight="1" x14ac:dyDescent="0.25">
      <c r="A61" s="29">
        <v>55</v>
      </c>
      <c r="B61" s="30" t="s">
        <v>71</v>
      </c>
      <c r="C61" s="31">
        <v>110204</v>
      </c>
      <c r="D61" s="31" t="s">
        <v>34</v>
      </c>
      <c r="E61" s="32">
        <v>11908</v>
      </c>
      <c r="F61" s="33">
        <v>8.3000000000000007</v>
      </c>
      <c r="G61" s="34">
        <v>36</v>
      </c>
      <c r="H61" s="38">
        <f t="shared" si="0"/>
        <v>527524.4</v>
      </c>
      <c r="I61" s="27"/>
      <c r="J61" s="37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spans="1:27" ht="16.5" customHeight="1" x14ac:dyDescent="0.25">
      <c r="A62" s="29">
        <v>56</v>
      </c>
      <c r="B62" s="30" t="s">
        <v>72</v>
      </c>
      <c r="C62" s="31">
        <v>120110</v>
      </c>
      <c r="D62" s="31" t="s">
        <v>34</v>
      </c>
      <c r="E62" s="32">
        <v>116000</v>
      </c>
      <c r="F62" s="33">
        <v>15.4</v>
      </c>
      <c r="G62" s="34">
        <v>22.37</v>
      </c>
      <c r="H62" s="38">
        <f t="shared" si="0"/>
        <v>4381320</v>
      </c>
      <c r="I62" s="27"/>
      <c r="J62" s="37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spans="1:27" ht="16.5" customHeight="1" x14ac:dyDescent="0.25">
      <c r="A63" s="29">
        <v>57</v>
      </c>
      <c r="B63" s="30" t="s">
        <v>73</v>
      </c>
      <c r="C63" s="31">
        <v>400603</v>
      </c>
      <c r="D63" s="31" t="s">
        <v>34</v>
      </c>
      <c r="E63" s="32">
        <v>107115</v>
      </c>
      <c r="F63" s="33">
        <v>5</v>
      </c>
      <c r="G63" s="34">
        <v>29</v>
      </c>
      <c r="H63" s="38">
        <f t="shared" si="0"/>
        <v>3641910</v>
      </c>
      <c r="I63" s="27"/>
      <c r="J63" s="37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spans="1:27" ht="16.5" customHeight="1" x14ac:dyDescent="0.25">
      <c r="A64" s="29">
        <v>58</v>
      </c>
      <c r="B64" s="30" t="s">
        <v>74</v>
      </c>
      <c r="C64" s="31">
        <v>130324</v>
      </c>
      <c r="D64" s="31" t="s">
        <v>34</v>
      </c>
      <c r="E64" s="32">
        <v>42822.5</v>
      </c>
      <c r="F64" s="33">
        <v>70</v>
      </c>
      <c r="G64" s="34">
        <v>120</v>
      </c>
      <c r="H64" s="38">
        <f t="shared" si="0"/>
        <v>8136275</v>
      </c>
      <c r="I64" s="27"/>
      <c r="J64" s="37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spans="1:27" ht="16.5" customHeight="1" x14ac:dyDescent="0.25">
      <c r="A65" s="29">
        <v>59</v>
      </c>
      <c r="B65" s="30" t="s">
        <v>75</v>
      </c>
      <c r="C65" s="31">
        <v>140503</v>
      </c>
      <c r="D65" s="31" t="s">
        <v>46</v>
      </c>
      <c r="E65" s="32">
        <v>46620</v>
      </c>
      <c r="F65" s="33">
        <v>1.2949999999999999</v>
      </c>
      <c r="G65" s="39">
        <v>8</v>
      </c>
      <c r="H65" s="38">
        <f t="shared" si="0"/>
        <v>433332.9</v>
      </c>
      <c r="I65" s="27"/>
      <c r="J65" s="37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spans="1:27" ht="16.5" customHeight="1" x14ac:dyDescent="0.25">
      <c r="A66" s="29">
        <v>60</v>
      </c>
      <c r="B66" s="30" t="s">
        <v>76</v>
      </c>
      <c r="C66" s="31">
        <v>800502</v>
      </c>
      <c r="D66" s="31" t="s">
        <v>34</v>
      </c>
      <c r="E66" s="32">
        <v>44473.333330000001</v>
      </c>
      <c r="F66" s="33">
        <v>10.7</v>
      </c>
      <c r="G66" s="34">
        <v>15</v>
      </c>
      <c r="H66" s="38">
        <f t="shared" si="0"/>
        <v>1142964.666581</v>
      </c>
      <c r="I66" s="42"/>
      <c r="J66" s="37"/>
      <c r="K66" s="28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</row>
    <row r="67" spans="1:27" ht="16.5" customHeight="1" x14ac:dyDescent="0.25">
      <c r="A67" s="29">
        <v>61</v>
      </c>
      <c r="B67" s="30" t="s">
        <v>77</v>
      </c>
      <c r="C67" s="31">
        <v>300210</v>
      </c>
      <c r="D67" s="31" t="s">
        <v>78</v>
      </c>
      <c r="E67" s="32">
        <v>59325</v>
      </c>
      <c r="F67" s="33">
        <v>1.73</v>
      </c>
      <c r="G67" s="34">
        <v>5.5</v>
      </c>
      <c r="H67" s="38">
        <f t="shared" si="0"/>
        <v>428919.75</v>
      </c>
      <c r="I67" s="27"/>
      <c r="J67" s="37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spans="1:27" ht="16.5" customHeight="1" x14ac:dyDescent="0.25">
      <c r="A68" s="29">
        <v>62</v>
      </c>
      <c r="B68" s="30" t="s">
        <v>79</v>
      </c>
      <c r="C68" s="31">
        <v>400117</v>
      </c>
      <c r="D68" s="31" t="s">
        <v>34</v>
      </c>
      <c r="E68" s="32">
        <v>18000</v>
      </c>
      <c r="F68" s="33">
        <v>2.4500000000000002</v>
      </c>
      <c r="G68" s="34">
        <v>5.2</v>
      </c>
      <c r="H68" s="38">
        <f t="shared" si="0"/>
        <v>137700</v>
      </c>
      <c r="I68" s="27"/>
      <c r="J68" s="37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spans="1:27" ht="15" customHeight="1" x14ac:dyDescent="0.25">
      <c r="A69" s="29">
        <v>63</v>
      </c>
      <c r="B69" s="30" t="s">
        <v>80</v>
      </c>
      <c r="C69" s="31">
        <v>999420</v>
      </c>
      <c r="D69" s="31" t="s">
        <v>12</v>
      </c>
      <c r="E69" s="32">
        <v>81200</v>
      </c>
      <c r="F69" s="33">
        <v>0.9</v>
      </c>
      <c r="G69" s="40">
        <v>8</v>
      </c>
      <c r="H69" s="38">
        <f t="shared" si="0"/>
        <v>722680</v>
      </c>
      <c r="I69" s="27"/>
      <c r="J69" s="37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spans="1:27" ht="16.5" customHeight="1" x14ac:dyDescent="0.25">
      <c r="A70" s="29">
        <v>64</v>
      </c>
      <c r="B70" s="30" t="s">
        <v>81</v>
      </c>
      <c r="C70" s="31">
        <v>999722</v>
      </c>
      <c r="D70" s="31" t="s">
        <v>12</v>
      </c>
      <c r="E70" s="32">
        <v>107922</v>
      </c>
      <c r="F70" s="33">
        <v>0.6</v>
      </c>
      <c r="G70" s="34">
        <v>8</v>
      </c>
      <c r="H70" s="38">
        <f t="shared" si="0"/>
        <v>928129.2</v>
      </c>
      <c r="I70" s="27"/>
      <c r="J70" s="37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spans="1:27" ht="16.5" customHeight="1" x14ac:dyDescent="0.25">
      <c r="A71" s="29">
        <v>65</v>
      </c>
      <c r="B71" s="30" t="s">
        <v>82</v>
      </c>
      <c r="C71" s="31">
        <v>120112</v>
      </c>
      <c r="D71" s="31" t="s">
        <v>83</v>
      </c>
      <c r="E71" s="32">
        <v>158.82352940000001</v>
      </c>
      <c r="F71" s="33">
        <v>3940</v>
      </c>
      <c r="G71" s="34"/>
      <c r="H71" s="38">
        <f t="shared" si="0"/>
        <v>625764.70583600004</v>
      </c>
      <c r="I71" s="27"/>
      <c r="J71" s="37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spans="1:27" ht="16.5" customHeight="1" x14ac:dyDescent="0.25">
      <c r="A72" s="29">
        <v>66</v>
      </c>
      <c r="B72" s="30" t="s">
        <v>84</v>
      </c>
      <c r="C72" s="31">
        <v>140601</v>
      </c>
      <c r="D72" s="31" t="s">
        <v>34</v>
      </c>
      <c r="E72" s="32">
        <v>14749.9</v>
      </c>
      <c r="F72" s="33">
        <v>22.85</v>
      </c>
      <c r="G72" s="34">
        <v>51.5</v>
      </c>
      <c r="H72" s="38">
        <f t="shared" si="0"/>
        <v>1096655.0649999999</v>
      </c>
      <c r="I72" s="27"/>
      <c r="J72" s="37"/>
      <c r="K72" s="28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</row>
    <row r="73" spans="1:27" ht="16.5" customHeight="1" x14ac:dyDescent="0.25">
      <c r="A73" s="29">
        <v>67</v>
      </c>
      <c r="B73" s="30" t="s">
        <v>85</v>
      </c>
      <c r="C73" s="31">
        <v>999609</v>
      </c>
      <c r="D73" s="31" t="s">
        <v>12</v>
      </c>
      <c r="E73" s="32">
        <v>0</v>
      </c>
      <c r="F73" s="33"/>
      <c r="G73" s="39"/>
      <c r="H73" s="38">
        <f t="shared" si="0"/>
        <v>0</v>
      </c>
      <c r="I73" s="27"/>
      <c r="J73" s="37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spans="1:27" ht="16.5" customHeight="1" x14ac:dyDescent="0.25">
      <c r="A74" s="29">
        <v>68</v>
      </c>
      <c r="B74" s="30" t="s">
        <v>86</v>
      </c>
      <c r="C74" s="31">
        <v>140502</v>
      </c>
      <c r="D74" s="31" t="s">
        <v>66</v>
      </c>
      <c r="E74" s="32">
        <v>7360</v>
      </c>
      <c r="F74" s="33">
        <v>15</v>
      </c>
      <c r="G74" s="40">
        <v>500</v>
      </c>
      <c r="H74" s="38">
        <f t="shared" si="0"/>
        <v>3790400</v>
      </c>
      <c r="I74" s="27"/>
      <c r="J74" s="37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spans="1:27" ht="16.5" customHeight="1" x14ac:dyDescent="0.25">
      <c r="A75" s="29">
        <v>69</v>
      </c>
      <c r="B75" s="30" t="s">
        <v>87</v>
      </c>
      <c r="C75" s="31">
        <v>140706</v>
      </c>
      <c r="D75" s="31" t="s">
        <v>34</v>
      </c>
      <c r="E75" s="32">
        <v>53146.25</v>
      </c>
      <c r="F75" s="33">
        <v>24.617999999999999</v>
      </c>
      <c r="G75" s="39"/>
      <c r="H75" s="38">
        <f t="shared" si="0"/>
        <v>1308354.3824999998</v>
      </c>
      <c r="I75" s="27"/>
      <c r="J75" s="37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spans="1:27" ht="16.5" customHeight="1" x14ac:dyDescent="0.25">
      <c r="A76" s="29">
        <v>70</v>
      </c>
      <c r="B76" s="30" t="s">
        <v>88</v>
      </c>
      <c r="C76" s="31">
        <v>100101</v>
      </c>
      <c r="D76" s="31" t="s">
        <v>46</v>
      </c>
      <c r="E76" s="32">
        <v>66600</v>
      </c>
      <c r="F76" s="33">
        <v>3</v>
      </c>
      <c r="G76" s="34">
        <v>23</v>
      </c>
      <c r="H76" s="38">
        <f t="shared" si="0"/>
        <v>1731600</v>
      </c>
      <c r="I76" s="27"/>
      <c r="J76" s="37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spans="1:27" ht="16.5" customHeight="1" x14ac:dyDescent="0.25">
      <c r="A77" s="29">
        <v>71</v>
      </c>
      <c r="B77" s="30" t="s">
        <v>89</v>
      </c>
      <c r="C77" s="31">
        <v>100208</v>
      </c>
      <c r="D77" s="31" t="s">
        <v>46</v>
      </c>
      <c r="E77" s="32">
        <v>94812.5</v>
      </c>
      <c r="F77" s="33">
        <v>11.1</v>
      </c>
      <c r="G77" s="39">
        <v>19</v>
      </c>
      <c r="H77" s="38">
        <f t="shared" si="0"/>
        <v>2853856.25</v>
      </c>
      <c r="I77" s="27"/>
      <c r="J77" s="37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spans="1:27" ht="16.5" customHeight="1" x14ac:dyDescent="0.25">
      <c r="A78" s="29">
        <v>72</v>
      </c>
      <c r="B78" s="30" t="s">
        <v>90</v>
      </c>
      <c r="C78" s="31">
        <v>222204</v>
      </c>
      <c r="D78" s="31" t="s">
        <v>12</v>
      </c>
      <c r="E78" s="32">
        <v>1916.666667</v>
      </c>
      <c r="F78" s="33">
        <v>16</v>
      </c>
      <c r="G78" s="34">
        <v>120</v>
      </c>
      <c r="H78" s="38">
        <f t="shared" si="0"/>
        <v>260666.66671200001</v>
      </c>
      <c r="I78" s="27"/>
      <c r="J78" s="37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spans="1:27" ht="16.5" customHeight="1" x14ac:dyDescent="0.25">
      <c r="A79" s="29">
        <v>73</v>
      </c>
      <c r="B79" s="30" t="s">
        <v>91</v>
      </c>
      <c r="C79" s="31">
        <v>300106</v>
      </c>
      <c r="D79" s="31" t="s">
        <v>46</v>
      </c>
      <c r="E79" s="32">
        <v>87368.421050000004</v>
      </c>
      <c r="F79" s="33">
        <v>2.29</v>
      </c>
      <c r="G79" s="34">
        <v>9.5</v>
      </c>
      <c r="H79" s="38">
        <f t="shared" si="0"/>
        <v>1030073.6841795</v>
      </c>
      <c r="I79" s="27"/>
      <c r="J79" s="37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spans="1:27" ht="16.5" customHeight="1" x14ac:dyDescent="0.25">
      <c r="A80" s="29">
        <v>74</v>
      </c>
      <c r="B80" s="30" t="s">
        <v>92</v>
      </c>
      <c r="C80" s="31">
        <v>333502</v>
      </c>
      <c r="D80" s="31" t="s">
        <v>12</v>
      </c>
      <c r="E80" s="32">
        <v>180</v>
      </c>
      <c r="F80" s="33">
        <v>1382</v>
      </c>
      <c r="G80" s="34">
        <v>4300</v>
      </c>
      <c r="H80" s="38">
        <f t="shared" si="0"/>
        <v>1022760</v>
      </c>
      <c r="I80" s="27"/>
      <c r="J80" s="37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spans="1:27" ht="16.5" customHeight="1" x14ac:dyDescent="0.25">
      <c r="A81" s="29">
        <v>75</v>
      </c>
      <c r="B81" s="30" t="s">
        <v>93</v>
      </c>
      <c r="C81" s="31">
        <v>600105</v>
      </c>
      <c r="D81" s="31" t="s">
        <v>94</v>
      </c>
      <c r="E81" s="32">
        <v>160</v>
      </c>
      <c r="F81" s="33"/>
      <c r="G81" s="39"/>
      <c r="H81" s="38">
        <f t="shared" si="0"/>
        <v>0</v>
      </c>
      <c r="I81" s="27"/>
      <c r="J81" s="37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spans="1:27" ht="16.5" customHeight="1" x14ac:dyDescent="0.25">
      <c r="A82" s="29">
        <v>76</v>
      </c>
      <c r="B82" s="30" t="s">
        <v>95</v>
      </c>
      <c r="C82" s="31">
        <v>999706</v>
      </c>
      <c r="D82" s="31" t="s">
        <v>14</v>
      </c>
      <c r="E82" s="32">
        <v>21636</v>
      </c>
      <c r="F82" s="33">
        <v>6.75</v>
      </c>
      <c r="G82" s="34">
        <v>3</v>
      </c>
      <c r="H82" s="38">
        <f t="shared" si="0"/>
        <v>210951</v>
      </c>
      <c r="I82" s="27"/>
      <c r="J82" s="37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spans="1:27" ht="16.5" customHeight="1" x14ac:dyDescent="0.25">
      <c r="A83" s="29">
        <v>77</v>
      </c>
      <c r="B83" s="30" t="s">
        <v>96</v>
      </c>
      <c r="C83" s="31">
        <v>999405</v>
      </c>
      <c r="D83" s="31" t="s">
        <v>14</v>
      </c>
      <c r="E83" s="32">
        <v>14148</v>
      </c>
      <c r="F83" s="33"/>
      <c r="G83" s="39">
        <v>3</v>
      </c>
      <c r="H83" s="38">
        <f t="shared" si="0"/>
        <v>42444</v>
      </c>
      <c r="I83" s="27"/>
      <c r="J83" s="37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spans="1:27" ht="16.5" customHeight="1" x14ac:dyDescent="0.25">
      <c r="A84" s="29">
        <v>78</v>
      </c>
      <c r="B84" s="30" t="s">
        <v>97</v>
      </c>
      <c r="C84" s="31">
        <v>999707</v>
      </c>
      <c r="D84" s="31" t="s">
        <v>14</v>
      </c>
      <c r="E84" s="32">
        <v>72625</v>
      </c>
      <c r="F84" s="33">
        <v>2</v>
      </c>
      <c r="G84" s="40">
        <v>1.5</v>
      </c>
      <c r="H84" s="38">
        <f t="shared" si="0"/>
        <v>254187.5</v>
      </c>
      <c r="I84" s="27"/>
      <c r="J84" s="37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spans="1:27" ht="16.5" customHeight="1" x14ac:dyDescent="0.25">
      <c r="A85" s="29">
        <v>79</v>
      </c>
      <c r="B85" s="30" t="s">
        <v>98</v>
      </c>
      <c r="C85" s="31">
        <v>110203</v>
      </c>
      <c r="D85" s="31" t="s">
        <v>34</v>
      </c>
      <c r="E85" s="32">
        <v>12375</v>
      </c>
      <c r="F85" s="33">
        <v>6.4</v>
      </c>
      <c r="G85" s="34">
        <v>21</v>
      </c>
      <c r="H85" s="38">
        <f t="shared" si="0"/>
        <v>339075</v>
      </c>
      <c r="I85" s="27"/>
      <c r="J85" s="37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spans="1:27" ht="16.5" customHeight="1" x14ac:dyDescent="0.25">
      <c r="A86" s="29">
        <v>80</v>
      </c>
      <c r="B86" s="30" t="s">
        <v>99</v>
      </c>
      <c r="C86" s="31">
        <v>150103</v>
      </c>
      <c r="D86" s="31" t="s">
        <v>34</v>
      </c>
      <c r="E86" s="32">
        <v>150000</v>
      </c>
      <c r="F86" s="33"/>
      <c r="G86" s="34"/>
      <c r="H86" s="38">
        <f t="shared" si="0"/>
        <v>0</v>
      </c>
      <c r="I86" s="27"/>
      <c r="J86" s="37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spans="1:27" ht="16.5" customHeight="1" x14ac:dyDescent="0.25">
      <c r="A87" s="29">
        <v>81</v>
      </c>
      <c r="B87" s="30" t="s">
        <v>100</v>
      </c>
      <c r="C87" s="31">
        <v>150104</v>
      </c>
      <c r="D87" s="31" t="s">
        <v>34</v>
      </c>
      <c r="E87" s="32">
        <v>100000</v>
      </c>
      <c r="F87" s="33"/>
      <c r="G87" s="34">
        <v>1.5</v>
      </c>
      <c r="H87" s="38">
        <f t="shared" si="0"/>
        <v>150000</v>
      </c>
      <c r="I87" s="27"/>
      <c r="J87" s="37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spans="1:27" ht="16.5" customHeight="1" x14ac:dyDescent="0.25">
      <c r="A88" s="29">
        <v>82</v>
      </c>
      <c r="B88" s="30" t="s">
        <v>101</v>
      </c>
      <c r="C88" s="31">
        <v>400113</v>
      </c>
      <c r="D88" s="31" t="s">
        <v>34</v>
      </c>
      <c r="E88" s="32">
        <v>152070</v>
      </c>
      <c r="F88" s="33">
        <v>1.85</v>
      </c>
      <c r="G88" s="40">
        <v>9</v>
      </c>
      <c r="H88" s="38">
        <f t="shared" si="0"/>
        <v>1649959.5</v>
      </c>
      <c r="I88" s="27"/>
      <c r="J88" s="37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spans="1:27" ht="16.5" customHeight="1" x14ac:dyDescent="0.25">
      <c r="A89" s="29">
        <v>83</v>
      </c>
      <c r="B89" s="30" t="s">
        <v>102</v>
      </c>
      <c r="C89" s="31">
        <v>140807</v>
      </c>
      <c r="D89" s="31" t="s">
        <v>34</v>
      </c>
      <c r="E89" s="32">
        <v>22727</v>
      </c>
      <c r="F89" s="33">
        <v>0.58499999999999996</v>
      </c>
      <c r="G89" s="39">
        <v>1.5</v>
      </c>
      <c r="H89" s="38">
        <f t="shared" si="0"/>
        <v>47385.794999999998</v>
      </c>
      <c r="I89" s="27"/>
      <c r="J89" s="37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spans="1:27" ht="16.5" customHeight="1" x14ac:dyDescent="0.25">
      <c r="A90" s="29">
        <v>84</v>
      </c>
      <c r="B90" s="30" t="s">
        <v>103</v>
      </c>
      <c r="C90" s="31">
        <v>800201</v>
      </c>
      <c r="D90" s="31" t="s">
        <v>34</v>
      </c>
      <c r="E90" s="32">
        <v>24613.333330000001</v>
      </c>
      <c r="F90" s="33"/>
      <c r="G90" s="34"/>
      <c r="H90" s="38">
        <f t="shared" si="0"/>
        <v>0</v>
      </c>
      <c r="I90" s="27"/>
      <c r="J90" s="37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spans="1:27" ht="16.5" customHeight="1" x14ac:dyDescent="0.25">
      <c r="A91" s="29">
        <v>85</v>
      </c>
      <c r="B91" s="30" t="s">
        <v>104</v>
      </c>
      <c r="C91" s="31">
        <v>600101</v>
      </c>
      <c r="D91" s="31" t="s">
        <v>34</v>
      </c>
      <c r="E91" s="32">
        <v>28880</v>
      </c>
      <c r="F91" s="33">
        <v>1.5409999999999999</v>
      </c>
      <c r="G91" s="40">
        <v>10</v>
      </c>
      <c r="H91" s="38">
        <f t="shared" si="0"/>
        <v>333304.08</v>
      </c>
      <c r="I91" s="27"/>
      <c r="J91" s="37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spans="1:27" ht="16.5" customHeight="1" x14ac:dyDescent="0.25">
      <c r="A92" s="29">
        <v>86</v>
      </c>
      <c r="B92" s="30" t="s">
        <v>105</v>
      </c>
      <c r="C92" s="31">
        <v>800103</v>
      </c>
      <c r="D92" s="31" t="s">
        <v>34</v>
      </c>
      <c r="E92" s="32">
        <v>45288</v>
      </c>
      <c r="F92" s="33"/>
      <c r="G92" s="34">
        <v>35</v>
      </c>
      <c r="H92" s="38">
        <f t="shared" si="0"/>
        <v>1585080</v>
      </c>
      <c r="I92" s="27"/>
      <c r="J92" s="37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spans="1:27" ht="16.5" customHeight="1" x14ac:dyDescent="0.25">
      <c r="A93" s="29">
        <v>87</v>
      </c>
      <c r="B93" s="30" t="s">
        <v>106</v>
      </c>
      <c r="C93" s="31">
        <v>600301</v>
      </c>
      <c r="D93" s="31" t="s">
        <v>34</v>
      </c>
      <c r="E93" s="32">
        <v>24420</v>
      </c>
      <c r="F93" s="33"/>
      <c r="G93" s="39"/>
      <c r="H93" s="38">
        <f t="shared" si="0"/>
        <v>0</v>
      </c>
      <c r="I93" s="27"/>
      <c r="J93" s="37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spans="1:27" ht="16.5" customHeight="1" x14ac:dyDescent="0.25">
      <c r="A94" s="29">
        <v>88</v>
      </c>
      <c r="B94" s="30" t="s">
        <v>107</v>
      </c>
      <c r="C94" s="31">
        <v>100203</v>
      </c>
      <c r="D94" s="31" t="s">
        <v>46</v>
      </c>
      <c r="E94" s="32">
        <v>65190</v>
      </c>
      <c r="F94" s="33">
        <v>37.027999999999999</v>
      </c>
      <c r="G94" s="39"/>
      <c r="H94" s="38">
        <f t="shared" si="0"/>
        <v>2413855.3199999998</v>
      </c>
      <c r="I94" s="27"/>
      <c r="J94" s="37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spans="1:27" ht="16.5" customHeight="1" x14ac:dyDescent="0.25">
      <c r="A95" s="29">
        <v>89</v>
      </c>
      <c r="B95" s="30" t="s">
        <v>108</v>
      </c>
      <c r="C95" s="31">
        <v>200118</v>
      </c>
      <c r="D95" s="31" t="s">
        <v>12</v>
      </c>
      <c r="E95" s="32">
        <v>42350</v>
      </c>
      <c r="F95" s="33">
        <v>31.1</v>
      </c>
      <c r="G95" s="39"/>
      <c r="H95" s="38">
        <f t="shared" si="0"/>
        <v>1317085</v>
      </c>
      <c r="I95" s="27"/>
      <c r="J95" s="37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spans="1:27" ht="16.5" customHeight="1" x14ac:dyDescent="0.25">
      <c r="A96" s="29">
        <v>90</v>
      </c>
      <c r="B96" s="30" t="s">
        <v>109</v>
      </c>
      <c r="C96" s="31">
        <v>400601</v>
      </c>
      <c r="D96" s="31" t="s">
        <v>34</v>
      </c>
      <c r="E96" s="32">
        <v>55000</v>
      </c>
      <c r="F96" s="33"/>
      <c r="G96" s="34">
        <v>3.5</v>
      </c>
      <c r="H96" s="38">
        <f t="shared" si="0"/>
        <v>192500</v>
      </c>
      <c r="I96" s="27"/>
      <c r="J96" s="37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spans="1:27" ht="16.5" customHeight="1" x14ac:dyDescent="0.25">
      <c r="A97" s="29">
        <v>91</v>
      </c>
      <c r="B97" s="30" t="s">
        <v>110</v>
      </c>
      <c r="C97" s="31">
        <v>100302</v>
      </c>
      <c r="D97" s="31" t="s">
        <v>46</v>
      </c>
      <c r="E97" s="32">
        <v>70700</v>
      </c>
      <c r="F97" s="33"/>
      <c r="G97" s="34"/>
      <c r="H97" s="38">
        <f t="shared" si="0"/>
        <v>0</v>
      </c>
      <c r="I97" s="27"/>
      <c r="J97" s="37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spans="1:27" ht="16.5" customHeight="1" x14ac:dyDescent="0.25">
      <c r="A98" s="29">
        <v>92</v>
      </c>
      <c r="B98" s="30" t="s">
        <v>111</v>
      </c>
      <c r="C98" s="31">
        <v>666101</v>
      </c>
      <c r="D98" s="31" t="s">
        <v>112</v>
      </c>
      <c r="E98" s="32">
        <v>2500</v>
      </c>
      <c r="F98" s="33">
        <v>20</v>
      </c>
      <c r="G98" s="34">
        <v>15</v>
      </c>
      <c r="H98" s="38">
        <f t="shared" si="0"/>
        <v>87500</v>
      </c>
      <c r="I98" s="27"/>
      <c r="J98" s="37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spans="1:27" ht="16.5" customHeight="1" x14ac:dyDescent="0.25">
      <c r="A99" s="29">
        <v>93</v>
      </c>
      <c r="B99" s="30" t="s">
        <v>113</v>
      </c>
      <c r="C99" s="31">
        <v>700105</v>
      </c>
      <c r="D99" s="31" t="s">
        <v>34</v>
      </c>
      <c r="E99" s="32">
        <v>54922.875</v>
      </c>
      <c r="F99" s="33">
        <v>12.846</v>
      </c>
      <c r="G99" s="34">
        <v>36</v>
      </c>
      <c r="H99" s="38">
        <f t="shared" si="0"/>
        <v>2682762.7522500004</v>
      </c>
      <c r="I99" s="27"/>
      <c r="J99" s="37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spans="1:27" ht="16.5" customHeight="1" x14ac:dyDescent="0.25">
      <c r="A100" s="29">
        <v>94</v>
      </c>
      <c r="B100" s="30" t="s">
        <v>114</v>
      </c>
      <c r="C100" s="31">
        <v>600103</v>
      </c>
      <c r="D100" s="31" t="s">
        <v>34</v>
      </c>
      <c r="E100" s="32">
        <v>15000</v>
      </c>
      <c r="F100" s="33"/>
      <c r="G100" s="34">
        <v>63</v>
      </c>
      <c r="H100" s="38">
        <f t="shared" si="0"/>
        <v>945000</v>
      </c>
      <c r="I100" s="27"/>
      <c r="J100" s="37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spans="1:27" ht="16.5" customHeight="1" x14ac:dyDescent="0.25">
      <c r="A101" s="29">
        <v>95</v>
      </c>
      <c r="B101" s="30" t="s">
        <v>115</v>
      </c>
      <c r="C101" s="31">
        <v>900101</v>
      </c>
      <c r="D101" s="31" t="s">
        <v>34</v>
      </c>
      <c r="E101" s="32">
        <v>190000</v>
      </c>
      <c r="F101" s="33">
        <v>1.958</v>
      </c>
      <c r="G101" s="34"/>
      <c r="H101" s="38">
        <f t="shared" si="0"/>
        <v>372020</v>
      </c>
      <c r="I101" s="27"/>
      <c r="J101" s="37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spans="1:27" ht="16.5" customHeight="1" x14ac:dyDescent="0.25">
      <c r="A102" s="29">
        <v>96</v>
      </c>
      <c r="B102" s="30" t="s">
        <v>116</v>
      </c>
      <c r="C102" s="31">
        <v>800402</v>
      </c>
      <c r="D102" s="31" t="s">
        <v>56</v>
      </c>
      <c r="E102" s="32">
        <v>21354.166669999999</v>
      </c>
      <c r="F102" s="33">
        <v>6.9530000000000003</v>
      </c>
      <c r="G102" s="34">
        <v>22</v>
      </c>
      <c r="H102" s="38">
        <f t="shared" si="0"/>
        <v>618267.18759650993</v>
      </c>
      <c r="I102" s="27"/>
      <c r="J102" s="37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spans="1:27" ht="16.5" customHeight="1" x14ac:dyDescent="0.25">
      <c r="A103" s="29">
        <v>97</v>
      </c>
      <c r="B103" s="30" t="s">
        <v>117</v>
      </c>
      <c r="C103" s="31">
        <v>444502</v>
      </c>
      <c r="D103" s="31" t="s">
        <v>14</v>
      </c>
      <c r="E103" s="32">
        <v>6850</v>
      </c>
      <c r="F103" s="33">
        <v>7.56</v>
      </c>
      <c r="G103" s="34">
        <v>13</v>
      </c>
      <c r="H103" s="38">
        <f t="shared" si="0"/>
        <v>140836</v>
      </c>
      <c r="I103" s="27"/>
      <c r="J103" s="37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spans="1:27" ht="16.5" customHeight="1" x14ac:dyDescent="0.25">
      <c r="A104" s="29">
        <v>98</v>
      </c>
      <c r="B104" s="30" t="s">
        <v>118</v>
      </c>
      <c r="C104" s="31">
        <v>444803</v>
      </c>
      <c r="D104" s="31" t="s">
        <v>14</v>
      </c>
      <c r="E104" s="32">
        <v>175000</v>
      </c>
      <c r="F104" s="33"/>
      <c r="G104" s="34"/>
      <c r="H104" s="38">
        <f t="shared" si="0"/>
        <v>0</v>
      </c>
      <c r="I104" s="27"/>
      <c r="J104" s="37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spans="1:27" ht="16.5" customHeight="1" x14ac:dyDescent="0.25">
      <c r="A105" s="29">
        <v>99</v>
      </c>
      <c r="B105" s="30" t="s">
        <v>119</v>
      </c>
      <c r="C105" s="31">
        <v>444901</v>
      </c>
      <c r="D105" s="31" t="s">
        <v>66</v>
      </c>
      <c r="E105" s="32">
        <v>16000</v>
      </c>
      <c r="F105" s="33">
        <v>6.9</v>
      </c>
      <c r="G105" s="34">
        <v>30</v>
      </c>
      <c r="H105" s="38">
        <f t="shared" si="0"/>
        <v>590400</v>
      </c>
      <c r="I105" s="27"/>
      <c r="J105" s="37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spans="1:27" ht="16.5" customHeight="1" x14ac:dyDescent="0.25">
      <c r="A106" s="29">
        <v>100</v>
      </c>
      <c r="B106" s="30" t="s">
        <v>120</v>
      </c>
      <c r="C106" s="31">
        <v>666103</v>
      </c>
      <c r="D106" s="31" t="s">
        <v>112</v>
      </c>
      <c r="E106" s="32">
        <v>2166.666667</v>
      </c>
      <c r="F106" s="33">
        <v>13</v>
      </c>
      <c r="G106" s="34">
        <v>10</v>
      </c>
      <c r="H106" s="38">
        <f t="shared" si="0"/>
        <v>49833.333340999998</v>
      </c>
      <c r="I106" s="27"/>
      <c r="J106" s="37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spans="1:27" ht="16.5" customHeight="1" x14ac:dyDescent="0.25">
      <c r="A107" s="29">
        <v>101</v>
      </c>
      <c r="B107" s="30" t="s">
        <v>121</v>
      </c>
      <c r="C107" s="31">
        <v>800504</v>
      </c>
      <c r="D107" s="31" t="s">
        <v>34</v>
      </c>
      <c r="E107" s="32">
        <v>35306.666669999999</v>
      </c>
      <c r="F107" s="33">
        <v>19.53</v>
      </c>
      <c r="G107" s="40">
        <v>15</v>
      </c>
      <c r="H107" s="38">
        <f t="shared" si="0"/>
        <v>1219139.2001151</v>
      </c>
      <c r="I107" s="27"/>
      <c r="J107" s="37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spans="1:27" ht="16.5" customHeight="1" x14ac:dyDescent="0.25">
      <c r="A108" s="29">
        <v>102</v>
      </c>
      <c r="B108" s="30" t="s">
        <v>122</v>
      </c>
      <c r="C108" s="31">
        <v>999729</v>
      </c>
      <c r="D108" s="31" t="s">
        <v>14</v>
      </c>
      <c r="E108" s="32">
        <v>76108</v>
      </c>
      <c r="F108" s="33">
        <v>1</v>
      </c>
      <c r="G108" s="34">
        <v>4</v>
      </c>
      <c r="H108" s="38">
        <f t="shared" si="0"/>
        <v>380540</v>
      </c>
      <c r="I108" s="27"/>
      <c r="J108" s="37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spans="1:27" ht="16.5" customHeight="1" x14ac:dyDescent="0.25">
      <c r="A109" s="29">
        <v>103</v>
      </c>
      <c r="B109" s="30" t="s">
        <v>123</v>
      </c>
      <c r="C109" s="31">
        <v>444302</v>
      </c>
      <c r="D109" s="31" t="s">
        <v>34</v>
      </c>
      <c r="E109" s="32">
        <v>19000</v>
      </c>
      <c r="F109" s="33"/>
      <c r="G109" s="34">
        <v>72</v>
      </c>
      <c r="H109" s="38">
        <f t="shared" si="0"/>
        <v>1368000</v>
      </c>
      <c r="I109" s="27"/>
      <c r="J109" s="37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spans="1:27" ht="16.5" customHeight="1" x14ac:dyDescent="0.25">
      <c r="A110" s="29">
        <v>104</v>
      </c>
      <c r="B110" s="30" t="s">
        <v>124</v>
      </c>
      <c r="C110" s="31">
        <v>444804</v>
      </c>
      <c r="D110" s="31" t="s">
        <v>125</v>
      </c>
      <c r="E110" s="32">
        <v>13500</v>
      </c>
      <c r="F110" s="33">
        <v>7</v>
      </c>
      <c r="G110" s="34">
        <v>6</v>
      </c>
      <c r="H110" s="38">
        <f t="shared" si="0"/>
        <v>175500</v>
      </c>
      <c r="I110" s="27"/>
      <c r="J110" s="37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spans="1:27" ht="16.5" customHeight="1" x14ac:dyDescent="0.25">
      <c r="A111" s="29">
        <v>105</v>
      </c>
      <c r="B111" s="30" t="s">
        <v>126</v>
      </c>
      <c r="C111" s="31">
        <v>140205</v>
      </c>
      <c r="D111" s="31" t="s">
        <v>34</v>
      </c>
      <c r="E111" s="32">
        <v>44844</v>
      </c>
      <c r="F111" s="33">
        <v>9.17</v>
      </c>
      <c r="G111" s="34">
        <v>30</v>
      </c>
      <c r="H111" s="38">
        <f t="shared" si="0"/>
        <v>1756539.48</v>
      </c>
      <c r="I111" s="27"/>
      <c r="J111" s="37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spans="1:27" ht="16.5" customHeight="1" x14ac:dyDescent="0.25">
      <c r="A112" s="29">
        <v>106</v>
      </c>
      <c r="B112" s="30" t="s">
        <v>127</v>
      </c>
      <c r="C112" s="31">
        <v>140519</v>
      </c>
      <c r="D112" s="31" t="s">
        <v>34</v>
      </c>
      <c r="E112" s="32">
        <v>65000</v>
      </c>
      <c r="F112" s="33">
        <v>1.7290000000000001</v>
      </c>
      <c r="G112" s="40"/>
      <c r="H112" s="38">
        <f t="shared" si="0"/>
        <v>112385</v>
      </c>
      <c r="I112" s="27"/>
      <c r="J112" s="37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spans="1:27" ht="16.5" customHeight="1" x14ac:dyDescent="0.25">
      <c r="A113" s="29">
        <v>107</v>
      </c>
      <c r="B113" s="30" t="s">
        <v>128</v>
      </c>
      <c r="C113" s="31">
        <v>400102</v>
      </c>
      <c r="D113" s="31" t="s">
        <v>34</v>
      </c>
      <c r="E113" s="32">
        <v>185185.18520000001</v>
      </c>
      <c r="F113" s="33">
        <v>14.43</v>
      </c>
      <c r="G113" s="34">
        <v>15.725</v>
      </c>
      <c r="H113" s="38">
        <f t="shared" si="0"/>
        <v>5584259.2597060008</v>
      </c>
      <c r="I113" s="27"/>
      <c r="J113" s="37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spans="1:27" ht="16.5" customHeight="1" x14ac:dyDescent="0.25">
      <c r="A114" s="29">
        <v>108</v>
      </c>
      <c r="B114" s="30" t="s">
        <v>129</v>
      </c>
      <c r="C114" s="31">
        <v>140418</v>
      </c>
      <c r="D114" s="31" t="s">
        <v>34</v>
      </c>
      <c r="E114" s="32">
        <v>58117.5</v>
      </c>
      <c r="F114" s="33">
        <v>12.292</v>
      </c>
      <c r="G114" s="39"/>
      <c r="H114" s="38">
        <f t="shared" si="0"/>
        <v>714380.30999999994</v>
      </c>
      <c r="I114" s="27"/>
      <c r="J114" s="37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spans="1:27" ht="16.5" customHeight="1" x14ac:dyDescent="0.25">
      <c r="A115" s="29">
        <v>109</v>
      </c>
      <c r="B115" s="30" t="s">
        <v>130</v>
      </c>
      <c r="C115" s="31">
        <v>700104</v>
      </c>
      <c r="D115" s="31" t="s">
        <v>34</v>
      </c>
      <c r="E115" s="32">
        <v>48724.3125</v>
      </c>
      <c r="F115" s="33">
        <v>27.6</v>
      </c>
      <c r="G115" s="34">
        <v>50</v>
      </c>
      <c r="H115" s="38">
        <f t="shared" si="0"/>
        <v>3781006.65</v>
      </c>
      <c r="I115" s="27"/>
      <c r="J115" s="37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spans="1:27" ht="16.5" customHeight="1" x14ac:dyDescent="0.25">
      <c r="A116" s="29">
        <v>110</v>
      </c>
      <c r="B116" s="30" t="s">
        <v>131</v>
      </c>
      <c r="C116" s="31">
        <v>110404</v>
      </c>
      <c r="D116" s="31" t="s">
        <v>34</v>
      </c>
      <c r="E116" s="32">
        <v>27960</v>
      </c>
      <c r="F116" s="33">
        <v>5.34</v>
      </c>
      <c r="G116" s="39"/>
      <c r="H116" s="38">
        <f t="shared" si="0"/>
        <v>149306.4</v>
      </c>
      <c r="I116" s="27"/>
      <c r="J116" s="37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spans="1:27" ht="15" customHeight="1" x14ac:dyDescent="0.25">
      <c r="A117" s="29">
        <v>111</v>
      </c>
      <c r="B117" s="30" t="s">
        <v>132</v>
      </c>
      <c r="C117" s="31">
        <v>130104</v>
      </c>
      <c r="D117" s="31" t="s">
        <v>34</v>
      </c>
      <c r="E117" s="32">
        <v>316350</v>
      </c>
      <c r="F117" s="33"/>
      <c r="G117" s="34"/>
      <c r="H117" s="38">
        <f t="shared" si="0"/>
        <v>0</v>
      </c>
      <c r="I117" s="27"/>
      <c r="J117" s="37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spans="1:27" ht="16.5" customHeight="1" x14ac:dyDescent="0.25">
      <c r="A118" s="29">
        <v>112</v>
      </c>
      <c r="B118" s="30" t="s">
        <v>133</v>
      </c>
      <c r="C118" s="31">
        <v>800406</v>
      </c>
      <c r="D118" s="31" t="s">
        <v>34</v>
      </c>
      <c r="E118" s="32">
        <v>31833.333330000001</v>
      </c>
      <c r="F118" s="33">
        <v>33.21</v>
      </c>
      <c r="G118" s="34">
        <v>36</v>
      </c>
      <c r="H118" s="38">
        <f t="shared" si="0"/>
        <v>2203184.9997693002</v>
      </c>
      <c r="I118" s="27"/>
      <c r="J118" s="37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spans="1:27" ht="16.5" customHeight="1" x14ac:dyDescent="0.25">
      <c r="A119" s="29">
        <v>113</v>
      </c>
      <c r="B119" s="30" t="s">
        <v>134</v>
      </c>
      <c r="C119" s="31">
        <v>400207</v>
      </c>
      <c r="D119" s="31" t="s">
        <v>34</v>
      </c>
      <c r="E119" s="32">
        <v>125000</v>
      </c>
      <c r="F119" s="33"/>
      <c r="G119" s="34"/>
      <c r="H119" s="38">
        <f t="shared" si="0"/>
        <v>0</v>
      </c>
      <c r="I119" s="27"/>
      <c r="J119" s="37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spans="1:27" ht="16.5" customHeight="1" x14ac:dyDescent="0.25">
      <c r="A120" s="29">
        <v>114</v>
      </c>
      <c r="B120" s="30" t="s">
        <v>135</v>
      </c>
      <c r="C120" s="31">
        <v>140801</v>
      </c>
      <c r="D120" s="31" t="s">
        <v>34</v>
      </c>
      <c r="E120" s="32">
        <v>45807.701999999997</v>
      </c>
      <c r="F120" s="33"/>
      <c r="G120" s="39"/>
      <c r="H120" s="38">
        <f t="shared" si="0"/>
        <v>0</v>
      </c>
      <c r="I120" s="27"/>
      <c r="J120" s="37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spans="1:27" ht="16.5" customHeight="1" x14ac:dyDescent="0.25">
      <c r="A121" s="29">
        <v>115</v>
      </c>
      <c r="B121" s="30" t="s">
        <v>136</v>
      </c>
      <c r="C121" s="31">
        <v>900207</v>
      </c>
      <c r="D121" s="31" t="s">
        <v>12</v>
      </c>
      <c r="E121" s="32">
        <v>7309.165</v>
      </c>
      <c r="F121" s="33">
        <v>3.43</v>
      </c>
      <c r="G121" s="34">
        <v>6</v>
      </c>
      <c r="H121" s="38">
        <f t="shared" si="0"/>
        <v>68925.425950000004</v>
      </c>
      <c r="I121" s="27"/>
      <c r="J121" s="37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spans="1:27" ht="16.5" customHeight="1" x14ac:dyDescent="0.25">
      <c r="A122" s="29">
        <v>116</v>
      </c>
      <c r="B122" s="30" t="s">
        <v>137</v>
      </c>
      <c r="C122" s="31">
        <v>110300</v>
      </c>
      <c r="D122" s="31" t="s">
        <v>14</v>
      </c>
      <c r="E122" s="32">
        <v>1950</v>
      </c>
      <c r="F122" s="33">
        <v>35.112000000000002</v>
      </c>
      <c r="G122" s="34">
        <v>21</v>
      </c>
      <c r="H122" s="38">
        <f t="shared" si="0"/>
        <v>109418.40000000001</v>
      </c>
      <c r="I122" s="27"/>
      <c r="J122" s="37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spans="1:27" ht="16.5" customHeight="1" x14ac:dyDescent="0.25">
      <c r="A123" s="29">
        <v>117</v>
      </c>
      <c r="B123" s="30" t="s">
        <v>138</v>
      </c>
      <c r="C123" s="31">
        <v>140421</v>
      </c>
      <c r="D123" s="31" t="s">
        <v>34</v>
      </c>
      <c r="E123" s="32">
        <v>58117.5</v>
      </c>
      <c r="F123" s="33">
        <v>6.0880000000000001</v>
      </c>
      <c r="G123" s="39"/>
      <c r="H123" s="38">
        <f t="shared" si="0"/>
        <v>353819.34</v>
      </c>
      <c r="I123" s="27"/>
      <c r="J123" s="37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spans="1:27" ht="16.5" customHeight="1" x14ac:dyDescent="0.25">
      <c r="A124" s="29">
        <v>118</v>
      </c>
      <c r="B124" s="30" t="s">
        <v>139</v>
      </c>
      <c r="C124" s="31">
        <v>130322</v>
      </c>
      <c r="D124" s="31" t="s">
        <v>34</v>
      </c>
      <c r="E124" s="32">
        <v>8120</v>
      </c>
      <c r="F124" s="33"/>
      <c r="G124" s="34"/>
      <c r="H124" s="38">
        <f t="shared" si="0"/>
        <v>0</v>
      </c>
      <c r="I124" s="27"/>
      <c r="J124" s="37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spans="1:27" ht="16.5" customHeight="1" x14ac:dyDescent="0.25">
      <c r="A125" s="29">
        <v>119</v>
      </c>
      <c r="B125" s="30" t="s">
        <v>140</v>
      </c>
      <c r="C125" s="31">
        <v>100204</v>
      </c>
      <c r="D125" s="31" t="s">
        <v>46</v>
      </c>
      <c r="E125" s="32">
        <v>56067.5</v>
      </c>
      <c r="F125" s="33"/>
      <c r="G125" s="39"/>
      <c r="H125" s="38">
        <f t="shared" si="0"/>
        <v>0</v>
      </c>
      <c r="I125" s="27"/>
      <c r="J125" s="37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spans="1:27" ht="16.5" customHeight="1" x14ac:dyDescent="0.25">
      <c r="A126" s="29">
        <v>120</v>
      </c>
      <c r="B126" s="30" t="s">
        <v>141</v>
      </c>
      <c r="C126" s="31">
        <v>140401</v>
      </c>
      <c r="D126" s="31" t="s">
        <v>34</v>
      </c>
      <c r="E126" s="32">
        <v>56000</v>
      </c>
      <c r="F126" s="33">
        <v>6</v>
      </c>
      <c r="G126" s="40">
        <v>25</v>
      </c>
      <c r="H126" s="38">
        <f t="shared" si="0"/>
        <v>1736000</v>
      </c>
      <c r="I126" s="27"/>
      <c r="J126" s="37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spans="1:27" ht="16.5" customHeight="1" x14ac:dyDescent="0.25">
      <c r="A127" s="29">
        <v>121</v>
      </c>
      <c r="B127" s="30" t="s">
        <v>142</v>
      </c>
      <c r="C127" s="31">
        <v>400209</v>
      </c>
      <c r="D127" s="31" t="s">
        <v>46</v>
      </c>
      <c r="E127" s="32">
        <v>18000</v>
      </c>
      <c r="F127" s="33"/>
      <c r="G127" s="39"/>
      <c r="H127" s="38">
        <f t="shared" si="0"/>
        <v>0</v>
      </c>
      <c r="I127" s="27"/>
      <c r="J127" s="37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spans="1:27" ht="16.5" customHeight="1" x14ac:dyDescent="0.25">
      <c r="A128" s="29">
        <v>122</v>
      </c>
      <c r="B128" s="30" t="s">
        <v>143</v>
      </c>
      <c r="C128" s="31">
        <v>120104</v>
      </c>
      <c r="D128" s="31" t="s">
        <v>144</v>
      </c>
      <c r="E128" s="32">
        <v>12552.083329999999</v>
      </c>
      <c r="F128" s="33">
        <v>5.28</v>
      </c>
      <c r="G128" s="39">
        <v>14</v>
      </c>
      <c r="H128" s="38">
        <f t="shared" si="0"/>
        <v>242004.16660240002</v>
      </c>
      <c r="I128" s="27"/>
      <c r="J128" s="37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spans="1:27" ht="16.5" customHeight="1" x14ac:dyDescent="0.25">
      <c r="A129" s="29">
        <v>123</v>
      </c>
      <c r="B129" s="30" t="s">
        <v>145</v>
      </c>
      <c r="C129" s="31">
        <v>150105</v>
      </c>
      <c r="D129" s="31" t="s">
        <v>34</v>
      </c>
      <c r="E129" s="32">
        <v>320000</v>
      </c>
      <c r="F129" s="33">
        <v>0.186</v>
      </c>
      <c r="G129" s="40">
        <v>0.86099999999999999</v>
      </c>
      <c r="H129" s="38">
        <f t="shared" si="0"/>
        <v>335040</v>
      </c>
      <c r="I129" s="27"/>
      <c r="J129" s="37"/>
      <c r="K129" s="28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</row>
    <row r="130" spans="1:27" ht="16.5" customHeight="1" x14ac:dyDescent="0.25">
      <c r="A130" s="29">
        <v>124</v>
      </c>
      <c r="B130" s="30" t="s">
        <v>146</v>
      </c>
      <c r="C130" s="31">
        <v>300209</v>
      </c>
      <c r="D130" s="31" t="s">
        <v>34</v>
      </c>
      <c r="E130" s="32">
        <v>48563</v>
      </c>
      <c r="F130" s="33">
        <v>5.59</v>
      </c>
      <c r="G130" s="34">
        <v>15</v>
      </c>
      <c r="H130" s="38">
        <f t="shared" si="0"/>
        <v>999912.17</v>
      </c>
      <c r="I130" s="27"/>
      <c r="J130" s="37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spans="1:27" ht="16.5" customHeight="1" x14ac:dyDescent="0.25">
      <c r="A131" s="29">
        <v>125</v>
      </c>
      <c r="B131" s="30" t="s">
        <v>147</v>
      </c>
      <c r="C131" s="31">
        <v>444503</v>
      </c>
      <c r="D131" s="31" t="s">
        <v>12</v>
      </c>
      <c r="E131" s="32">
        <v>720</v>
      </c>
      <c r="F131" s="33">
        <v>788</v>
      </c>
      <c r="G131" s="34">
        <v>950</v>
      </c>
      <c r="H131" s="38">
        <f t="shared" si="0"/>
        <v>1251360</v>
      </c>
      <c r="I131" s="27"/>
      <c r="J131" s="37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spans="1:27" ht="16.5" customHeight="1" x14ac:dyDescent="0.25">
      <c r="A132" s="29">
        <v>126</v>
      </c>
      <c r="B132" s="30" t="s">
        <v>148</v>
      </c>
      <c r="C132" s="31">
        <v>100306</v>
      </c>
      <c r="D132" s="31" t="s">
        <v>34</v>
      </c>
      <c r="E132" s="32">
        <v>52152</v>
      </c>
      <c r="F132" s="33"/>
      <c r="G132" s="39"/>
      <c r="H132" s="38">
        <f t="shared" si="0"/>
        <v>0</v>
      </c>
      <c r="I132" s="27"/>
      <c r="J132" s="37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spans="1:27" ht="16.5" customHeight="1" x14ac:dyDescent="0.25">
      <c r="A133" s="29">
        <v>127</v>
      </c>
      <c r="B133" s="30" t="s">
        <v>149</v>
      </c>
      <c r="C133" s="31">
        <v>140525</v>
      </c>
      <c r="D133" s="31" t="s">
        <v>34</v>
      </c>
      <c r="E133" s="32">
        <v>34880</v>
      </c>
      <c r="F133" s="33">
        <v>1.7</v>
      </c>
      <c r="G133" s="39"/>
      <c r="H133" s="38">
        <f t="shared" si="0"/>
        <v>59296</v>
      </c>
      <c r="I133" s="27"/>
      <c r="J133" s="37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spans="1:27" ht="16.5" customHeight="1" x14ac:dyDescent="0.25">
      <c r="A134" s="29">
        <v>128</v>
      </c>
      <c r="B134" s="30" t="s">
        <v>150</v>
      </c>
      <c r="C134" s="31">
        <v>100411</v>
      </c>
      <c r="D134" s="31" t="s">
        <v>46</v>
      </c>
      <c r="E134" s="32">
        <v>49805</v>
      </c>
      <c r="F134" s="33">
        <v>7.5880000000000001</v>
      </c>
      <c r="G134" s="34"/>
      <c r="H134" s="38">
        <f t="shared" si="0"/>
        <v>377920.34</v>
      </c>
      <c r="I134" s="27"/>
      <c r="J134" s="37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spans="1:27" ht="16.5" customHeight="1" x14ac:dyDescent="0.25">
      <c r="A135" s="29">
        <v>129</v>
      </c>
      <c r="B135" s="30" t="s">
        <v>151</v>
      </c>
      <c r="C135" s="31">
        <v>140410</v>
      </c>
      <c r="D135" s="31" t="s">
        <v>34</v>
      </c>
      <c r="E135" s="32">
        <v>55000</v>
      </c>
      <c r="F135" s="33">
        <v>6.1280000000000001</v>
      </c>
      <c r="G135" s="34">
        <v>25</v>
      </c>
      <c r="H135" s="38">
        <f t="shared" si="0"/>
        <v>1712040</v>
      </c>
      <c r="I135" s="27"/>
      <c r="J135" s="37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spans="1:27" ht="16.5" customHeight="1" x14ac:dyDescent="0.25">
      <c r="A136" s="29">
        <v>130</v>
      </c>
      <c r="B136" s="30" t="s">
        <v>152</v>
      </c>
      <c r="C136" s="31">
        <v>150101</v>
      </c>
      <c r="D136" s="31" t="s">
        <v>34</v>
      </c>
      <c r="E136" s="32">
        <v>18000</v>
      </c>
      <c r="F136" s="33"/>
      <c r="G136" s="34">
        <v>1.9</v>
      </c>
      <c r="H136" s="38">
        <f t="shared" si="0"/>
        <v>34200</v>
      </c>
      <c r="I136" s="27"/>
      <c r="J136" s="37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spans="1:27" ht="16.5" customHeight="1" x14ac:dyDescent="0.25">
      <c r="A137" s="29">
        <v>131</v>
      </c>
      <c r="B137" s="30" t="s">
        <v>153</v>
      </c>
      <c r="C137" s="31">
        <v>140808</v>
      </c>
      <c r="D137" s="31" t="s">
        <v>34</v>
      </c>
      <c r="E137" s="32">
        <v>58937.5</v>
      </c>
      <c r="F137" s="33">
        <v>7.6619999999999999</v>
      </c>
      <c r="G137" s="34">
        <v>22</v>
      </c>
      <c r="H137" s="38">
        <f t="shared" si="0"/>
        <v>1748204.125</v>
      </c>
      <c r="I137" s="27"/>
      <c r="J137" s="37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spans="1:27" ht="16.5" customHeight="1" x14ac:dyDescent="0.25">
      <c r="A138" s="29">
        <v>132</v>
      </c>
      <c r="B138" s="30" t="s">
        <v>154</v>
      </c>
      <c r="C138" s="31">
        <v>400103</v>
      </c>
      <c r="D138" s="31" t="s">
        <v>144</v>
      </c>
      <c r="E138" s="32">
        <v>15208.333329999999</v>
      </c>
      <c r="F138" s="33">
        <v>2</v>
      </c>
      <c r="G138" s="34">
        <v>3</v>
      </c>
      <c r="H138" s="38">
        <f t="shared" si="0"/>
        <v>76041.666649999999</v>
      </c>
      <c r="I138" s="27"/>
      <c r="J138" s="37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spans="1:27" ht="16.5" customHeight="1" x14ac:dyDescent="0.25">
      <c r="A139" s="29">
        <v>133</v>
      </c>
      <c r="B139" s="30" t="s">
        <v>155</v>
      </c>
      <c r="C139" s="31">
        <v>900104</v>
      </c>
      <c r="D139" s="31" t="s">
        <v>34</v>
      </c>
      <c r="E139" s="32">
        <v>197101</v>
      </c>
      <c r="F139" s="33">
        <v>1.486</v>
      </c>
      <c r="G139" s="40">
        <v>1</v>
      </c>
      <c r="H139" s="38">
        <f t="shared" si="0"/>
        <v>489993.08599999995</v>
      </c>
      <c r="I139" s="27"/>
      <c r="J139" s="37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spans="1:27" ht="16.5" customHeight="1" x14ac:dyDescent="0.25">
      <c r="A140" s="29">
        <v>134</v>
      </c>
      <c r="B140" s="30" t="s">
        <v>156</v>
      </c>
      <c r="C140" s="31">
        <v>130328</v>
      </c>
      <c r="D140" s="31" t="s">
        <v>46</v>
      </c>
      <c r="E140" s="32">
        <v>14550</v>
      </c>
      <c r="F140" s="33">
        <v>1.74</v>
      </c>
      <c r="G140" s="34">
        <v>11</v>
      </c>
      <c r="H140" s="38">
        <f t="shared" si="0"/>
        <v>185367</v>
      </c>
      <c r="I140" s="27"/>
      <c r="J140" s="37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spans="1:27" ht="16.5" customHeight="1" x14ac:dyDescent="0.25">
      <c r="A141" s="29">
        <v>135</v>
      </c>
      <c r="B141" s="30" t="s">
        <v>157</v>
      </c>
      <c r="C141" s="31">
        <v>444209</v>
      </c>
      <c r="D141" s="31" t="s">
        <v>12</v>
      </c>
      <c r="E141" s="32">
        <v>10000</v>
      </c>
      <c r="F141" s="33"/>
      <c r="G141" s="40"/>
      <c r="H141" s="38">
        <f t="shared" si="0"/>
        <v>0</v>
      </c>
      <c r="I141" s="27"/>
      <c r="J141" s="37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spans="1:27" ht="16.5" customHeight="1" x14ac:dyDescent="0.25">
      <c r="A142" s="29">
        <v>136</v>
      </c>
      <c r="B142" s="30" t="s">
        <v>158</v>
      </c>
      <c r="C142" s="31">
        <v>140602</v>
      </c>
      <c r="D142" s="31" t="s">
        <v>34</v>
      </c>
      <c r="E142" s="32">
        <v>62975</v>
      </c>
      <c r="F142" s="33">
        <v>1.3</v>
      </c>
      <c r="G142" s="34">
        <v>1</v>
      </c>
      <c r="H142" s="38">
        <f t="shared" si="0"/>
        <v>144842.5</v>
      </c>
      <c r="I142" s="27"/>
      <c r="J142" s="37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spans="1:27" ht="16.5" customHeight="1" x14ac:dyDescent="0.25">
      <c r="A143" s="29">
        <v>137</v>
      </c>
      <c r="B143" s="30" t="s">
        <v>159</v>
      </c>
      <c r="C143" s="31">
        <v>120103</v>
      </c>
      <c r="D143" s="31" t="s">
        <v>144</v>
      </c>
      <c r="E143" s="32">
        <v>16041.666670000001</v>
      </c>
      <c r="F143" s="33"/>
      <c r="G143" s="40">
        <v>2</v>
      </c>
      <c r="H143" s="38">
        <f t="shared" si="0"/>
        <v>32083.333340000001</v>
      </c>
      <c r="I143" s="27"/>
      <c r="J143" s="37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spans="1:27" ht="16.5" customHeight="1" x14ac:dyDescent="0.25">
      <c r="A144" s="29">
        <v>138</v>
      </c>
      <c r="B144" s="30" t="s">
        <v>160</v>
      </c>
      <c r="C144" s="31">
        <v>130108</v>
      </c>
      <c r="D144" s="31" t="s">
        <v>34</v>
      </c>
      <c r="E144" s="32">
        <v>15000</v>
      </c>
      <c r="F144" s="33"/>
      <c r="G144" s="34">
        <v>10</v>
      </c>
      <c r="H144" s="38">
        <f t="shared" si="0"/>
        <v>150000</v>
      </c>
      <c r="I144" s="27"/>
      <c r="J144" s="37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spans="1:27" ht="16.5" customHeight="1" x14ac:dyDescent="0.25">
      <c r="A145" s="29">
        <v>140</v>
      </c>
      <c r="B145" s="30" t="s">
        <v>161</v>
      </c>
      <c r="C145" s="31">
        <v>666102</v>
      </c>
      <c r="D145" s="31" t="s">
        <v>112</v>
      </c>
      <c r="E145" s="32">
        <v>1875</v>
      </c>
      <c r="F145" s="33">
        <v>49</v>
      </c>
      <c r="G145" s="34"/>
      <c r="H145" s="38">
        <f t="shared" si="0"/>
        <v>91875</v>
      </c>
      <c r="I145" s="27"/>
      <c r="J145" s="37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spans="1:27" ht="16.5" customHeight="1" x14ac:dyDescent="0.25">
      <c r="A146" s="29">
        <v>141</v>
      </c>
      <c r="B146" s="30" t="s">
        <v>162</v>
      </c>
      <c r="C146" s="31">
        <v>300216</v>
      </c>
      <c r="D146" s="31" t="s">
        <v>83</v>
      </c>
      <c r="E146" s="32">
        <v>26.216000000000001</v>
      </c>
      <c r="F146" s="33"/>
      <c r="G146" s="34">
        <v>14</v>
      </c>
      <c r="H146" s="38">
        <f t="shared" si="0"/>
        <v>367.024</v>
      </c>
      <c r="I146" s="27"/>
      <c r="J146" s="37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spans="1:27" ht="16.5" customHeight="1" x14ac:dyDescent="0.25">
      <c r="A147" s="29">
        <v>142</v>
      </c>
      <c r="B147" s="44" t="s">
        <v>163</v>
      </c>
      <c r="C147" s="31">
        <v>222213</v>
      </c>
      <c r="D147" s="31" t="s">
        <v>12</v>
      </c>
      <c r="E147" s="32">
        <v>4000</v>
      </c>
      <c r="F147" s="33"/>
      <c r="G147" s="39"/>
      <c r="H147" s="38">
        <f t="shared" si="0"/>
        <v>0</v>
      </c>
      <c r="I147" s="27"/>
      <c r="J147" s="37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spans="1:27" ht="16.5" customHeight="1" x14ac:dyDescent="0.25">
      <c r="A148" s="29">
        <v>143</v>
      </c>
      <c r="B148" s="30" t="s">
        <v>164</v>
      </c>
      <c r="C148" s="31">
        <v>300404</v>
      </c>
      <c r="D148" s="31" t="s">
        <v>34</v>
      </c>
      <c r="E148" s="32">
        <v>40817.166669999999</v>
      </c>
      <c r="F148" s="33"/>
      <c r="G148" s="34">
        <v>447</v>
      </c>
      <c r="H148" s="38">
        <f t="shared" si="0"/>
        <v>18245273.501490001</v>
      </c>
      <c r="I148" s="27"/>
      <c r="J148" s="37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spans="1:27" ht="16.5" customHeight="1" x14ac:dyDescent="0.25">
      <c r="A149" s="29">
        <v>144</v>
      </c>
      <c r="B149" s="30" t="s">
        <v>165</v>
      </c>
      <c r="C149" s="31">
        <v>200104</v>
      </c>
      <c r="D149" s="31" t="s">
        <v>34</v>
      </c>
      <c r="E149" s="32">
        <v>74940</v>
      </c>
      <c r="F149" s="33">
        <v>5.26</v>
      </c>
      <c r="G149" s="39"/>
      <c r="H149" s="38">
        <f t="shared" si="0"/>
        <v>394184.39999999997</v>
      </c>
      <c r="I149" s="27"/>
      <c r="J149" s="37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spans="1:27" ht="16.5" customHeight="1" x14ac:dyDescent="0.25">
      <c r="A150" s="29">
        <v>145</v>
      </c>
      <c r="B150" s="30" t="s">
        <v>166</v>
      </c>
      <c r="C150" s="31">
        <v>999409</v>
      </c>
      <c r="D150" s="31" t="s">
        <v>14</v>
      </c>
      <c r="E150" s="32">
        <v>9879</v>
      </c>
      <c r="F150" s="33">
        <v>45</v>
      </c>
      <c r="G150" s="34">
        <v>114</v>
      </c>
      <c r="H150" s="38">
        <f t="shared" si="0"/>
        <v>1570761</v>
      </c>
      <c r="I150" s="27"/>
      <c r="J150" s="37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spans="1:27" ht="16.5" customHeight="1" x14ac:dyDescent="0.25">
      <c r="A151" s="29">
        <v>146</v>
      </c>
      <c r="B151" s="30" t="s">
        <v>167</v>
      </c>
      <c r="C151" s="31">
        <v>999711</v>
      </c>
      <c r="D151" s="31" t="s">
        <v>14</v>
      </c>
      <c r="E151" s="32">
        <v>44672</v>
      </c>
      <c r="F151" s="33">
        <v>45</v>
      </c>
      <c r="G151" s="34">
        <v>114</v>
      </c>
      <c r="H151" s="38">
        <f t="shared" si="0"/>
        <v>7102848</v>
      </c>
      <c r="I151" s="27"/>
      <c r="J151" s="37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spans="1:27" ht="16.5" customHeight="1" x14ac:dyDescent="0.25">
      <c r="A152" s="29">
        <v>147</v>
      </c>
      <c r="B152" s="30" t="s">
        <v>168</v>
      </c>
      <c r="C152" s="31">
        <v>140206</v>
      </c>
      <c r="D152" s="31" t="s">
        <v>34</v>
      </c>
      <c r="E152" s="32">
        <v>56277</v>
      </c>
      <c r="F152" s="33">
        <v>2.4700000000000002</v>
      </c>
      <c r="G152" s="34">
        <v>15</v>
      </c>
      <c r="H152" s="38">
        <f t="shared" si="0"/>
        <v>983159.19</v>
      </c>
      <c r="I152" s="27"/>
      <c r="J152" s="37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spans="1:27" ht="16.5" customHeight="1" x14ac:dyDescent="0.25">
      <c r="A153" s="29">
        <v>148</v>
      </c>
      <c r="B153" s="30" t="s">
        <v>169</v>
      </c>
      <c r="C153" s="31">
        <v>400108</v>
      </c>
      <c r="D153" s="31" t="s">
        <v>34</v>
      </c>
      <c r="E153" s="32">
        <v>146520</v>
      </c>
      <c r="F153" s="33">
        <v>3.74</v>
      </c>
      <c r="G153" s="34">
        <v>18</v>
      </c>
      <c r="H153" s="38">
        <f t="shared" si="0"/>
        <v>3185344.8000000003</v>
      </c>
      <c r="I153" s="27"/>
      <c r="J153" s="37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spans="1:27" ht="16.5" customHeight="1" x14ac:dyDescent="0.25">
      <c r="A154" s="29">
        <v>149</v>
      </c>
      <c r="B154" s="30" t="s">
        <v>170</v>
      </c>
      <c r="C154" s="31">
        <v>400109</v>
      </c>
      <c r="D154" s="31" t="s">
        <v>34</v>
      </c>
      <c r="E154" s="32">
        <v>41500</v>
      </c>
      <c r="F154" s="33"/>
      <c r="G154" s="39"/>
      <c r="H154" s="38">
        <f t="shared" si="0"/>
        <v>0</v>
      </c>
      <c r="I154" s="27"/>
      <c r="J154" s="37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spans="1:27" ht="16.5" customHeight="1" x14ac:dyDescent="0.25">
      <c r="A155" s="29">
        <v>150</v>
      </c>
      <c r="B155" s="30" t="s">
        <v>171</v>
      </c>
      <c r="C155" s="31">
        <v>140416</v>
      </c>
      <c r="D155" s="31" t="s">
        <v>34</v>
      </c>
      <c r="E155" s="32">
        <v>56477.5</v>
      </c>
      <c r="F155" s="33">
        <v>5.0880000000000001</v>
      </c>
      <c r="G155" s="39"/>
      <c r="H155" s="38">
        <f t="shared" si="0"/>
        <v>287357.52</v>
      </c>
      <c r="I155" s="27"/>
      <c r="J155" s="37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spans="1:27" ht="16.5" customHeight="1" x14ac:dyDescent="0.25">
      <c r="A156" s="29">
        <v>151</v>
      </c>
      <c r="B156" s="30" t="s">
        <v>172</v>
      </c>
      <c r="C156" s="31">
        <v>130303</v>
      </c>
      <c r="D156" s="31" t="s">
        <v>34</v>
      </c>
      <c r="E156" s="32">
        <v>8400</v>
      </c>
      <c r="F156" s="33"/>
      <c r="G156" s="39"/>
      <c r="H156" s="38">
        <f t="shared" si="0"/>
        <v>0</v>
      </c>
      <c r="I156" s="27"/>
      <c r="J156" s="37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spans="1:27" ht="16.5" customHeight="1" x14ac:dyDescent="0.25">
      <c r="A157" s="29">
        <v>152</v>
      </c>
      <c r="B157" s="30" t="s">
        <v>173</v>
      </c>
      <c r="C157" s="31">
        <v>999734</v>
      </c>
      <c r="D157" s="31" t="s">
        <v>14</v>
      </c>
      <c r="E157" s="32">
        <v>3197</v>
      </c>
      <c r="F157" s="33">
        <v>18</v>
      </c>
      <c r="G157" s="34"/>
      <c r="H157" s="38">
        <f t="shared" si="0"/>
        <v>57546</v>
      </c>
      <c r="I157" s="27"/>
      <c r="J157" s="37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spans="1:27" ht="16.5" customHeight="1" x14ac:dyDescent="0.25">
      <c r="A158" s="29">
        <v>153</v>
      </c>
      <c r="B158" s="30" t="s">
        <v>174</v>
      </c>
      <c r="C158" s="31">
        <v>999721</v>
      </c>
      <c r="D158" s="31" t="s">
        <v>12</v>
      </c>
      <c r="E158" s="32">
        <v>16766</v>
      </c>
      <c r="F158" s="33">
        <v>2</v>
      </c>
      <c r="G158" s="34">
        <v>32</v>
      </c>
      <c r="H158" s="38">
        <f t="shared" si="0"/>
        <v>570044</v>
      </c>
      <c r="I158" s="27"/>
      <c r="J158" s="37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spans="1:27" ht="16.5" customHeight="1" x14ac:dyDescent="0.25">
      <c r="A159" s="29">
        <v>154</v>
      </c>
      <c r="B159" s="30" t="s">
        <v>175</v>
      </c>
      <c r="C159" s="31">
        <v>999419</v>
      </c>
      <c r="D159" s="31" t="s">
        <v>14</v>
      </c>
      <c r="E159" s="32">
        <v>1726</v>
      </c>
      <c r="F159" s="33">
        <v>2</v>
      </c>
      <c r="G159" s="34">
        <v>32</v>
      </c>
      <c r="H159" s="38">
        <f t="shared" si="0"/>
        <v>58684</v>
      </c>
      <c r="I159" s="27"/>
      <c r="J159" s="37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spans="1:27" ht="16.5" customHeight="1" x14ac:dyDescent="0.25">
      <c r="A160" s="29">
        <v>155</v>
      </c>
      <c r="B160" s="30" t="s">
        <v>176</v>
      </c>
      <c r="C160" s="31">
        <v>130305</v>
      </c>
      <c r="D160" s="31" t="s">
        <v>34</v>
      </c>
      <c r="E160" s="32">
        <v>56499</v>
      </c>
      <c r="F160" s="33">
        <v>3.1</v>
      </c>
      <c r="G160" s="34">
        <v>20</v>
      </c>
      <c r="H160" s="38">
        <f t="shared" si="0"/>
        <v>1305126.9000000001</v>
      </c>
      <c r="I160" s="27"/>
      <c r="J160" s="37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spans="1:27" ht="16.5" customHeight="1" x14ac:dyDescent="0.25">
      <c r="A161" s="29">
        <v>156</v>
      </c>
      <c r="B161" s="30" t="s">
        <v>177</v>
      </c>
      <c r="C161" s="31">
        <v>130306</v>
      </c>
      <c r="D161" s="31" t="s">
        <v>34</v>
      </c>
      <c r="E161" s="32">
        <v>48396</v>
      </c>
      <c r="F161" s="33">
        <v>4.5</v>
      </c>
      <c r="G161" s="39">
        <v>20</v>
      </c>
      <c r="H161" s="38">
        <f t="shared" si="0"/>
        <v>1185702</v>
      </c>
      <c r="I161" s="27"/>
      <c r="J161" s="37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spans="1:27" ht="16.5" customHeight="1" x14ac:dyDescent="0.25">
      <c r="A162" s="29">
        <v>157</v>
      </c>
      <c r="B162" s="30" t="s">
        <v>178</v>
      </c>
      <c r="C162" s="31">
        <v>666202</v>
      </c>
      <c r="D162" s="31" t="s">
        <v>112</v>
      </c>
      <c r="E162" s="32">
        <v>1003.636364</v>
      </c>
      <c r="F162" s="33"/>
      <c r="G162" s="39"/>
      <c r="H162" s="38">
        <f t="shared" si="0"/>
        <v>0</v>
      </c>
      <c r="I162" s="27"/>
      <c r="J162" s="37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spans="1:27" ht="16.5" customHeight="1" x14ac:dyDescent="0.25">
      <c r="A163" s="29">
        <v>158</v>
      </c>
      <c r="B163" s="30" t="s">
        <v>179</v>
      </c>
      <c r="C163" s="31">
        <v>777403</v>
      </c>
      <c r="D163" s="31" t="s">
        <v>14</v>
      </c>
      <c r="E163" s="32">
        <v>324</v>
      </c>
      <c r="F163" s="33">
        <v>16889</v>
      </c>
      <c r="G163" s="34">
        <v>12000</v>
      </c>
      <c r="H163" s="38">
        <f t="shared" si="0"/>
        <v>9360036</v>
      </c>
      <c r="I163" s="27"/>
      <c r="J163" s="37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spans="1:27" ht="16.5" customHeight="1" x14ac:dyDescent="0.25">
      <c r="A164" s="29">
        <v>159</v>
      </c>
      <c r="B164" s="30" t="s">
        <v>180</v>
      </c>
      <c r="C164" s="31">
        <v>999402</v>
      </c>
      <c r="D164" s="31" t="s">
        <v>14</v>
      </c>
      <c r="E164" s="32">
        <v>7234</v>
      </c>
      <c r="F164" s="33">
        <v>10</v>
      </c>
      <c r="G164" s="34">
        <v>43</v>
      </c>
      <c r="H164" s="38">
        <f t="shared" si="0"/>
        <v>383402</v>
      </c>
      <c r="I164" s="27"/>
      <c r="J164" s="37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spans="1:27" ht="16.5" customHeight="1" x14ac:dyDescent="0.25">
      <c r="A165" s="29">
        <v>160</v>
      </c>
      <c r="B165" s="30" t="s">
        <v>181</v>
      </c>
      <c r="C165" s="31">
        <v>400211</v>
      </c>
      <c r="D165" s="31" t="s">
        <v>94</v>
      </c>
      <c r="E165" s="32">
        <v>200</v>
      </c>
      <c r="F165" s="33">
        <v>180</v>
      </c>
      <c r="G165" s="34">
        <v>810</v>
      </c>
      <c r="H165" s="38">
        <f t="shared" si="0"/>
        <v>198000</v>
      </c>
      <c r="I165" s="27"/>
      <c r="J165" s="37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spans="1:27" ht="16.5" customHeight="1" x14ac:dyDescent="0.25">
      <c r="A166" s="29">
        <v>161</v>
      </c>
      <c r="B166" s="30" t="s">
        <v>182</v>
      </c>
      <c r="C166" s="31">
        <v>300215</v>
      </c>
      <c r="D166" s="31" t="s">
        <v>183</v>
      </c>
      <c r="E166" s="32">
        <v>95</v>
      </c>
      <c r="F166" s="33"/>
      <c r="G166" s="39">
        <v>2000</v>
      </c>
      <c r="H166" s="38">
        <f t="shared" si="0"/>
        <v>190000</v>
      </c>
      <c r="I166" s="27"/>
      <c r="J166" s="37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spans="1:27" ht="16.5" customHeight="1" x14ac:dyDescent="0.25">
      <c r="A167" s="29">
        <v>162</v>
      </c>
      <c r="B167" s="30" t="s">
        <v>184</v>
      </c>
      <c r="C167" s="31">
        <v>130330</v>
      </c>
      <c r="D167" s="31" t="s">
        <v>34</v>
      </c>
      <c r="E167" s="32">
        <v>12000</v>
      </c>
      <c r="F167" s="33">
        <v>5</v>
      </c>
      <c r="G167" s="40">
        <v>2</v>
      </c>
      <c r="H167" s="38">
        <f t="shared" si="0"/>
        <v>84000</v>
      </c>
      <c r="I167" s="27"/>
      <c r="J167" s="37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spans="1:27" ht="16.5" customHeight="1" x14ac:dyDescent="0.25">
      <c r="A168" s="29">
        <v>163</v>
      </c>
      <c r="B168" s="30" t="s">
        <v>185</v>
      </c>
      <c r="C168" s="31">
        <v>900226</v>
      </c>
      <c r="D168" s="31" t="s">
        <v>186</v>
      </c>
      <c r="E168" s="32">
        <v>233100</v>
      </c>
      <c r="F168" s="33">
        <v>1.4650000000000001</v>
      </c>
      <c r="G168" s="39">
        <v>0.3</v>
      </c>
      <c r="H168" s="38">
        <f t="shared" si="0"/>
        <v>411421.5</v>
      </c>
      <c r="I168" s="27"/>
      <c r="J168" s="37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spans="1:27" ht="16.5" customHeight="1" x14ac:dyDescent="0.25">
      <c r="A169" s="29">
        <v>164</v>
      </c>
      <c r="B169" s="30" t="s">
        <v>187</v>
      </c>
      <c r="C169" s="31">
        <v>900201</v>
      </c>
      <c r="D169" s="31" t="s">
        <v>188</v>
      </c>
      <c r="E169" s="32">
        <v>109.0909091</v>
      </c>
      <c r="F169" s="33">
        <v>38</v>
      </c>
      <c r="G169" s="39">
        <v>300</v>
      </c>
      <c r="H169" s="38">
        <f t="shared" si="0"/>
        <v>36872.727275800004</v>
      </c>
      <c r="I169" s="27"/>
      <c r="J169" s="37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spans="1:27" ht="16.5" customHeight="1" x14ac:dyDescent="0.25">
      <c r="A170" s="29">
        <v>165</v>
      </c>
      <c r="B170" s="30" t="s">
        <v>189</v>
      </c>
      <c r="C170" s="31">
        <v>900211</v>
      </c>
      <c r="D170" s="31" t="s">
        <v>14</v>
      </c>
      <c r="E170" s="32">
        <v>7500</v>
      </c>
      <c r="F170" s="33"/>
      <c r="G170" s="39"/>
      <c r="H170" s="38">
        <f t="shared" si="0"/>
        <v>0</v>
      </c>
      <c r="I170" s="27"/>
      <c r="J170" s="37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spans="1:27" ht="16.5" customHeight="1" x14ac:dyDescent="0.25">
      <c r="A171" s="29">
        <v>166</v>
      </c>
      <c r="B171" s="30" t="s">
        <v>190</v>
      </c>
      <c r="C171" s="31">
        <v>150121</v>
      </c>
      <c r="D171" s="31" t="s">
        <v>83</v>
      </c>
      <c r="E171" s="32">
        <v>45</v>
      </c>
      <c r="F171" s="33">
        <v>500</v>
      </c>
      <c r="G171" s="34">
        <v>150</v>
      </c>
      <c r="H171" s="38">
        <f t="shared" si="0"/>
        <v>29250</v>
      </c>
      <c r="I171" s="27"/>
      <c r="J171" s="37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spans="1:27" ht="16.5" customHeight="1" x14ac:dyDescent="0.25">
      <c r="A172" s="29">
        <v>167</v>
      </c>
      <c r="B172" s="30" t="s">
        <v>191</v>
      </c>
      <c r="C172" s="31">
        <v>150108</v>
      </c>
      <c r="D172" s="31" t="s">
        <v>83</v>
      </c>
      <c r="E172" s="32">
        <v>40</v>
      </c>
      <c r="F172" s="33">
        <v>300</v>
      </c>
      <c r="G172" s="34">
        <v>250</v>
      </c>
      <c r="H172" s="38">
        <f t="shared" si="0"/>
        <v>22000</v>
      </c>
      <c r="I172" s="27"/>
      <c r="J172" s="37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spans="1:27" ht="16.5" customHeight="1" x14ac:dyDescent="0.25">
      <c r="A173" s="29">
        <v>168</v>
      </c>
      <c r="B173" s="30" t="s">
        <v>192</v>
      </c>
      <c r="C173" s="31">
        <v>150122</v>
      </c>
      <c r="D173" s="31" t="s">
        <v>83</v>
      </c>
      <c r="E173" s="32">
        <v>48</v>
      </c>
      <c r="F173" s="33">
        <v>580</v>
      </c>
      <c r="G173" s="39"/>
      <c r="H173" s="38">
        <f t="shared" si="0"/>
        <v>27840</v>
      </c>
      <c r="I173" s="27"/>
      <c r="J173" s="37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spans="1:27" ht="16.5" customHeight="1" x14ac:dyDescent="0.25">
      <c r="A174" s="29">
        <v>169</v>
      </c>
      <c r="B174" s="30" t="s">
        <v>193</v>
      </c>
      <c r="C174" s="31">
        <v>999745</v>
      </c>
      <c r="D174" s="31" t="s">
        <v>12</v>
      </c>
      <c r="E174" s="32">
        <v>27778</v>
      </c>
      <c r="F174" s="33">
        <v>84</v>
      </c>
      <c r="G174" s="34">
        <v>117</v>
      </c>
      <c r="H174" s="38">
        <f t="shared" si="0"/>
        <v>5583378</v>
      </c>
      <c r="I174" s="27"/>
      <c r="J174" s="37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spans="1:27" ht="16.5" customHeight="1" x14ac:dyDescent="0.25">
      <c r="A175" s="29">
        <v>170</v>
      </c>
      <c r="B175" s="30" t="s">
        <v>194</v>
      </c>
      <c r="C175" s="31">
        <v>110205</v>
      </c>
      <c r="D175" s="31" t="s">
        <v>34</v>
      </c>
      <c r="E175" s="32">
        <v>24125</v>
      </c>
      <c r="F175" s="33">
        <v>2</v>
      </c>
      <c r="G175" s="34">
        <v>43.5</v>
      </c>
      <c r="H175" s="38">
        <f t="shared" si="0"/>
        <v>1097687.5</v>
      </c>
      <c r="I175" s="27"/>
      <c r="J175" s="37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spans="1:27" ht="16.5" customHeight="1" x14ac:dyDescent="0.25">
      <c r="A176" s="29">
        <v>171</v>
      </c>
      <c r="B176" s="30" t="s">
        <v>195</v>
      </c>
      <c r="C176" s="31">
        <v>700108</v>
      </c>
      <c r="D176" s="31" t="s">
        <v>34</v>
      </c>
      <c r="E176" s="32">
        <v>137500</v>
      </c>
      <c r="F176" s="33"/>
      <c r="G176" s="34">
        <v>2.2999999999999998</v>
      </c>
      <c r="H176" s="38">
        <f t="shared" si="0"/>
        <v>316250</v>
      </c>
      <c r="I176" s="27"/>
      <c r="J176" s="37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spans="1:27" ht="16.5" customHeight="1" x14ac:dyDescent="0.25">
      <c r="A177" s="29">
        <v>172</v>
      </c>
      <c r="B177" s="30" t="s">
        <v>196</v>
      </c>
      <c r="C177" s="31">
        <v>100410</v>
      </c>
      <c r="D177" s="31" t="s">
        <v>46</v>
      </c>
      <c r="E177" s="32">
        <v>51900</v>
      </c>
      <c r="F177" s="33">
        <v>1</v>
      </c>
      <c r="G177" s="39">
        <v>7</v>
      </c>
      <c r="H177" s="38">
        <f t="shared" si="0"/>
        <v>415200</v>
      </c>
      <c r="I177" s="27"/>
      <c r="J177" s="37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spans="1:27" ht="16.5" customHeight="1" x14ac:dyDescent="0.25">
      <c r="A178" s="29">
        <v>173</v>
      </c>
      <c r="B178" s="30" t="s">
        <v>197</v>
      </c>
      <c r="C178" s="31">
        <v>100405</v>
      </c>
      <c r="D178" s="31" t="s">
        <v>46</v>
      </c>
      <c r="E178" s="32">
        <v>51900</v>
      </c>
      <c r="F178" s="33">
        <v>1</v>
      </c>
      <c r="G178" s="34">
        <v>4</v>
      </c>
      <c r="H178" s="38">
        <f t="shared" si="0"/>
        <v>259500</v>
      </c>
      <c r="I178" s="27"/>
      <c r="J178" s="37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spans="1:27" ht="16.5" customHeight="1" x14ac:dyDescent="0.25">
      <c r="A179" s="29">
        <v>174</v>
      </c>
      <c r="B179" s="30" t="s">
        <v>198</v>
      </c>
      <c r="C179" s="31">
        <v>100407</v>
      </c>
      <c r="D179" s="31" t="s">
        <v>46</v>
      </c>
      <c r="E179" s="32">
        <v>51900</v>
      </c>
      <c r="F179" s="33">
        <v>1</v>
      </c>
      <c r="G179" s="34">
        <v>3</v>
      </c>
      <c r="H179" s="38">
        <f t="shared" si="0"/>
        <v>207600</v>
      </c>
      <c r="I179" s="27"/>
      <c r="J179" s="37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spans="1:27" ht="16.5" customHeight="1" x14ac:dyDescent="0.25">
      <c r="A180" s="29">
        <v>175</v>
      </c>
      <c r="B180" s="30" t="s">
        <v>199</v>
      </c>
      <c r="C180" s="31">
        <v>333402</v>
      </c>
      <c r="D180" s="31" t="s">
        <v>14</v>
      </c>
      <c r="E180" s="32">
        <v>370</v>
      </c>
      <c r="F180" s="33"/>
      <c r="G180" s="34"/>
      <c r="H180" s="38">
        <f t="shared" si="0"/>
        <v>0</v>
      </c>
      <c r="I180" s="27"/>
      <c r="J180" s="37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spans="1:27" ht="16.5" customHeight="1" x14ac:dyDescent="0.25">
      <c r="A181" s="29">
        <v>176</v>
      </c>
      <c r="B181" s="30" t="s">
        <v>200</v>
      </c>
      <c r="C181" s="31">
        <v>100311</v>
      </c>
      <c r="D181" s="31" t="s">
        <v>34</v>
      </c>
      <c r="E181" s="32">
        <v>195138</v>
      </c>
      <c r="F181" s="33">
        <v>14.223000000000001</v>
      </c>
      <c r="G181" s="39">
        <v>5</v>
      </c>
      <c r="H181" s="38">
        <f t="shared" si="0"/>
        <v>3751137.7739999997</v>
      </c>
      <c r="I181" s="27"/>
      <c r="J181" s="37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spans="1:27" ht="16.5" customHeight="1" x14ac:dyDescent="0.25">
      <c r="A182" s="29">
        <v>177</v>
      </c>
      <c r="B182" s="30" t="s">
        <v>201</v>
      </c>
      <c r="C182" s="31">
        <v>110401</v>
      </c>
      <c r="D182" s="31" t="s">
        <v>94</v>
      </c>
      <c r="E182" s="32">
        <v>285</v>
      </c>
      <c r="F182" s="33"/>
      <c r="G182" s="39"/>
      <c r="H182" s="38">
        <f t="shared" si="0"/>
        <v>0</v>
      </c>
      <c r="I182" s="27"/>
      <c r="J182" s="37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spans="1:27" ht="16.5" customHeight="1" x14ac:dyDescent="0.25">
      <c r="A183" s="29">
        <v>178</v>
      </c>
      <c r="B183" s="30" t="s">
        <v>202</v>
      </c>
      <c r="C183" s="31">
        <v>130327</v>
      </c>
      <c r="D183" s="31" t="s">
        <v>46</v>
      </c>
      <c r="E183" s="32">
        <v>7920</v>
      </c>
      <c r="F183" s="33">
        <v>11.16</v>
      </c>
      <c r="G183" s="39"/>
      <c r="H183" s="38">
        <f t="shared" si="0"/>
        <v>88387.199999999997</v>
      </c>
      <c r="I183" s="27"/>
      <c r="J183" s="37"/>
      <c r="K183" s="28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</row>
    <row r="184" spans="1:27" ht="16.5" customHeight="1" x14ac:dyDescent="0.25">
      <c r="A184" s="29">
        <v>179</v>
      </c>
      <c r="B184" s="30" t="s">
        <v>203</v>
      </c>
      <c r="C184" s="31">
        <v>999750</v>
      </c>
      <c r="D184" s="31" t="s">
        <v>14</v>
      </c>
      <c r="E184" s="32">
        <v>42721</v>
      </c>
      <c r="F184" s="33">
        <v>7</v>
      </c>
      <c r="G184" s="34">
        <v>24</v>
      </c>
      <c r="H184" s="38">
        <f t="shared" si="0"/>
        <v>1324351</v>
      </c>
      <c r="I184" s="27"/>
      <c r="J184" s="37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spans="1:27" ht="16.5" customHeight="1" x14ac:dyDescent="0.25">
      <c r="A185" s="29">
        <v>180</v>
      </c>
      <c r="B185" s="30" t="s">
        <v>204</v>
      </c>
      <c r="C185" s="31">
        <v>999425</v>
      </c>
      <c r="D185" s="31" t="s">
        <v>34</v>
      </c>
      <c r="E185" s="32">
        <v>17400</v>
      </c>
      <c r="F185" s="33">
        <v>14.36</v>
      </c>
      <c r="G185" s="40">
        <v>27</v>
      </c>
      <c r="H185" s="38">
        <f t="shared" si="0"/>
        <v>719664</v>
      </c>
      <c r="I185" s="27"/>
      <c r="J185" s="37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spans="1:27" ht="16.5" customHeight="1" x14ac:dyDescent="0.25">
      <c r="A186" s="29">
        <v>181</v>
      </c>
      <c r="B186" s="30" t="s">
        <v>205</v>
      </c>
      <c r="C186" s="31">
        <v>100409</v>
      </c>
      <c r="D186" s="31" t="s">
        <v>46</v>
      </c>
      <c r="E186" s="32">
        <v>51900</v>
      </c>
      <c r="F186" s="33"/>
      <c r="G186" s="34">
        <v>2</v>
      </c>
      <c r="H186" s="38">
        <f t="shared" si="0"/>
        <v>103800</v>
      </c>
      <c r="I186" s="27"/>
      <c r="J186" s="37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spans="1:27" ht="16.5" customHeight="1" x14ac:dyDescent="0.25">
      <c r="A187" s="29">
        <v>182</v>
      </c>
      <c r="B187" s="30" t="s">
        <v>206</v>
      </c>
      <c r="C187" s="31">
        <v>110402</v>
      </c>
      <c r="D187" s="31" t="s">
        <v>94</v>
      </c>
      <c r="E187" s="32">
        <v>285</v>
      </c>
      <c r="F187" s="33"/>
      <c r="G187" s="39"/>
      <c r="H187" s="38">
        <f t="shared" si="0"/>
        <v>0</v>
      </c>
      <c r="I187" s="27"/>
      <c r="J187" s="37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spans="1:27" ht="16.5" customHeight="1" x14ac:dyDescent="0.25">
      <c r="A188" s="29">
        <v>183</v>
      </c>
      <c r="B188" s="30" t="s">
        <v>207</v>
      </c>
      <c r="C188" s="31">
        <v>110405</v>
      </c>
      <c r="D188" s="31" t="s">
        <v>94</v>
      </c>
      <c r="E188" s="32">
        <v>285</v>
      </c>
      <c r="F188" s="33">
        <v>0.31</v>
      </c>
      <c r="G188" s="39"/>
      <c r="H188" s="38">
        <f t="shared" si="0"/>
        <v>88.35</v>
      </c>
      <c r="I188" s="27"/>
      <c r="J188" s="37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spans="1:27" ht="16.5" customHeight="1" x14ac:dyDescent="0.25">
      <c r="A189" s="29">
        <v>184</v>
      </c>
      <c r="B189" s="30" t="s">
        <v>208</v>
      </c>
      <c r="C189" s="31">
        <v>110407</v>
      </c>
      <c r="D189" s="31" t="s">
        <v>94</v>
      </c>
      <c r="E189" s="32">
        <v>285</v>
      </c>
      <c r="F189" s="33"/>
      <c r="G189" s="39"/>
      <c r="H189" s="38">
        <f t="shared" si="0"/>
        <v>0</v>
      </c>
      <c r="I189" s="27"/>
      <c r="J189" s="37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spans="1:27" ht="16.5" customHeight="1" x14ac:dyDescent="0.25">
      <c r="A190" s="29">
        <v>185</v>
      </c>
      <c r="B190" s="30" t="s">
        <v>209</v>
      </c>
      <c r="C190" s="31">
        <v>140514</v>
      </c>
      <c r="D190" s="31" t="s">
        <v>46</v>
      </c>
      <c r="E190" s="32">
        <v>35000</v>
      </c>
      <c r="F190" s="33">
        <v>2.2999999999999998</v>
      </c>
      <c r="G190" s="34">
        <v>5</v>
      </c>
      <c r="H190" s="38">
        <f t="shared" si="0"/>
        <v>255500</v>
      </c>
      <c r="I190" s="27"/>
      <c r="J190" s="37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spans="1:27" ht="16.5" customHeight="1" x14ac:dyDescent="0.25">
      <c r="A191" s="29">
        <v>186</v>
      </c>
      <c r="B191" s="30" t="s">
        <v>210</v>
      </c>
      <c r="C191" s="31">
        <v>555304</v>
      </c>
      <c r="D191" s="31" t="s">
        <v>14</v>
      </c>
      <c r="E191" s="32">
        <v>1850</v>
      </c>
      <c r="F191" s="33">
        <v>102</v>
      </c>
      <c r="G191" s="34">
        <v>600</v>
      </c>
      <c r="H191" s="38">
        <f t="shared" si="0"/>
        <v>1298700</v>
      </c>
      <c r="I191" s="27"/>
      <c r="J191" s="37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spans="1:27" ht="16.5" customHeight="1" x14ac:dyDescent="0.25">
      <c r="A192" s="29">
        <v>187</v>
      </c>
      <c r="B192" s="30" t="s">
        <v>211</v>
      </c>
      <c r="C192" s="31">
        <v>110413</v>
      </c>
      <c r="D192" s="31" t="s">
        <v>83</v>
      </c>
      <c r="E192" s="32">
        <v>1000</v>
      </c>
      <c r="F192" s="33">
        <v>309</v>
      </c>
      <c r="G192" s="39">
        <v>750</v>
      </c>
      <c r="H192" s="38">
        <f t="shared" si="0"/>
        <v>1059000</v>
      </c>
      <c r="I192" s="27"/>
      <c r="J192" s="37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spans="1:27" ht="16.5" customHeight="1" x14ac:dyDescent="0.25">
      <c r="A193" s="29">
        <v>188</v>
      </c>
      <c r="B193" s="30" t="s">
        <v>212</v>
      </c>
      <c r="C193" s="31">
        <v>140513</v>
      </c>
      <c r="D193" s="31" t="s">
        <v>14</v>
      </c>
      <c r="E193" s="32">
        <v>1666.666667</v>
      </c>
      <c r="F193" s="33">
        <v>10</v>
      </c>
      <c r="G193" s="34">
        <v>33</v>
      </c>
      <c r="H193" s="38">
        <f t="shared" si="0"/>
        <v>71666.666681000002</v>
      </c>
      <c r="I193" s="27"/>
      <c r="J193" s="37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spans="1:27" ht="16.5" customHeight="1" x14ac:dyDescent="0.25">
      <c r="A194" s="29">
        <v>189</v>
      </c>
      <c r="B194" s="30" t="s">
        <v>213</v>
      </c>
      <c r="C194" s="31">
        <v>900203</v>
      </c>
      <c r="D194" s="31" t="s">
        <v>34</v>
      </c>
      <c r="E194" s="32">
        <v>277500</v>
      </c>
      <c r="F194" s="33"/>
      <c r="G194" s="39"/>
      <c r="H194" s="38">
        <f t="shared" si="0"/>
        <v>0</v>
      </c>
      <c r="I194" s="27"/>
      <c r="J194" s="37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spans="1:27" ht="16.5" customHeight="1" x14ac:dyDescent="0.25">
      <c r="A195" s="29">
        <v>190</v>
      </c>
      <c r="B195" s="30" t="s">
        <v>214</v>
      </c>
      <c r="C195" s="31">
        <v>400208</v>
      </c>
      <c r="D195" s="31" t="s">
        <v>34</v>
      </c>
      <c r="E195" s="32">
        <v>90000</v>
      </c>
      <c r="F195" s="33">
        <v>2.9790000000000001</v>
      </c>
      <c r="G195" s="40">
        <v>6.64</v>
      </c>
      <c r="H195" s="38">
        <f t="shared" si="0"/>
        <v>865710</v>
      </c>
      <c r="I195" s="27"/>
      <c r="J195" s="37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spans="1:27" ht="16.5" customHeight="1" x14ac:dyDescent="0.25">
      <c r="A196" s="29">
        <v>191</v>
      </c>
      <c r="B196" s="30" t="s">
        <v>215</v>
      </c>
      <c r="C196" s="31">
        <v>140202</v>
      </c>
      <c r="D196" s="31" t="s">
        <v>34</v>
      </c>
      <c r="E196" s="32">
        <v>71192.600000000006</v>
      </c>
      <c r="F196" s="33">
        <v>5.5</v>
      </c>
      <c r="G196" s="40">
        <v>20</v>
      </c>
      <c r="H196" s="38">
        <f t="shared" si="0"/>
        <v>1815411.3</v>
      </c>
      <c r="I196" s="27"/>
      <c r="J196" s="37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spans="1:27" ht="16.5" customHeight="1" x14ac:dyDescent="0.25">
      <c r="A197" s="29">
        <v>192</v>
      </c>
      <c r="B197" s="30" t="s">
        <v>216</v>
      </c>
      <c r="C197" s="31">
        <v>999703</v>
      </c>
      <c r="D197" s="31" t="s">
        <v>14</v>
      </c>
      <c r="E197" s="32">
        <v>23347</v>
      </c>
      <c r="F197" s="33">
        <v>10</v>
      </c>
      <c r="G197" s="34">
        <v>43</v>
      </c>
      <c r="H197" s="38">
        <f t="shared" si="0"/>
        <v>1237391</v>
      </c>
      <c r="I197" s="27"/>
      <c r="J197" s="37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spans="1:27" ht="15" customHeight="1" x14ac:dyDescent="0.25">
      <c r="A198" s="29">
        <v>193</v>
      </c>
      <c r="B198" s="30" t="s">
        <v>217</v>
      </c>
      <c r="C198" s="31">
        <v>600303</v>
      </c>
      <c r="D198" s="31" t="s">
        <v>34</v>
      </c>
      <c r="E198" s="32">
        <v>22000</v>
      </c>
      <c r="F198" s="33">
        <v>2.5</v>
      </c>
      <c r="G198" s="34">
        <v>1.75</v>
      </c>
      <c r="H198" s="38">
        <f t="shared" si="0"/>
        <v>93500</v>
      </c>
      <c r="I198" s="18"/>
      <c r="J198" s="37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spans="1:27" ht="15" x14ac:dyDescent="0.25">
      <c r="A199" s="29">
        <v>194</v>
      </c>
      <c r="B199" s="30" t="s">
        <v>218</v>
      </c>
      <c r="C199" s="31">
        <v>400304</v>
      </c>
      <c r="D199" s="31" t="s">
        <v>34</v>
      </c>
      <c r="E199" s="32">
        <v>88800</v>
      </c>
      <c r="F199" s="33">
        <v>1.2549999999999999</v>
      </c>
      <c r="G199" s="34">
        <v>2</v>
      </c>
      <c r="H199" s="38">
        <f t="shared" si="0"/>
        <v>289044</v>
      </c>
      <c r="I199" s="18"/>
      <c r="J199" s="37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spans="1:27" ht="15" x14ac:dyDescent="0.25">
      <c r="A200" s="29">
        <v>195</v>
      </c>
      <c r="B200" s="30" t="s">
        <v>219</v>
      </c>
      <c r="C200" s="31">
        <v>444703</v>
      </c>
      <c r="D200" s="31" t="s">
        <v>66</v>
      </c>
      <c r="E200" s="32">
        <v>9718.75</v>
      </c>
      <c r="F200" s="33"/>
      <c r="G200" s="39"/>
      <c r="H200" s="38">
        <f t="shared" si="0"/>
        <v>0</v>
      </c>
      <c r="I200" s="18"/>
      <c r="J200" s="37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spans="1:27" ht="15" x14ac:dyDescent="0.25">
      <c r="A201" s="29">
        <v>196</v>
      </c>
      <c r="B201" s="30" t="s">
        <v>220</v>
      </c>
      <c r="C201" s="31">
        <v>111102</v>
      </c>
      <c r="D201" s="31" t="s">
        <v>12</v>
      </c>
      <c r="E201" s="32">
        <v>445</v>
      </c>
      <c r="F201" s="33">
        <v>196</v>
      </c>
      <c r="G201" s="34">
        <v>300</v>
      </c>
      <c r="H201" s="38">
        <f t="shared" si="0"/>
        <v>220720</v>
      </c>
      <c r="I201" s="18"/>
      <c r="J201" s="37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spans="1:27" ht="15" x14ac:dyDescent="0.25">
      <c r="A202" s="29">
        <v>197</v>
      </c>
      <c r="B202" s="30" t="s">
        <v>221</v>
      </c>
      <c r="C202" s="31">
        <v>222103</v>
      </c>
      <c r="D202" s="31" t="s">
        <v>12</v>
      </c>
      <c r="E202" s="32">
        <v>568</v>
      </c>
      <c r="F202" s="33">
        <v>139</v>
      </c>
      <c r="G202" s="40">
        <v>200</v>
      </c>
      <c r="H202" s="38">
        <f t="shared" si="0"/>
        <v>192552</v>
      </c>
      <c r="I202" s="18"/>
      <c r="J202" s="37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spans="1:27" ht="15" x14ac:dyDescent="0.25">
      <c r="A203" s="29">
        <v>198</v>
      </c>
      <c r="B203" s="30" t="s">
        <v>222</v>
      </c>
      <c r="C203" s="31">
        <v>333407</v>
      </c>
      <c r="D203" s="31" t="s">
        <v>14</v>
      </c>
      <c r="E203" s="32">
        <v>7000</v>
      </c>
      <c r="F203" s="33">
        <v>40</v>
      </c>
      <c r="G203" s="34">
        <v>150</v>
      </c>
      <c r="H203" s="38">
        <f t="shared" si="0"/>
        <v>1330000</v>
      </c>
      <c r="I203" s="18"/>
      <c r="J203" s="37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spans="1:27" ht="15" x14ac:dyDescent="0.25">
      <c r="A204" s="29">
        <v>199</v>
      </c>
      <c r="B204" s="30" t="s">
        <v>223</v>
      </c>
      <c r="C204" s="31">
        <v>140518</v>
      </c>
      <c r="D204" s="31" t="s">
        <v>34</v>
      </c>
      <c r="E204" s="32">
        <v>90000</v>
      </c>
      <c r="F204" s="33">
        <v>0.753</v>
      </c>
      <c r="G204" s="40">
        <v>2</v>
      </c>
      <c r="H204" s="38">
        <f t="shared" si="0"/>
        <v>247770</v>
      </c>
      <c r="I204" s="18"/>
      <c r="J204" s="37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spans="1:27" ht="15" x14ac:dyDescent="0.25">
      <c r="A205" s="29">
        <v>200</v>
      </c>
      <c r="B205" s="30" t="s">
        <v>224</v>
      </c>
      <c r="C205" s="31">
        <v>140301</v>
      </c>
      <c r="D205" s="31" t="s">
        <v>34</v>
      </c>
      <c r="E205" s="32">
        <v>240000</v>
      </c>
      <c r="F205" s="33"/>
      <c r="G205" s="39"/>
      <c r="H205" s="38">
        <f t="shared" si="0"/>
        <v>0</v>
      </c>
      <c r="I205" s="18"/>
      <c r="J205" s="37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spans="1:27" ht="15" x14ac:dyDescent="0.25">
      <c r="A206" s="29">
        <v>201</v>
      </c>
      <c r="B206" s="30" t="s">
        <v>225</v>
      </c>
      <c r="C206" s="31">
        <v>444904</v>
      </c>
      <c r="D206" s="31" t="s">
        <v>14</v>
      </c>
      <c r="E206" s="32">
        <v>136</v>
      </c>
      <c r="F206" s="33"/>
      <c r="G206" s="39"/>
      <c r="H206" s="38">
        <f t="shared" si="0"/>
        <v>0</v>
      </c>
      <c r="I206" s="18"/>
      <c r="J206" s="37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spans="1:27" ht="15" x14ac:dyDescent="0.25">
      <c r="A207" s="29">
        <v>202</v>
      </c>
      <c r="B207" s="30" t="s">
        <v>226</v>
      </c>
      <c r="C207" s="31">
        <v>444907</v>
      </c>
      <c r="D207" s="31" t="s">
        <v>14</v>
      </c>
      <c r="E207" s="32">
        <v>168</v>
      </c>
      <c r="F207" s="33"/>
      <c r="G207" s="39"/>
      <c r="H207" s="38">
        <f t="shared" si="0"/>
        <v>0</v>
      </c>
      <c r="I207" s="18"/>
      <c r="J207" s="37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spans="1:27" ht="15" x14ac:dyDescent="0.25">
      <c r="A208" s="29">
        <v>203</v>
      </c>
      <c r="B208" s="30" t="s">
        <v>227</v>
      </c>
      <c r="C208" s="31">
        <v>130319</v>
      </c>
      <c r="D208" s="31" t="s">
        <v>34</v>
      </c>
      <c r="E208" s="32">
        <v>8520</v>
      </c>
      <c r="F208" s="33"/>
      <c r="G208" s="39"/>
      <c r="H208" s="38">
        <f t="shared" si="0"/>
        <v>0</v>
      </c>
      <c r="I208" s="18"/>
      <c r="J208" s="37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spans="1:27" ht="15" x14ac:dyDescent="0.25">
      <c r="A209" s="29">
        <v>204</v>
      </c>
      <c r="B209" s="30" t="s">
        <v>228</v>
      </c>
      <c r="C209" s="31">
        <v>100406</v>
      </c>
      <c r="D209" s="31" t="s">
        <v>46</v>
      </c>
      <c r="E209" s="32">
        <v>51900</v>
      </c>
      <c r="F209" s="33">
        <v>1</v>
      </c>
      <c r="G209" s="34">
        <v>8</v>
      </c>
      <c r="H209" s="38">
        <f t="shared" si="0"/>
        <v>467100</v>
      </c>
      <c r="I209" s="18"/>
      <c r="J209" s="37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spans="1:27" ht="15" x14ac:dyDescent="0.25">
      <c r="A210" s="29">
        <v>205</v>
      </c>
      <c r="B210" s="30" t="s">
        <v>229</v>
      </c>
      <c r="C210" s="31">
        <v>600306</v>
      </c>
      <c r="D210" s="31" t="s">
        <v>230</v>
      </c>
      <c r="E210" s="32">
        <v>26</v>
      </c>
      <c r="F210" s="33"/>
      <c r="G210" s="39"/>
      <c r="H210" s="38">
        <f t="shared" si="0"/>
        <v>0</v>
      </c>
      <c r="I210" s="18"/>
      <c r="J210" s="37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spans="1:27" ht="15" x14ac:dyDescent="0.25">
      <c r="A211" s="29">
        <v>206</v>
      </c>
      <c r="B211" s="30" t="s">
        <v>231</v>
      </c>
      <c r="C211" s="31">
        <v>800509</v>
      </c>
      <c r="D211" s="31" t="s">
        <v>46</v>
      </c>
      <c r="E211" s="32">
        <v>28001.599999999999</v>
      </c>
      <c r="F211" s="33">
        <v>0.1</v>
      </c>
      <c r="G211" s="34">
        <v>0.7</v>
      </c>
      <c r="H211" s="38">
        <f t="shared" si="0"/>
        <v>22401.279999999995</v>
      </c>
      <c r="I211" s="18"/>
      <c r="J211" s="37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spans="1:27" ht="15" x14ac:dyDescent="0.25">
      <c r="A212" s="29">
        <v>207</v>
      </c>
      <c r="B212" s="30" t="s">
        <v>232</v>
      </c>
      <c r="C212" s="31">
        <v>120107</v>
      </c>
      <c r="D212" s="31" t="s">
        <v>34</v>
      </c>
      <c r="E212" s="32">
        <v>28200</v>
      </c>
      <c r="F212" s="33">
        <v>1.9</v>
      </c>
      <c r="G212" s="39"/>
      <c r="H212" s="38">
        <f t="shared" si="0"/>
        <v>53580</v>
      </c>
      <c r="I212" s="18"/>
      <c r="J212" s="37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spans="1:27" ht="15" x14ac:dyDescent="0.25">
      <c r="A213" s="29">
        <v>208</v>
      </c>
      <c r="B213" s="30" t="s">
        <v>233</v>
      </c>
      <c r="C213" s="31">
        <v>200129</v>
      </c>
      <c r="D213" s="31" t="s">
        <v>46</v>
      </c>
      <c r="E213" s="32">
        <v>26364</v>
      </c>
      <c r="F213" s="33"/>
      <c r="G213" s="39"/>
      <c r="H213" s="38">
        <f t="shared" si="0"/>
        <v>0</v>
      </c>
      <c r="I213" s="18"/>
      <c r="J213" s="37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spans="1:27" ht="15" x14ac:dyDescent="0.25">
      <c r="A214" s="29">
        <v>209</v>
      </c>
      <c r="B214" s="30" t="s">
        <v>234</v>
      </c>
      <c r="C214" s="31">
        <v>600102</v>
      </c>
      <c r="D214" s="31" t="s">
        <v>34</v>
      </c>
      <c r="E214" s="32">
        <v>75162.857139999993</v>
      </c>
      <c r="F214" s="33">
        <v>21</v>
      </c>
      <c r="G214" s="34">
        <v>7</v>
      </c>
      <c r="H214" s="38">
        <f t="shared" si="0"/>
        <v>2104559.9999199999</v>
      </c>
      <c r="I214" s="18"/>
      <c r="J214" s="37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spans="1:27" ht="15" x14ac:dyDescent="0.25">
      <c r="A215" s="29">
        <v>210</v>
      </c>
      <c r="B215" s="30" t="s">
        <v>235</v>
      </c>
      <c r="C215" s="31">
        <v>800510</v>
      </c>
      <c r="D215" s="31" t="s">
        <v>230</v>
      </c>
      <c r="E215" s="32">
        <v>374</v>
      </c>
      <c r="F215" s="33"/>
      <c r="G215" s="39"/>
      <c r="H215" s="38">
        <f t="shared" si="0"/>
        <v>0</v>
      </c>
      <c r="I215" s="18"/>
      <c r="J215" s="37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spans="1:27" ht="15" x14ac:dyDescent="0.25">
      <c r="A216" s="29">
        <v>211</v>
      </c>
      <c r="B216" s="30" t="s">
        <v>236</v>
      </c>
      <c r="C216" s="31">
        <v>700113</v>
      </c>
      <c r="D216" s="31" t="s">
        <v>83</v>
      </c>
      <c r="E216" s="32">
        <v>390</v>
      </c>
      <c r="F216" s="33"/>
      <c r="G216" s="39"/>
      <c r="H216" s="38">
        <f t="shared" si="0"/>
        <v>0</v>
      </c>
      <c r="I216" s="18"/>
      <c r="J216" s="37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spans="1:27" ht="15" x14ac:dyDescent="0.25">
      <c r="A217" s="29">
        <v>212</v>
      </c>
      <c r="B217" s="30" t="s">
        <v>237</v>
      </c>
      <c r="C217" s="31">
        <v>600305</v>
      </c>
      <c r="D217" s="31" t="s">
        <v>83</v>
      </c>
      <c r="E217" s="32">
        <v>17</v>
      </c>
      <c r="F217" s="33"/>
      <c r="G217" s="39"/>
      <c r="H217" s="38">
        <f t="shared" si="0"/>
        <v>0</v>
      </c>
      <c r="I217" s="18"/>
      <c r="J217" s="37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spans="1:27" ht="15" x14ac:dyDescent="0.25">
      <c r="A218" s="29">
        <v>213</v>
      </c>
      <c r="B218" s="30" t="s">
        <v>238</v>
      </c>
      <c r="C218" s="31">
        <v>130335</v>
      </c>
      <c r="D218" s="31" t="s">
        <v>230</v>
      </c>
      <c r="E218" s="32">
        <v>34</v>
      </c>
      <c r="F218" s="33"/>
      <c r="G218" s="39"/>
      <c r="H218" s="38">
        <f t="shared" si="0"/>
        <v>0</v>
      </c>
      <c r="I218" s="18"/>
      <c r="J218" s="37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spans="1:27" ht="15" x14ac:dyDescent="0.25">
      <c r="A219" s="29">
        <v>214</v>
      </c>
      <c r="B219" s="30" t="s">
        <v>239</v>
      </c>
      <c r="C219" s="31">
        <v>100424</v>
      </c>
      <c r="D219" s="31" t="s">
        <v>34</v>
      </c>
      <c r="E219" s="32">
        <v>108060</v>
      </c>
      <c r="F219" s="33"/>
      <c r="G219" s="39"/>
      <c r="H219" s="38">
        <f t="shared" si="0"/>
        <v>0</v>
      </c>
      <c r="I219" s="18"/>
      <c r="J219" s="37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spans="1:27" ht="15" x14ac:dyDescent="0.25">
      <c r="A220" s="29">
        <v>215</v>
      </c>
      <c r="B220" s="30" t="s">
        <v>240</v>
      </c>
      <c r="C220" s="31">
        <v>140526</v>
      </c>
      <c r="D220" s="31" t="s">
        <v>46</v>
      </c>
      <c r="E220" s="32">
        <v>65000</v>
      </c>
      <c r="F220" s="33"/>
      <c r="G220" s="39"/>
      <c r="H220" s="38">
        <f t="shared" si="0"/>
        <v>0</v>
      </c>
      <c r="I220" s="18"/>
      <c r="J220" s="37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spans="1:27" ht="15" x14ac:dyDescent="0.25">
      <c r="A221" s="29">
        <v>216</v>
      </c>
      <c r="B221" s="30" t="s">
        <v>241</v>
      </c>
      <c r="C221" s="31">
        <v>222101</v>
      </c>
      <c r="D221" s="31" t="s">
        <v>12</v>
      </c>
      <c r="E221" s="32">
        <v>240</v>
      </c>
      <c r="F221" s="33">
        <v>207</v>
      </c>
      <c r="G221" s="40"/>
      <c r="H221" s="38">
        <f t="shared" si="0"/>
        <v>49680</v>
      </c>
      <c r="I221" s="18"/>
      <c r="J221" s="37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 spans="1:27" ht="15" x14ac:dyDescent="0.25">
      <c r="A222" s="29">
        <v>217</v>
      </c>
      <c r="B222" s="30" t="s">
        <v>242</v>
      </c>
      <c r="C222" s="31">
        <v>130111</v>
      </c>
      <c r="D222" s="31" t="s">
        <v>34</v>
      </c>
      <c r="E222" s="32">
        <v>10800</v>
      </c>
      <c r="F222" s="33">
        <v>14.04</v>
      </c>
      <c r="G222" s="39"/>
      <c r="H222" s="38">
        <f t="shared" si="0"/>
        <v>151632</v>
      </c>
      <c r="I222" s="18"/>
      <c r="J222" s="37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 spans="1:27" ht="15" x14ac:dyDescent="0.25">
      <c r="A223" s="29">
        <v>218</v>
      </c>
      <c r="B223" s="30" t="s">
        <v>243</v>
      </c>
      <c r="C223" s="31">
        <v>400210</v>
      </c>
      <c r="D223" s="31" t="s">
        <v>83</v>
      </c>
      <c r="E223" s="32">
        <v>61</v>
      </c>
      <c r="F223" s="33"/>
      <c r="G223" s="34"/>
      <c r="H223" s="38">
        <f t="shared" si="0"/>
        <v>0</v>
      </c>
      <c r="I223" s="18"/>
      <c r="J223" s="37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 spans="1:27" ht="15" x14ac:dyDescent="0.25">
      <c r="A224" s="29">
        <v>219</v>
      </c>
      <c r="B224" s="30" t="s">
        <v>244</v>
      </c>
      <c r="C224" s="31">
        <v>999433</v>
      </c>
      <c r="D224" s="31" t="s">
        <v>14</v>
      </c>
      <c r="E224" s="32">
        <v>5096</v>
      </c>
      <c r="F224" s="33">
        <v>84</v>
      </c>
      <c r="G224" s="34">
        <v>117</v>
      </c>
      <c r="H224" s="38">
        <f t="shared" si="0"/>
        <v>1024296</v>
      </c>
      <c r="I224" s="18"/>
      <c r="J224" s="37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 spans="1:27" ht="15" x14ac:dyDescent="0.25">
      <c r="A225" s="29">
        <v>220</v>
      </c>
      <c r="B225" s="30" t="s">
        <v>245</v>
      </c>
      <c r="C225" s="31">
        <v>400106</v>
      </c>
      <c r="D225" s="31" t="s">
        <v>34</v>
      </c>
      <c r="E225" s="32">
        <v>49750</v>
      </c>
      <c r="F225" s="33"/>
      <c r="G225" s="34">
        <v>3.7</v>
      </c>
      <c r="H225" s="38">
        <f t="shared" si="0"/>
        <v>184075</v>
      </c>
      <c r="I225" s="18"/>
      <c r="J225" s="37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 spans="1:27" ht="15" x14ac:dyDescent="0.25">
      <c r="A226" s="29">
        <v>221</v>
      </c>
      <c r="B226" s="30" t="s">
        <v>246</v>
      </c>
      <c r="C226" s="31">
        <v>130304</v>
      </c>
      <c r="D226" s="31" t="s">
        <v>34</v>
      </c>
      <c r="E226" s="32">
        <v>19500</v>
      </c>
      <c r="F226" s="33"/>
      <c r="G226" s="39"/>
      <c r="H226" s="38">
        <f t="shared" si="0"/>
        <v>0</v>
      </c>
      <c r="I226" s="18"/>
      <c r="J226" s="37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 spans="1:27" ht="15" x14ac:dyDescent="0.25">
      <c r="A227" s="29">
        <v>222</v>
      </c>
      <c r="B227" s="30" t="s">
        <v>247</v>
      </c>
      <c r="C227" s="31">
        <v>444101</v>
      </c>
      <c r="D227" s="31" t="s">
        <v>56</v>
      </c>
      <c r="E227" s="32">
        <v>11000</v>
      </c>
      <c r="F227" s="33">
        <v>24.75</v>
      </c>
      <c r="G227" s="39">
        <v>15</v>
      </c>
      <c r="H227" s="38">
        <f t="shared" si="0"/>
        <v>437250</v>
      </c>
      <c r="I227" s="18"/>
      <c r="J227" s="37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 spans="1:27" ht="15" x14ac:dyDescent="0.25">
      <c r="A228" s="29">
        <v>223</v>
      </c>
      <c r="B228" s="30" t="s">
        <v>248</v>
      </c>
      <c r="C228" s="31">
        <v>444810</v>
      </c>
      <c r="D228" s="31" t="s">
        <v>14</v>
      </c>
      <c r="E228" s="32">
        <v>4500</v>
      </c>
      <c r="F228" s="33"/>
      <c r="G228" s="34">
        <v>34</v>
      </c>
      <c r="H228" s="38">
        <f t="shared" si="0"/>
        <v>153000</v>
      </c>
      <c r="I228" s="18"/>
      <c r="J228" s="37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</row>
    <row r="229" spans="1:27" ht="15" x14ac:dyDescent="0.25">
      <c r="A229" s="29">
        <v>224</v>
      </c>
      <c r="B229" s="30" t="s">
        <v>249</v>
      </c>
      <c r="C229" s="31">
        <v>140805</v>
      </c>
      <c r="D229" s="31" t="s">
        <v>12</v>
      </c>
      <c r="E229" s="32">
        <v>49350</v>
      </c>
      <c r="F229" s="33">
        <v>1.2889999999999999</v>
      </c>
      <c r="G229" s="40">
        <v>5</v>
      </c>
      <c r="H229" s="38">
        <f t="shared" si="0"/>
        <v>310362.14999999997</v>
      </c>
      <c r="I229" s="18"/>
      <c r="J229" s="37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</row>
    <row r="230" spans="1:27" ht="15" x14ac:dyDescent="0.25">
      <c r="A230" s="29">
        <v>225</v>
      </c>
      <c r="B230" s="30" t="s">
        <v>250</v>
      </c>
      <c r="C230" s="31">
        <v>140806</v>
      </c>
      <c r="D230" s="31" t="s">
        <v>12</v>
      </c>
      <c r="E230" s="32">
        <v>67600</v>
      </c>
      <c r="F230" s="33"/>
      <c r="G230" s="34">
        <v>5</v>
      </c>
      <c r="H230" s="38">
        <f t="shared" si="0"/>
        <v>338000</v>
      </c>
      <c r="I230" s="18"/>
      <c r="J230" s="37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 spans="1:27" ht="15" x14ac:dyDescent="0.25">
      <c r="A231" s="29">
        <v>226</v>
      </c>
      <c r="B231" s="30" t="s">
        <v>251</v>
      </c>
      <c r="C231" s="31">
        <v>400212</v>
      </c>
      <c r="D231" s="31" t="s">
        <v>83</v>
      </c>
      <c r="E231" s="32">
        <v>200</v>
      </c>
      <c r="F231" s="33">
        <v>24</v>
      </c>
      <c r="G231" s="39">
        <v>1036</v>
      </c>
      <c r="H231" s="38">
        <f t="shared" si="0"/>
        <v>212000</v>
      </c>
      <c r="I231" s="18"/>
      <c r="J231" s="37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 spans="1:27" ht="15" x14ac:dyDescent="0.25">
      <c r="A232" s="29">
        <v>227</v>
      </c>
      <c r="B232" s="30" t="s">
        <v>252</v>
      </c>
      <c r="C232" s="31">
        <v>900303</v>
      </c>
      <c r="D232" s="31" t="s">
        <v>253</v>
      </c>
      <c r="E232" s="32">
        <v>72700</v>
      </c>
      <c r="F232" s="33"/>
      <c r="G232" s="39"/>
      <c r="H232" s="38">
        <f t="shared" si="0"/>
        <v>0</v>
      </c>
      <c r="I232" s="18"/>
      <c r="J232" s="37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 spans="1:27" ht="15" x14ac:dyDescent="0.25">
      <c r="A233" s="29">
        <v>228</v>
      </c>
      <c r="B233" s="30" t="s">
        <v>254</v>
      </c>
      <c r="C233" s="31">
        <v>777414</v>
      </c>
      <c r="D233" s="31" t="s">
        <v>14</v>
      </c>
      <c r="E233" s="32">
        <v>1206</v>
      </c>
      <c r="F233" s="33">
        <v>302</v>
      </c>
      <c r="G233" s="34"/>
      <c r="H233" s="38">
        <f t="shared" si="0"/>
        <v>364212</v>
      </c>
      <c r="I233" s="18"/>
      <c r="J233" s="37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 spans="1:27" ht="15" x14ac:dyDescent="0.25">
      <c r="A234" s="29">
        <v>229</v>
      </c>
      <c r="B234" s="30" t="s">
        <v>255</v>
      </c>
      <c r="C234" s="31">
        <v>777411</v>
      </c>
      <c r="D234" s="31" t="s">
        <v>14</v>
      </c>
      <c r="E234" s="32">
        <v>882</v>
      </c>
      <c r="F234" s="33">
        <v>4200</v>
      </c>
      <c r="G234" s="34">
        <v>4300</v>
      </c>
      <c r="H234" s="38">
        <f t="shared" si="0"/>
        <v>7497000</v>
      </c>
      <c r="I234" s="18"/>
      <c r="J234" s="37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</row>
    <row r="235" spans="1:27" ht="15" x14ac:dyDescent="0.25">
      <c r="A235" s="29">
        <v>230</v>
      </c>
      <c r="B235" s="30" t="s">
        <v>256</v>
      </c>
      <c r="C235" s="31">
        <v>444801</v>
      </c>
      <c r="D235" s="31" t="s">
        <v>14</v>
      </c>
      <c r="E235" s="32">
        <v>500</v>
      </c>
      <c r="F235" s="33">
        <v>664</v>
      </c>
      <c r="G235" s="34">
        <v>1900</v>
      </c>
      <c r="H235" s="38">
        <f t="shared" si="0"/>
        <v>1282000</v>
      </c>
      <c r="I235" s="18"/>
      <c r="J235" s="37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 spans="1:27" ht="15" x14ac:dyDescent="0.25">
      <c r="A236" s="29">
        <v>231</v>
      </c>
      <c r="B236" s="30" t="s">
        <v>257</v>
      </c>
      <c r="C236" s="31">
        <v>111742</v>
      </c>
      <c r="D236" s="31" t="s">
        <v>14</v>
      </c>
      <c r="E236" s="32">
        <v>2750</v>
      </c>
      <c r="F236" s="33"/>
      <c r="G236" s="40"/>
      <c r="H236" s="38">
        <f t="shared" si="0"/>
        <v>0</v>
      </c>
      <c r="I236" s="18"/>
      <c r="J236" s="37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</row>
    <row r="237" spans="1:27" ht="15" x14ac:dyDescent="0.25">
      <c r="A237" s="29">
        <v>232</v>
      </c>
      <c r="B237" s="30" t="s">
        <v>258</v>
      </c>
      <c r="C237" s="31">
        <v>300302</v>
      </c>
      <c r="D237" s="31" t="s">
        <v>12</v>
      </c>
      <c r="E237" s="32">
        <v>58275</v>
      </c>
      <c r="F237" s="33"/>
      <c r="G237" s="39"/>
      <c r="H237" s="38">
        <f t="shared" si="0"/>
        <v>0</v>
      </c>
      <c r="I237" s="18"/>
      <c r="J237" s="37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 spans="1:27" ht="15" x14ac:dyDescent="0.25">
      <c r="A238" s="29">
        <v>233</v>
      </c>
      <c r="B238" s="30" t="s">
        <v>259</v>
      </c>
      <c r="C238" s="31">
        <v>999731</v>
      </c>
      <c r="D238" s="31" t="s">
        <v>14</v>
      </c>
      <c r="E238" s="32">
        <v>127302</v>
      </c>
      <c r="F238" s="33">
        <v>1.18</v>
      </c>
      <c r="G238" s="40">
        <v>3</v>
      </c>
      <c r="H238" s="38">
        <f t="shared" si="0"/>
        <v>532122.36</v>
      </c>
      <c r="I238" s="18"/>
      <c r="J238" s="37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</row>
    <row r="239" spans="1:27" ht="15" x14ac:dyDescent="0.25">
      <c r="A239" s="29">
        <v>234</v>
      </c>
      <c r="B239" s="30" t="s">
        <v>260</v>
      </c>
      <c r="C239" s="31">
        <v>300405</v>
      </c>
      <c r="D239" s="31" t="s">
        <v>12</v>
      </c>
      <c r="E239" s="32">
        <v>40000</v>
      </c>
      <c r="F239" s="33"/>
      <c r="G239" s="39"/>
      <c r="H239" s="38">
        <f t="shared" si="0"/>
        <v>0</v>
      </c>
      <c r="I239" s="18"/>
      <c r="J239" s="37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 spans="1:27" ht="15" x14ac:dyDescent="0.25">
      <c r="A240" s="29">
        <v>235</v>
      </c>
      <c r="B240" s="30" t="s">
        <v>261</v>
      </c>
      <c r="C240" s="31">
        <v>150102</v>
      </c>
      <c r="D240" s="31" t="s">
        <v>34</v>
      </c>
      <c r="E240" s="32">
        <v>40000</v>
      </c>
      <c r="F240" s="33">
        <v>0.6</v>
      </c>
      <c r="G240" s="40">
        <v>8.7100000000000009</v>
      </c>
      <c r="H240" s="38">
        <f t="shared" si="0"/>
        <v>372400</v>
      </c>
      <c r="I240" s="18"/>
      <c r="J240" s="37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 spans="1:27" ht="15" x14ac:dyDescent="0.25">
      <c r="A241" s="29">
        <v>236</v>
      </c>
      <c r="B241" s="30" t="s">
        <v>262</v>
      </c>
      <c r="C241" s="31">
        <v>444802</v>
      </c>
      <c r="D241" s="31" t="s">
        <v>14</v>
      </c>
      <c r="E241" s="32">
        <v>150</v>
      </c>
      <c r="F241" s="33">
        <v>228</v>
      </c>
      <c r="G241" s="34">
        <v>5000</v>
      </c>
      <c r="H241" s="38">
        <f t="shared" si="0"/>
        <v>784200</v>
      </c>
      <c r="I241" s="18"/>
      <c r="J241" s="37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 spans="1:27" ht="15" x14ac:dyDescent="0.25">
      <c r="A242" s="29">
        <v>237</v>
      </c>
      <c r="B242" s="30" t="s">
        <v>263</v>
      </c>
      <c r="C242" s="31">
        <v>777412</v>
      </c>
      <c r="D242" s="31" t="s">
        <v>14</v>
      </c>
      <c r="E242" s="32">
        <v>190</v>
      </c>
      <c r="F242" s="33">
        <v>592</v>
      </c>
      <c r="G242" s="40">
        <v>400</v>
      </c>
      <c r="H242" s="38">
        <f t="shared" si="0"/>
        <v>188480</v>
      </c>
      <c r="I242" s="18"/>
      <c r="J242" s="37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 spans="1:27" ht="15" x14ac:dyDescent="0.25">
      <c r="A243" s="29">
        <v>238</v>
      </c>
      <c r="B243" s="30" t="s">
        <v>264</v>
      </c>
      <c r="C243" s="31">
        <v>222217</v>
      </c>
      <c r="D243" s="31" t="s">
        <v>12</v>
      </c>
      <c r="E243" s="32">
        <v>600</v>
      </c>
      <c r="F243" s="33">
        <v>29</v>
      </c>
      <c r="G243" s="39">
        <v>200</v>
      </c>
      <c r="H243" s="38">
        <f t="shared" si="0"/>
        <v>137400</v>
      </c>
      <c r="I243" s="18"/>
      <c r="J243" s="37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</row>
    <row r="244" spans="1:27" ht="15" x14ac:dyDescent="0.25">
      <c r="A244" s="29">
        <v>239</v>
      </c>
      <c r="B244" s="30" t="s">
        <v>265</v>
      </c>
      <c r="C244" s="31">
        <v>400107</v>
      </c>
      <c r="D244" s="31" t="s">
        <v>34</v>
      </c>
      <c r="E244" s="32">
        <v>109411.7647</v>
      </c>
      <c r="F244" s="33"/>
      <c r="G244" s="39"/>
      <c r="H244" s="38">
        <f t="shared" si="0"/>
        <v>0</v>
      </c>
      <c r="I244" s="18"/>
      <c r="J244" s="37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</row>
    <row r="245" spans="1:27" ht="15" x14ac:dyDescent="0.25">
      <c r="A245" s="29">
        <v>240</v>
      </c>
      <c r="B245" s="30" t="s">
        <v>266</v>
      </c>
      <c r="C245" s="31">
        <v>777417</v>
      </c>
      <c r="D245" s="31" t="s">
        <v>12</v>
      </c>
      <c r="E245" s="32">
        <v>408.16326529999998</v>
      </c>
      <c r="F245" s="33">
        <v>50</v>
      </c>
      <c r="G245" s="40">
        <v>600</v>
      </c>
      <c r="H245" s="38">
        <f t="shared" si="0"/>
        <v>265306.12244499999</v>
      </c>
      <c r="I245" s="18"/>
      <c r="J245" s="37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 spans="1:27" ht="15" x14ac:dyDescent="0.25">
      <c r="A246" s="29">
        <v>241</v>
      </c>
      <c r="B246" s="30" t="s">
        <v>267</v>
      </c>
      <c r="C246" s="29">
        <v>777211</v>
      </c>
      <c r="D246" s="31" t="s">
        <v>34</v>
      </c>
      <c r="E246" s="32">
        <v>39500</v>
      </c>
      <c r="F246" s="33">
        <v>0.2</v>
      </c>
      <c r="G246" s="39">
        <v>16</v>
      </c>
      <c r="H246" s="38">
        <f t="shared" si="0"/>
        <v>639900</v>
      </c>
      <c r="I246" s="18"/>
      <c r="J246" s="37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 spans="1:27" ht="15" x14ac:dyDescent="0.25">
      <c r="A247" s="29">
        <v>242</v>
      </c>
      <c r="B247" s="30" t="s">
        <v>268</v>
      </c>
      <c r="C247" s="29">
        <v>140530</v>
      </c>
      <c r="D247" s="31" t="s">
        <v>46</v>
      </c>
      <c r="E247" s="32">
        <v>287500</v>
      </c>
      <c r="F247" s="33">
        <v>3</v>
      </c>
      <c r="G247" s="45">
        <v>51</v>
      </c>
      <c r="H247" s="38">
        <f t="shared" si="0"/>
        <v>15525000</v>
      </c>
      <c r="I247" s="18"/>
      <c r="J247" s="37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 spans="1:27" ht="15" x14ac:dyDescent="0.25">
      <c r="A248" s="29">
        <v>243</v>
      </c>
      <c r="B248" s="30" t="s">
        <v>269</v>
      </c>
      <c r="C248" s="29">
        <v>140531</v>
      </c>
      <c r="D248" s="31" t="s">
        <v>46</v>
      </c>
      <c r="E248" s="32">
        <v>120000</v>
      </c>
      <c r="F248" s="33">
        <v>2</v>
      </c>
      <c r="G248" s="45">
        <v>47</v>
      </c>
      <c r="H248" s="38">
        <f t="shared" si="0"/>
        <v>5880000</v>
      </c>
      <c r="I248" s="18"/>
      <c r="J248" s="37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 spans="1:27" ht="15" x14ac:dyDescent="0.25">
      <c r="A249" s="29">
        <v>244</v>
      </c>
      <c r="B249" s="30" t="s">
        <v>270</v>
      </c>
      <c r="C249" s="29">
        <v>666110</v>
      </c>
      <c r="D249" s="31" t="s">
        <v>12</v>
      </c>
      <c r="E249" s="32">
        <v>550</v>
      </c>
      <c r="F249" s="33">
        <v>1082</v>
      </c>
      <c r="G249" s="40">
        <v>1000</v>
      </c>
      <c r="H249" s="38">
        <f t="shared" si="0"/>
        <v>1145100</v>
      </c>
      <c r="I249" s="18"/>
      <c r="J249" s="37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 spans="1:27" ht="15" x14ac:dyDescent="0.25">
      <c r="A250" s="29">
        <v>245</v>
      </c>
      <c r="B250" s="30" t="s">
        <v>271</v>
      </c>
      <c r="C250" s="29">
        <v>666402</v>
      </c>
      <c r="D250" s="31" t="s">
        <v>272</v>
      </c>
      <c r="E250" s="32">
        <v>920</v>
      </c>
      <c r="F250" s="33"/>
      <c r="G250" s="39">
        <v>8</v>
      </c>
      <c r="H250" s="38">
        <f t="shared" si="0"/>
        <v>7360</v>
      </c>
      <c r="I250" s="18"/>
      <c r="J250" s="37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 spans="1:27" ht="15" x14ac:dyDescent="0.25">
      <c r="A251" s="29">
        <v>246</v>
      </c>
      <c r="B251" s="30" t="s">
        <v>273</v>
      </c>
      <c r="C251" s="29">
        <v>333410</v>
      </c>
      <c r="D251" s="31" t="s">
        <v>274</v>
      </c>
      <c r="E251" s="32">
        <v>26</v>
      </c>
      <c r="F251" s="33"/>
      <c r="G251" s="45">
        <v>6000</v>
      </c>
      <c r="H251" s="38">
        <f t="shared" si="0"/>
        <v>156000</v>
      </c>
      <c r="I251" s="18"/>
      <c r="J251" s="37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 spans="1:27" ht="15" x14ac:dyDescent="0.25">
      <c r="A252" s="29">
        <v>247</v>
      </c>
      <c r="B252" s="30" t="s">
        <v>275</v>
      </c>
      <c r="C252" s="29">
        <v>666401</v>
      </c>
      <c r="D252" s="31" t="s">
        <v>272</v>
      </c>
      <c r="E252" s="32">
        <v>820</v>
      </c>
      <c r="F252" s="33">
        <v>3</v>
      </c>
      <c r="G252" s="45"/>
      <c r="H252" s="38">
        <f t="shared" si="0"/>
        <v>2460</v>
      </c>
      <c r="I252" s="18"/>
      <c r="J252" s="37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 spans="1:27" ht="15" x14ac:dyDescent="0.25">
      <c r="A253" s="29">
        <v>248</v>
      </c>
      <c r="B253" s="30" t="s">
        <v>276</v>
      </c>
      <c r="C253" s="29">
        <v>33515</v>
      </c>
      <c r="D253" s="31" t="s">
        <v>14</v>
      </c>
      <c r="E253" s="32">
        <v>362</v>
      </c>
      <c r="F253" s="33">
        <v>986</v>
      </c>
      <c r="G253" s="45"/>
      <c r="H253" s="38">
        <f t="shared" si="0"/>
        <v>356932</v>
      </c>
      <c r="I253" s="18"/>
      <c r="J253" s="37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 spans="1:27" ht="15" x14ac:dyDescent="0.25">
      <c r="A254" s="29">
        <v>249</v>
      </c>
      <c r="B254" s="30" t="s">
        <v>277</v>
      </c>
      <c r="C254" s="31">
        <v>333516</v>
      </c>
      <c r="D254" s="31" t="s">
        <v>14</v>
      </c>
      <c r="E254" s="32">
        <v>666.66666669999995</v>
      </c>
      <c r="F254" s="33">
        <v>29</v>
      </c>
      <c r="G254" s="45">
        <v>180</v>
      </c>
      <c r="H254" s="38">
        <f t="shared" si="0"/>
        <v>139333.33334029999</v>
      </c>
      <c r="I254" s="18"/>
      <c r="J254" s="37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 spans="1:27" ht="15" x14ac:dyDescent="0.25">
      <c r="A255" s="29">
        <v>250</v>
      </c>
      <c r="B255" s="30" t="s">
        <v>278</v>
      </c>
      <c r="C255" s="31">
        <v>900301</v>
      </c>
      <c r="D255" s="31" t="s">
        <v>12</v>
      </c>
      <c r="E255" s="32">
        <v>3583.333333</v>
      </c>
      <c r="F255" s="33">
        <v>5</v>
      </c>
      <c r="G255" s="45">
        <v>30</v>
      </c>
      <c r="H255" s="38">
        <f t="shared" si="0"/>
        <v>125416.66665500001</v>
      </c>
      <c r="I255" s="18"/>
      <c r="J255" s="37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 spans="1:27" ht="15" x14ac:dyDescent="0.25">
      <c r="A256" s="29">
        <v>251</v>
      </c>
      <c r="B256" s="30" t="s">
        <v>279</v>
      </c>
      <c r="C256" s="31">
        <v>900233</v>
      </c>
      <c r="D256" s="32" t="s">
        <v>14</v>
      </c>
      <c r="E256" s="32">
        <v>6000</v>
      </c>
      <c r="F256" s="33"/>
      <c r="G256" s="40">
        <v>2</v>
      </c>
      <c r="H256" s="38">
        <f t="shared" si="0"/>
        <v>12000</v>
      </c>
      <c r="I256" s="18"/>
      <c r="J256" s="37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 spans="1:27" ht="15" x14ac:dyDescent="0.25">
      <c r="A257" s="29">
        <v>252</v>
      </c>
      <c r="B257" s="30" t="s">
        <v>280</v>
      </c>
      <c r="C257" s="31">
        <v>900310</v>
      </c>
      <c r="D257" s="32" t="s">
        <v>14</v>
      </c>
      <c r="E257" s="32">
        <v>3583.333333</v>
      </c>
      <c r="F257" s="40">
        <v>1.5</v>
      </c>
      <c r="G257" s="45">
        <v>8</v>
      </c>
      <c r="H257" s="38">
        <f t="shared" si="0"/>
        <v>34041.6666635</v>
      </c>
      <c r="I257" s="18"/>
      <c r="J257" s="37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 spans="1:27" ht="15" x14ac:dyDescent="0.25">
      <c r="A258" s="29">
        <v>253</v>
      </c>
      <c r="B258" s="30" t="s">
        <v>281</v>
      </c>
      <c r="C258" s="31">
        <v>999757</v>
      </c>
      <c r="D258" s="32" t="s">
        <v>14</v>
      </c>
      <c r="E258" s="32">
        <v>35818</v>
      </c>
      <c r="F258" s="33">
        <v>6</v>
      </c>
      <c r="G258" s="45">
        <v>44</v>
      </c>
      <c r="H258" s="38">
        <f t="shared" si="0"/>
        <v>1790900</v>
      </c>
      <c r="I258" s="18"/>
      <c r="J258" s="37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 spans="1:27" ht="15" x14ac:dyDescent="0.25">
      <c r="A259" s="29">
        <v>254</v>
      </c>
      <c r="B259" s="30" t="s">
        <v>282</v>
      </c>
      <c r="C259" s="31">
        <v>140532</v>
      </c>
      <c r="D259" s="32" t="s">
        <v>46</v>
      </c>
      <c r="E259" s="32">
        <v>230000</v>
      </c>
      <c r="F259" s="33">
        <v>9.5</v>
      </c>
      <c r="G259" s="45">
        <v>25</v>
      </c>
      <c r="H259" s="38">
        <f t="shared" si="0"/>
        <v>7935000</v>
      </c>
      <c r="I259" s="18"/>
      <c r="J259" s="37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 spans="1:27" ht="15" x14ac:dyDescent="0.25">
      <c r="A260" s="29">
        <v>255</v>
      </c>
      <c r="B260" s="30" t="s">
        <v>283</v>
      </c>
      <c r="C260" s="31">
        <v>140207</v>
      </c>
      <c r="D260" s="32" t="s">
        <v>14</v>
      </c>
      <c r="E260" s="32">
        <v>350</v>
      </c>
      <c r="F260" s="33"/>
      <c r="G260" s="39"/>
      <c r="H260" s="38">
        <f t="shared" si="0"/>
        <v>0</v>
      </c>
      <c r="I260" s="18"/>
      <c r="J260" s="37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 spans="1:27" ht="15" x14ac:dyDescent="0.25">
      <c r="A261" s="29">
        <v>256</v>
      </c>
      <c r="B261" s="30" t="s">
        <v>284</v>
      </c>
      <c r="C261" s="31">
        <v>999751</v>
      </c>
      <c r="D261" s="32" t="s">
        <v>14</v>
      </c>
      <c r="E261" s="32">
        <v>9774</v>
      </c>
      <c r="F261" s="33">
        <v>7</v>
      </c>
      <c r="G261" s="45">
        <v>24</v>
      </c>
      <c r="H261" s="38">
        <f t="shared" si="0"/>
        <v>302994</v>
      </c>
      <c r="I261" s="18"/>
      <c r="J261" s="37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 spans="1:27" ht="15" x14ac:dyDescent="0.25">
      <c r="A262" s="29">
        <v>257</v>
      </c>
      <c r="B262" s="30" t="s">
        <v>285</v>
      </c>
      <c r="C262" s="31">
        <v>110417</v>
      </c>
      <c r="D262" s="32" t="s">
        <v>83</v>
      </c>
      <c r="E262" s="32">
        <v>78.571428569999995</v>
      </c>
      <c r="F262" s="33"/>
      <c r="G262" s="39"/>
      <c r="H262" s="38">
        <f t="shared" ref="H262:H641" si="1">(G262+F262)*E262</f>
        <v>0</v>
      </c>
      <c r="I262" s="18"/>
      <c r="J262" s="37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 spans="1:27" ht="15" x14ac:dyDescent="0.25">
      <c r="A263" s="29">
        <v>258</v>
      </c>
      <c r="B263" s="30" t="s">
        <v>286</v>
      </c>
      <c r="C263" s="31">
        <v>140529</v>
      </c>
      <c r="D263" s="32" t="s">
        <v>34</v>
      </c>
      <c r="E263" s="32">
        <v>94812.5</v>
      </c>
      <c r="F263" s="33">
        <v>17.02</v>
      </c>
      <c r="G263" s="45"/>
      <c r="H263" s="38">
        <f t="shared" si="1"/>
        <v>1613708.75</v>
      </c>
      <c r="I263" s="18"/>
      <c r="J263" s="37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 spans="1:27" ht="15" x14ac:dyDescent="0.25">
      <c r="A264" s="29">
        <v>259</v>
      </c>
      <c r="B264" s="30" t="s">
        <v>287</v>
      </c>
      <c r="C264" s="31">
        <v>111302</v>
      </c>
      <c r="D264" s="32" t="s">
        <v>14</v>
      </c>
      <c r="E264" s="32">
        <v>5812.5</v>
      </c>
      <c r="F264" s="33">
        <v>13</v>
      </c>
      <c r="G264" s="40">
        <v>19</v>
      </c>
      <c r="H264" s="38">
        <f t="shared" si="1"/>
        <v>186000</v>
      </c>
      <c r="I264" s="18"/>
      <c r="J264" s="37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 spans="1:27" ht="15" x14ac:dyDescent="0.25">
      <c r="A265" s="29">
        <v>260</v>
      </c>
      <c r="B265" s="30" t="s">
        <v>288</v>
      </c>
      <c r="C265" s="31">
        <v>150109</v>
      </c>
      <c r="D265" s="32" t="s">
        <v>34</v>
      </c>
      <c r="E265" s="32">
        <v>15000</v>
      </c>
      <c r="F265" s="33">
        <v>1</v>
      </c>
      <c r="G265" s="39"/>
      <c r="H265" s="38">
        <f t="shared" si="1"/>
        <v>15000</v>
      </c>
      <c r="I265" s="18"/>
      <c r="J265" s="37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 spans="1:27" ht="15" x14ac:dyDescent="0.25">
      <c r="A266" s="29">
        <v>261</v>
      </c>
      <c r="B266" s="30" t="s">
        <v>289</v>
      </c>
      <c r="C266" s="31">
        <v>150111</v>
      </c>
      <c r="D266" s="32" t="s">
        <v>83</v>
      </c>
      <c r="E266" s="32">
        <v>376.92307690000001</v>
      </c>
      <c r="F266" s="33"/>
      <c r="G266" s="39"/>
      <c r="H266" s="38">
        <f t="shared" si="1"/>
        <v>0</v>
      </c>
      <c r="I266" s="18"/>
      <c r="J266" s="37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 spans="1:27" ht="15" x14ac:dyDescent="0.25">
      <c r="A267" s="29">
        <v>262</v>
      </c>
      <c r="B267" s="30" t="s">
        <v>290</v>
      </c>
      <c r="C267" s="31">
        <v>150118</v>
      </c>
      <c r="D267" s="32" t="s">
        <v>83</v>
      </c>
      <c r="E267" s="32">
        <v>33</v>
      </c>
      <c r="F267" s="33">
        <v>105</v>
      </c>
      <c r="G267" s="39"/>
      <c r="H267" s="38">
        <f t="shared" si="1"/>
        <v>3465</v>
      </c>
      <c r="I267" s="18"/>
      <c r="J267" s="37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 spans="1:27" ht="15" x14ac:dyDescent="0.25">
      <c r="A268" s="29">
        <v>263</v>
      </c>
      <c r="B268" s="30" t="s">
        <v>291</v>
      </c>
      <c r="C268" s="31">
        <v>150116</v>
      </c>
      <c r="D268" s="32" t="s">
        <v>83</v>
      </c>
      <c r="E268" s="32">
        <v>26.5625</v>
      </c>
      <c r="F268" s="33">
        <v>3000</v>
      </c>
      <c r="G268" s="39"/>
      <c r="H268" s="38">
        <f t="shared" si="1"/>
        <v>79687.5</v>
      </c>
      <c r="I268" s="18"/>
      <c r="J268" s="37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 spans="1:27" ht="15" x14ac:dyDescent="0.25">
      <c r="A269" s="29">
        <v>264</v>
      </c>
      <c r="B269" s="30" t="s">
        <v>292</v>
      </c>
      <c r="C269" s="31">
        <v>333209</v>
      </c>
      <c r="D269" s="32" t="s">
        <v>14</v>
      </c>
      <c r="E269" s="32">
        <v>100</v>
      </c>
      <c r="F269" s="33">
        <v>3000</v>
      </c>
      <c r="G269" s="45"/>
      <c r="H269" s="38">
        <f t="shared" si="1"/>
        <v>300000</v>
      </c>
      <c r="I269" s="18"/>
      <c r="J269" s="37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 spans="1:27" ht="15" x14ac:dyDescent="0.25">
      <c r="A270" s="29">
        <v>265</v>
      </c>
      <c r="B270" s="30" t="s">
        <v>293</v>
      </c>
      <c r="C270" s="31">
        <v>333210</v>
      </c>
      <c r="D270" s="32" t="s">
        <v>12</v>
      </c>
      <c r="E270" s="32">
        <v>75</v>
      </c>
      <c r="F270" s="33"/>
      <c r="G270" s="45"/>
      <c r="H270" s="38">
        <f t="shared" si="1"/>
        <v>0</v>
      </c>
      <c r="I270" s="18"/>
      <c r="J270" s="37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 spans="1:27" ht="15" x14ac:dyDescent="0.25">
      <c r="A271" s="29">
        <v>266</v>
      </c>
      <c r="B271" s="30" t="s">
        <v>294</v>
      </c>
      <c r="C271" s="31">
        <v>999208</v>
      </c>
      <c r="D271" s="32" t="s">
        <v>46</v>
      </c>
      <c r="E271" s="32">
        <v>38728.666669999999</v>
      </c>
      <c r="F271" s="33">
        <v>60</v>
      </c>
      <c r="G271" s="45">
        <v>45</v>
      </c>
      <c r="H271" s="38">
        <f t="shared" si="1"/>
        <v>4066510.0003499999</v>
      </c>
      <c r="I271" s="18"/>
      <c r="J271" s="37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 spans="1:27" ht="15" x14ac:dyDescent="0.25">
      <c r="A272" s="29">
        <v>267</v>
      </c>
      <c r="B272" s="30" t="s">
        <v>295</v>
      </c>
      <c r="C272" s="31">
        <v>666106</v>
      </c>
      <c r="D272" s="32" t="s">
        <v>112</v>
      </c>
      <c r="E272" s="32">
        <v>1250</v>
      </c>
      <c r="F272" s="33">
        <v>20</v>
      </c>
      <c r="G272" s="45">
        <v>100</v>
      </c>
      <c r="H272" s="38">
        <f t="shared" si="1"/>
        <v>150000</v>
      </c>
      <c r="I272" s="18"/>
      <c r="J272" s="37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 spans="1:27" ht="15" x14ac:dyDescent="0.25">
      <c r="A273" s="29">
        <v>268</v>
      </c>
      <c r="B273" s="30" t="s">
        <v>296</v>
      </c>
      <c r="C273" s="31">
        <v>333512</v>
      </c>
      <c r="D273" s="32" t="s">
        <v>14</v>
      </c>
      <c r="E273" s="32">
        <v>7000</v>
      </c>
      <c r="F273" s="33">
        <v>102</v>
      </c>
      <c r="G273" s="45">
        <v>100</v>
      </c>
      <c r="H273" s="38">
        <f t="shared" si="1"/>
        <v>1414000</v>
      </c>
      <c r="I273" s="46"/>
      <c r="J273" s="37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 spans="1:27" ht="15" x14ac:dyDescent="0.25">
      <c r="A274" s="29">
        <v>269</v>
      </c>
      <c r="B274" s="30" t="s">
        <v>297</v>
      </c>
      <c r="C274" s="31">
        <v>111922</v>
      </c>
      <c r="D274" s="32" t="s">
        <v>14</v>
      </c>
      <c r="E274" s="32">
        <v>556</v>
      </c>
      <c r="F274" s="33">
        <v>10605</v>
      </c>
      <c r="G274" s="39"/>
      <c r="H274" s="38">
        <f t="shared" si="1"/>
        <v>5896380</v>
      </c>
      <c r="I274" s="18"/>
      <c r="J274" s="37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 spans="1:27" ht="15" x14ac:dyDescent="0.25">
      <c r="A275" s="29">
        <v>270</v>
      </c>
      <c r="B275" s="30" t="s">
        <v>298</v>
      </c>
      <c r="C275" s="31">
        <v>333208</v>
      </c>
      <c r="D275" s="32" t="s">
        <v>14</v>
      </c>
      <c r="E275" s="32">
        <v>125</v>
      </c>
      <c r="F275" s="33">
        <v>634</v>
      </c>
      <c r="G275" s="39"/>
      <c r="H275" s="38">
        <f t="shared" si="1"/>
        <v>79250</v>
      </c>
      <c r="I275" s="18"/>
      <c r="J275" s="37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</row>
    <row r="276" spans="1:27" ht="15" x14ac:dyDescent="0.25">
      <c r="A276" s="29">
        <v>271</v>
      </c>
      <c r="B276" s="30" t="s">
        <v>299</v>
      </c>
      <c r="C276" s="31">
        <v>444210</v>
      </c>
      <c r="D276" s="32" t="s">
        <v>300</v>
      </c>
      <c r="E276" s="32">
        <v>22000</v>
      </c>
      <c r="F276" s="33">
        <v>10</v>
      </c>
      <c r="G276" s="39"/>
      <c r="H276" s="38">
        <f t="shared" si="1"/>
        <v>220000</v>
      </c>
      <c r="I276" s="18"/>
      <c r="J276" s="37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</row>
    <row r="277" spans="1:27" ht="15" x14ac:dyDescent="0.25">
      <c r="A277" s="29">
        <v>272</v>
      </c>
      <c r="B277" s="30" t="s">
        <v>301</v>
      </c>
      <c r="C277" s="31">
        <v>444211</v>
      </c>
      <c r="D277" s="32" t="s">
        <v>300</v>
      </c>
      <c r="E277" s="32">
        <v>13000</v>
      </c>
      <c r="F277" s="33">
        <v>1</v>
      </c>
      <c r="G277" s="39"/>
      <c r="H277" s="38">
        <f t="shared" si="1"/>
        <v>13000</v>
      </c>
      <c r="I277" s="18"/>
      <c r="J277" s="37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 spans="1:27" ht="15" x14ac:dyDescent="0.25">
      <c r="A278" s="29">
        <v>273</v>
      </c>
      <c r="B278" s="30" t="s">
        <v>302</v>
      </c>
      <c r="C278" s="31">
        <v>140505</v>
      </c>
      <c r="D278" s="32" t="s">
        <v>66</v>
      </c>
      <c r="E278" s="32">
        <v>45000</v>
      </c>
      <c r="F278" s="33">
        <v>1</v>
      </c>
      <c r="G278" s="39"/>
      <c r="H278" s="38">
        <f t="shared" si="1"/>
        <v>45000</v>
      </c>
      <c r="I278" s="18"/>
      <c r="J278" s="37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 spans="1:27" ht="15" x14ac:dyDescent="0.25">
      <c r="A279" s="29">
        <v>274</v>
      </c>
      <c r="B279" s="30" t="s">
        <v>303</v>
      </c>
      <c r="C279" s="31">
        <v>140512</v>
      </c>
      <c r="D279" s="32" t="s">
        <v>83</v>
      </c>
      <c r="E279" s="32">
        <v>120</v>
      </c>
      <c r="F279" s="33"/>
      <c r="G279" s="39"/>
      <c r="H279" s="38">
        <f t="shared" si="1"/>
        <v>0</v>
      </c>
      <c r="I279" s="18"/>
      <c r="J279" s="37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 spans="1:27" ht="15" x14ac:dyDescent="0.25">
      <c r="A280" s="29">
        <v>275</v>
      </c>
      <c r="B280" s="30" t="s">
        <v>304</v>
      </c>
      <c r="C280" s="31">
        <v>140520</v>
      </c>
      <c r="D280" s="32" t="s">
        <v>66</v>
      </c>
      <c r="E280" s="32">
        <v>19500</v>
      </c>
      <c r="F280" s="33"/>
      <c r="G280" s="45">
        <v>4</v>
      </c>
      <c r="H280" s="38">
        <f t="shared" si="1"/>
        <v>78000</v>
      </c>
      <c r="I280" s="18"/>
      <c r="J280" s="37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 spans="1:27" ht="15" x14ac:dyDescent="0.25">
      <c r="A281" s="29">
        <v>276</v>
      </c>
      <c r="B281" s="30" t="s">
        <v>305</v>
      </c>
      <c r="C281" s="31">
        <v>140521</v>
      </c>
      <c r="D281" s="32" t="s">
        <v>66</v>
      </c>
      <c r="E281" s="32">
        <v>19500</v>
      </c>
      <c r="F281" s="33"/>
      <c r="G281" s="45">
        <v>5</v>
      </c>
      <c r="H281" s="38">
        <f t="shared" si="1"/>
        <v>97500</v>
      </c>
      <c r="I281" s="18"/>
      <c r="J281" s="37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 spans="1:27" ht="15" x14ac:dyDescent="0.25">
      <c r="A282" s="29">
        <v>277</v>
      </c>
      <c r="B282" s="30" t="s">
        <v>306</v>
      </c>
      <c r="C282" s="31">
        <v>140522</v>
      </c>
      <c r="D282" s="32" t="s">
        <v>66</v>
      </c>
      <c r="E282" s="32">
        <v>19500</v>
      </c>
      <c r="F282" s="33"/>
      <c r="G282" s="40">
        <v>2</v>
      </c>
      <c r="H282" s="38">
        <f t="shared" si="1"/>
        <v>39000</v>
      </c>
      <c r="I282" s="46"/>
      <c r="J282" s="37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 spans="1:27" ht="15" x14ac:dyDescent="0.25">
      <c r="A283" s="29">
        <v>278</v>
      </c>
      <c r="B283" s="30" t="s">
        <v>307</v>
      </c>
      <c r="C283" s="31">
        <v>140523</v>
      </c>
      <c r="D283" s="32" t="s">
        <v>66</v>
      </c>
      <c r="E283" s="32">
        <v>19500</v>
      </c>
      <c r="F283" s="33"/>
      <c r="G283" s="45">
        <v>3</v>
      </c>
      <c r="H283" s="38">
        <f t="shared" si="1"/>
        <v>58500</v>
      </c>
      <c r="I283" s="46"/>
      <c r="J283" s="37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  <row r="284" spans="1:27" ht="15" x14ac:dyDescent="0.25">
      <c r="A284" s="29">
        <v>279</v>
      </c>
      <c r="B284" s="30" t="s">
        <v>308</v>
      </c>
      <c r="C284" s="31">
        <v>140524</v>
      </c>
      <c r="D284" s="32" t="s">
        <v>66</v>
      </c>
      <c r="E284" s="32">
        <v>19500</v>
      </c>
      <c r="F284" s="33"/>
      <c r="G284" s="45">
        <v>2</v>
      </c>
      <c r="H284" s="38">
        <f t="shared" si="1"/>
        <v>39000</v>
      </c>
      <c r="I284" s="46"/>
      <c r="J284" s="37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</row>
    <row r="285" spans="1:27" ht="15" x14ac:dyDescent="0.25">
      <c r="A285" s="29">
        <v>280</v>
      </c>
      <c r="B285" s="30" t="s">
        <v>309</v>
      </c>
      <c r="C285" s="31">
        <v>130334</v>
      </c>
      <c r="D285" s="32" t="s">
        <v>230</v>
      </c>
      <c r="E285" s="32">
        <v>14</v>
      </c>
      <c r="F285" s="33"/>
      <c r="G285" s="39"/>
      <c r="H285" s="38">
        <f t="shared" si="1"/>
        <v>0</v>
      </c>
      <c r="I285" s="46"/>
      <c r="J285" s="37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</row>
    <row r="286" spans="1:27" ht="15" x14ac:dyDescent="0.25">
      <c r="A286" s="29">
        <v>281</v>
      </c>
      <c r="B286" s="30" t="s">
        <v>310</v>
      </c>
      <c r="C286" s="31">
        <v>999753</v>
      </c>
      <c r="D286" s="32" t="s">
        <v>14</v>
      </c>
      <c r="E286" s="32">
        <v>9726.14</v>
      </c>
      <c r="F286" s="33"/>
      <c r="G286" s="39"/>
      <c r="H286" s="38">
        <f t="shared" si="1"/>
        <v>0</v>
      </c>
      <c r="I286" s="46"/>
      <c r="J286" s="37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</row>
    <row r="287" spans="1:27" ht="15" x14ac:dyDescent="0.25">
      <c r="A287" s="29">
        <v>282</v>
      </c>
      <c r="B287" s="30" t="s">
        <v>311</v>
      </c>
      <c r="C287" s="31">
        <v>999754</v>
      </c>
      <c r="D287" s="32" t="s">
        <v>14</v>
      </c>
      <c r="E287" s="32">
        <v>15830.14</v>
      </c>
      <c r="F287" s="33"/>
      <c r="G287" s="39"/>
      <c r="H287" s="38">
        <f t="shared" si="1"/>
        <v>0</v>
      </c>
      <c r="I287" s="18"/>
      <c r="J287" s="37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</row>
    <row r="288" spans="1:27" ht="15" x14ac:dyDescent="0.25">
      <c r="A288" s="29">
        <v>283</v>
      </c>
      <c r="B288" s="30" t="s">
        <v>312</v>
      </c>
      <c r="C288" s="31">
        <v>999755</v>
      </c>
      <c r="D288" s="32" t="s">
        <v>14</v>
      </c>
      <c r="E288" s="32">
        <v>30790.14</v>
      </c>
      <c r="F288" s="33"/>
      <c r="G288" s="39"/>
      <c r="H288" s="38">
        <f t="shared" si="1"/>
        <v>0</v>
      </c>
      <c r="I288" s="18"/>
      <c r="J288" s="37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</row>
    <row r="289" spans="1:27" ht="15" x14ac:dyDescent="0.25">
      <c r="A289" s="29">
        <v>284</v>
      </c>
      <c r="B289" s="30" t="s">
        <v>313</v>
      </c>
      <c r="C289" s="31">
        <v>222218</v>
      </c>
      <c r="D289" s="32" t="s">
        <v>14</v>
      </c>
      <c r="E289" s="32">
        <v>50</v>
      </c>
      <c r="F289" s="33"/>
      <c r="G289" s="39"/>
      <c r="H289" s="38">
        <f t="shared" si="1"/>
        <v>0</v>
      </c>
      <c r="I289" s="18"/>
      <c r="J289" s="37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</row>
    <row r="290" spans="1:27" ht="15" x14ac:dyDescent="0.25">
      <c r="A290" s="29">
        <v>285</v>
      </c>
      <c r="B290" s="30" t="s">
        <v>314</v>
      </c>
      <c r="C290" s="31">
        <v>444304</v>
      </c>
      <c r="D290" s="32" t="s">
        <v>14</v>
      </c>
      <c r="E290" s="32">
        <v>240</v>
      </c>
      <c r="F290" s="33"/>
      <c r="G290" s="39"/>
      <c r="H290" s="38">
        <f t="shared" si="1"/>
        <v>0</v>
      </c>
      <c r="I290" s="18"/>
      <c r="J290" s="37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</row>
    <row r="291" spans="1:27" ht="15" x14ac:dyDescent="0.25">
      <c r="A291" s="29">
        <v>286</v>
      </c>
      <c r="B291" s="30" t="s">
        <v>315</v>
      </c>
      <c r="C291" s="31">
        <v>700115</v>
      </c>
      <c r="D291" s="32" t="s">
        <v>83</v>
      </c>
      <c r="E291" s="32">
        <v>350</v>
      </c>
      <c r="F291" s="33"/>
      <c r="G291" s="39"/>
      <c r="H291" s="38">
        <f t="shared" si="1"/>
        <v>0</v>
      </c>
      <c r="I291" s="18"/>
      <c r="J291" s="37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</row>
    <row r="292" spans="1:27" ht="15" x14ac:dyDescent="0.25">
      <c r="A292" s="29">
        <v>287</v>
      </c>
      <c r="B292" s="30" t="s">
        <v>316</v>
      </c>
      <c r="C292" s="31">
        <v>333214</v>
      </c>
      <c r="D292" s="32" t="s">
        <v>14</v>
      </c>
      <c r="E292" s="32">
        <v>391</v>
      </c>
      <c r="F292" s="33"/>
      <c r="G292" s="39"/>
      <c r="H292" s="38">
        <f t="shared" si="1"/>
        <v>0</v>
      </c>
      <c r="I292" s="18"/>
      <c r="J292" s="37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</row>
    <row r="293" spans="1:27" ht="15" x14ac:dyDescent="0.25">
      <c r="A293" s="29">
        <v>288</v>
      </c>
      <c r="B293" s="30" t="s">
        <v>317</v>
      </c>
      <c r="C293" s="31">
        <v>333215</v>
      </c>
      <c r="D293" s="32" t="s">
        <v>14</v>
      </c>
      <c r="E293" s="32">
        <v>167</v>
      </c>
      <c r="F293" s="33"/>
      <c r="G293" s="39"/>
      <c r="H293" s="38">
        <f t="shared" si="1"/>
        <v>0</v>
      </c>
      <c r="I293" s="18"/>
      <c r="J293" s="37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</row>
    <row r="294" spans="1:27" ht="15" x14ac:dyDescent="0.25">
      <c r="A294" s="29">
        <v>289</v>
      </c>
      <c r="B294" s="30" t="s">
        <v>318</v>
      </c>
      <c r="C294" s="31">
        <v>999209</v>
      </c>
      <c r="D294" s="32" t="s">
        <v>34</v>
      </c>
      <c r="E294" s="32">
        <v>35856.533329999998</v>
      </c>
      <c r="F294" s="33">
        <v>30</v>
      </c>
      <c r="G294" s="45">
        <v>60</v>
      </c>
      <c r="H294" s="38">
        <f t="shared" si="1"/>
        <v>3227087.9997</v>
      </c>
      <c r="I294" s="18"/>
      <c r="J294" s="37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</row>
    <row r="295" spans="1:27" ht="15" x14ac:dyDescent="0.25">
      <c r="A295" s="29">
        <v>290</v>
      </c>
      <c r="B295" s="30" t="s">
        <v>319</v>
      </c>
      <c r="C295" s="31">
        <v>130309</v>
      </c>
      <c r="D295" s="32" t="s">
        <v>34</v>
      </c>
      <c r="E295" s="32">
        <v>9280</v>
      </c>
      <c r="F295" s="33"/>
      <c r="G295" s="39"/>
      <c r="H295" s="38">
        <f t="shared" si="1"/>
        <v>0</v>
      </c>
      <c r="I295" s="18"/>
      <c r="J295" s="37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</row>
    <row r="296" spans="1:27" ht="15" x14ac:dyDescent="0.25">
      <c r="A296" s="29">
        <v>291</v>
      </c>
      <c r="B296" s="30" t="s">
        <v>320</v>
      </c>
      <c r="C296" s="31">
        <v>600107</v>
      </c>
      <c r="D296" s="32" t="s">
        <v>34</v>
      </c>
      <c r="E296" s="32">
        <v>17400</v>
      </c>
      <c r="F296" s="33"/>
      <c r="G296" s="39"/>
      <c r="H296" s="38">
        <f t="shared" si="1"/>
        <v>0</v>
      </c>
      <c r="I296" s="18"/>
      <c r="J296" s="37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</row>
    <row r="297" spans="1:27" ht="15" x14ac:dyDescent="0.25">
      <c r="A297" s="29">
        <v>292</v>
      </c>
      <c r="B297" s="30" t="s">
        <v>321</v>
      </c>
      <c r="C297" s="31">
        <v>140528</v>
      </c>
      <c r="D297" s="32" t="s">
        <v>34</v>
      </c>
      <c r="E297" s="32">
        <v>25495</v>
      </c>
      <c r="F297" s="33">
        <v>55</v>
      </c>
      <c r="G297" s="45">
        <v>132</v>
      </c>
      <c r="H297" s="38">
        <f t="shared" si="1"/>
        <v>4767565</v>
      </c>
      <c r="I297" s="46"/>
      <c r="J297" s="37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</row>
    <row r="298" spans="1:27" ht="15" x14ac:dyDescent="0.25">
      <c r="A298" s="29">
        <v>293</v>
      </c>
      <c r="B298" s="30" t="s">
        <v>322</v>
      </c>
      <c r="C298" s="31">
        <v>600304</v>
      </c>
      <c r="D298" s="32" t="s">
        <v>46</v>
      </c>
      <c r="E298" s="32">
        <v>44400</v>
      </c>
      <c r="F298" s="33"/>
      <c r="G298" s="39"/>
      <c r="H298" s="38">
        <f t="shared" si="1"/>
        <v>0</v>
      </c>
      <c r="I298" s="18"/>
      <c r="J298" s="37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</row>
    <row r="299" spans="1:27" ht="15" x14ac:dyDescent="0.25">
      <c r="A299" s="29">
        <v>294</v>
      </c>
      <c r="B299" s="30" t="s">
        <v>323</v>
      </c>
      <c r="C299" s="31">
        <v>140405</v>
      </c>
      <c r="D299" s="32" t="s">
        <v>34</v>
      </c>
      <c r="E299" s="32">
        <v>50600</v>
      </c>
      <c r="F299" s="33">
        <v>10.436</v>
      </c>
      <c r="G299" s="45">
        <v>10</v>
      </c>
      <c r="H299" s="38">
        <f t="shared" si="1"/>
        <v>1034061.6</v>
      </c>
      <c r="I299" s="18"/>
      <c r="J299" s="37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</row>
    <row r="300" spans="1:27" ht="15" x14ac:dyDescent="0.25">
      <c r="A300" s="29">
        <v>295</v>
      </c>
      <c r="B300" s="30" t="s">
        <v>324</v>
      </c>
      <c r="C300" s="31">
        <v>140409</v>
      </c>
      <c r="D300" s="32" t="s">
        <v>34</v>
      </c>
      <c r="E300" s="32">
        <v>48000</v>
      </c>
      <c r="F300" s="33">
        <v>8.6929999999999996</v>
      </c>
      <c r="G300" s="45">
        <v>25</v>
      </c>
      <c r="H300" s="38">
        <f t="shared" si="1"/>
        <v>1617264</v>
      </c>
      <c r="I300" s="18"/>
      <c r="J300" s="37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</row>
    <row r="301" spans="1:27" ht="15" x14ac:dyDescent="0.25">
      <c r="A301" s="29">
        <v>296</v>
      </c>
      <c r="B301" s="30" t="s">
        <v>325</v>
      </c>
      <c r="C301" s="31">
        <v>140404</v>
      </c>
      <c r="D301" s="32" t="s">
        <v>34</v>
      </c>
      <c r="E301" s="32">
        <v>61600</v>
      </c>
      <c r="F301" s="33"/>
      <c r="G301" s="45">
        <v>30</v>
      </c>
      <c r="H301" s="38">
        <f t="shared" si="1"/>
        <v>1848000</v>
      </c>
      <c r="I301" s="18"/>
      <c r="J301" s="37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</row>
    <row r="302" spans="1:27" ht="15" x14ac:dyDescent="0.25">
      <c r="A302" s="29">
        <v>297</v>
      </c>
      <c r="B302" s="30" t="s">
        <v>326</v>
      </c>
      <c r="C302" s="31">
        <v>100309</v>
      </c>
      <c r="D302" s="32" t="s">
        <v>34</v>
      </c>
      <c r="E302" s="32">
        <v>50176</v>
      </c>
      <c r="F302" s="33">
        <v>6.3579999999999997</v>
      </c>
      <c r="G302" s="45">
        <v>35.5</v>
      </c>
      <c r="H302" s="38">
        <f t="shared" si="1"/>
        <v>2100267.0079999999</v>
      </c>
      <c r="I302" s="18"/>
      <c r="J302" s="37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</row>
    <row r="303" spans="1:27" ht="15" x14ac:dyDescent="0.25">
      <c r="A303" s="29">
        <v>298</v>
      </c>
      <c r="B303" s="30" t="s">
        <v>327</v>
      </c>
      <c r="C303" s="31">
        <v>140527</v>
      </c>
      <c r="D303" s="32" t="s">
        <v>46</v>
      </c>
      <c r="E303" s="32">
        <v>25750</v>
      </c>
      <c r="F303" s="33">
        <v>7.2249999999999996</v>
      </c>
      <c r="G303" s="45">
        <v>5</v>
      </c>
      <c r="H303" s="38">
        <f t="shared" si="1"/>
        <v>314793.75</v>
      </c>
      <c r="I303" s="18"/>
      <c r="J303" s="37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</row>
    <row r="304" spans="1:27" ht="15" x14ac:dyDescent="0.25">
      <c r="A304" s="29">
        <v>299</v>
      </c>
      <c r="B304" s="30" t="s">
        <v>328</v>
      </c>
      <c r="C304" s="31">
        <v>666410</v>
      </c>
      <c r="D304" s="32" t="s">
        <v>14</v>
      </c>
      <c r="E304" s="32">
        <v>6200</v>
      </c>
      <c r="F304" s="33"/>
      <c r="G304" s="39"/>
      <c r="H304" s="38">
        <f t="shared" si="1"/>
        <v>0</v>
      </c>
      <c r="I304" s="18"/>
      <c r="J304" s="37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</row>
    <row r="305" spans="1:27" ht="15" x14ac:dyDescent="0.25">
      <c r="A305" s="29">
        <v>300</v>
      </c>
      <c r="B305" s="30" t="s">
        <v>329</v>
      </c>
      <c r="C305" s="31">
        <v>777407</v>
      </c>
      <c r="D305" s="32" t="s">
        <v>34</v>
      </c>
      <c r="E305" s="32">
        <v>42800</v>
      </c>
      <c r="F305" s="33"/>
      <c r="G305" s="45">
        <v>8</v>
      </c>
      <c r="H305" s="38">
        <f t="shared" si="1"/>
        <v>342400</v>
      </c>
      <c r="I305" s="18"/>
      <c r="J305" s="37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</row>
    <row r="306" spans="1:27" ht="15" x14ac:dyDescent="0.25">
      <c r="A306" s="29">
        <v>301</v>
      </c>
      <c r="B306" s="30" t="s">
        <v>330</v>
      </c>
      <c r="C306" s="31">
        <v>100408</v>
      </c>
      <c r="D306" s="32" t="s">
        <v>46</v>
      </c>
      <c r="E306" s="32">
        <v>51900</v>
      </c>
      <c r="F306" s="33">
        <v>1.75</v>
      </c>
      <c r="G306" s="45">
        <v>1</v>
      </c>
      <c r="H306" s="38">
        <f t="shared" si="1"/>
        <v>142725</v>
      </c>
      <c r="I306" s="18"/>
      <c r="J306" s="37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</row>
    <row r="307" spans="1:27" ht="15" x14ac:dyDescent="0.25">
      <c r="A307" s="29">
        <v>302</v>
      </c>
      <c r="B307" s="30" t="s">
        <v>331</v>
      </c>
      <c r="C307" s="31">
        <v>200130</v>
      </c>
      <c r="D307" s="32" t="s">
        <v>14</v>
      </c>
      <c r="E307" s="32">
        <v>35750</v>
      </c>
      <c r="F307" s="33"/>
      <c r="G307" s="45">
        <v>42</v>
      </c>
      <c r="H307" s="38">
        <f t="shared" si="1"/>
        <v>1501500</v>
      </c>
      <c r="I307" s="18"/>
      <c r="J307" s="37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</row>
    <row r="308" spans="1:27" ht="15" x14ac:dyDescent="0.25">
      <c r="A308" s="29">
        <v>303</v>
      </c>
      <c r="B308" s="30" t="s">
        <v>332</v>
      </c>
      <c r="C308" s="31">
        <v>900227</v>
      </c>
      <c r="D308" s="32" t="s">
        <v>14</v>
      </c>
      <c r="E308" s="32">
        <v>6000</v>
      </c>
      <c r="F308" s="33"/>
      <c r="G308" s="39"/>
      <c r="H308" s="38">
        <f t="shared" si="1"/>
        <v>0</v>
      </c>
      <c r="I308" s="18"/>
      <c r="J308" s="37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</row>
    <row r="309" spans="1:27" ht="15" x14ac:dyDescent="0.25">
      <c r="A309" s="29">
        <v>304</v>
      </c>
      <c r="B309" s="30" t="s">
        <v>333</v>
      </c>
      <c r="C309" s="31">
        <v>900228</v>
      </c>
      <c r="D309" s="32" t="s">
        <v>14</v>
      </c>
      <c r="E309" s="32">
        <v>6000</v>
      </c>
      <c r="F309" s="40"/>
      <c r="G309" s="39"/>
      <c r="H309" s="38">
        <f t="shared" si="1"/>
        <v>0</v>
      </c>
      <c r="I309" s="18"/>
      <c r="J309" s="37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</row>
    <row r="310" spans="1:27" ht="15" x14ac:dyDescent="0.25">
      <c r="A310" s="29">
        <v>305</v>
      </c>
      <c r="B310" s="30" t="s">
        <v>334</v>
      </c>
      <c r="C310" s="31">
        <v>900315</v>
      </c>
      <c r="D310" s="32" t="s">
        <v>14</v>
      </c>
      <c r="E310" s="32">
        <v>6000</v>
      </c>
      <c r="F310" s="40"/>
      <c r="G310" s="39">
        <v>6</v>
      </c>
      <c r="H310" s="38">
        <f t="shared" si="1"/>
        <v>36000</v>
      </c>
      <c r="I310" s="18"/>
      <c r="J310" s="37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</row>
    <row r="311" spans="1:27" ht="15" x14ac:dyDescent="0.25">
      <c r="A311" s="29">
        <v>306</v>
      </c>
      <c r="B311" s="30" t="s">
        <v>335</v>
      </c>
      <c r="C311" s="31">
        <v>400305</v>
      </c>
      <c r="D311" s="32" t="s">
        <v>12</v>
      </c>
      <c r="E311" s="32">
        <v>64416.666669999999</v>
      </c>
      <c r="F311" s="33"/>
      <c r="G311" s="39"/>
      <c r="H311" s="38">
        <f t="shared" si="1"/>
        <v>0</v>
      </c>
      <c r="I311" s="18"/>
      <c r="J311" s="37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</row>
    <row r="312" spans="1:27" ht="15" x14ac:dyDescent="0.25">
      <c r="A312" s="29">
        <v>307</v>
      </c>
      <c r="B312" s="30" t="s">
        <v>336</v>
      </c>
      <c r="C312" s="31">
        <v>444105</v>
      </c>
      <c r="D312" s="32" t="s">
        <v>56</v>
      </c>
      <c r="E312" s="32">
        <v>11000</v>
      </c>
      <c r="F312" s="33"/>
      <c r="G312" s="39">
        <v>25</v>
      </c>
      <c r="H312" s="38">
        <f t="shared" si="1"/>
        <v>275000</v>
      </c>
      <c r="I312" s="18"/>
      <c r="J312" s="37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</row>
    <row r="313" spans="1:27" ht="15" x14ac:dyDescent="0.25">
      <c r="A313" s="29">
        <v>308</v>
      </c>
      <c r="B313" s="30" t="s">
        <v>337</v>
      </c>
      <c r="C313" s="31">
        <v>120114</v>
      </c>
      <c r="D313" s="32" t="s">
        <v>46</v>
      </c>
      <c r="E313" s="32">
        <v>20689.849999999999</v>
      </c>
      <c r="F313" s="33"/>
      <c r="G313" s="45">
        <v>5</v>
      </c>
      <c r="H313" s="38">
        <f t="shared" si="1"/>
        <v>103449.25</v>
      </c>
      <c r="I313" s="18"/>
      <c r="J313" s="37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</row>
    <row r="314" spans="1:27" ht="15" x14ac:dyDescent="0.25">
      <c r="A314" s="29">
        <v>309</v>
      </c>
      <c r="B314" s="30" t="s">
        <v>338</v>
      </c>
      <c r="C314" s="31">
        <v>201001</v>
      </c>
      <c r="D314" s="32" t="s">
        <v>14</v>
      </c>
      <c r="E314" s="32">
        <v>18000</v>
      </c>
      <c r="F314" s="33"/>
      <c r="G314" s="45"/>
      <c r="H314" s="38">
        <f t="shared" si="1"/>
        <v>0</v>
      </c>
      <c r="I314" s="18"/>
      <c r="J314" s="37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</row>
    <row r="315" spans="1:27" ht="15" x14ac:dyDescent="0.25">
      <c r="A315" s="29">
        <v>310</v>
      </c>
      <c r="B315" s="30" t="s">
        <v>339</v>
      </c>
      <c r="C315" s="47">
        <v>150123</v>
      </c>
      <c r="D315" s="32" t="s">
        <v>83</v>
      </c>
      <c r="E315" s="32">
        <v>25</v>
      </c>
      <c r="F315" s="33">
        <v>1</v>
      </c>
      <c r="G315" s="45">
        <v>660</v>
      </c>
      <c r="H315" s="38">
        <f t="shared" si="1"/>
        <v>16525</v>
      </c>
      <c r="I315" s="18"/>
      <c r="J315" s="37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</row>
    <row r="316" spans="1:27" ht="15" x14ac:dyDescent="0.25">
      <c r="A316" s="29">
        <v>311</v>
      </c>
      <c r="B316" s="30" t="s">
        <v>340</v>
      </c>
      <c r="C316" s="31">
        <v>150114</v>
      </c>
      <c r="D316" s="32" t="s">
        <v>83</v>
      </c>
      <c r="E316" s="32">
        <v>20</v>
      </c>
      <c r="F316" s="33"/>
      <c r="G316" s="45"/>
      <c r="H316" s="38">
        <f t="shared" si="1"/>
        <v>0</v>
      </c>
      <c r="I316" s="18"/>
      <c r="J316" s="37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</row>
    <row r="317" spans="1:27" ht="15" x14ac:dyDescent="0.25">
      <c r="A317" s="29">
        <v>312</v>
      </c>
      <c r="B317" s="30" t="s">
        <v>341</v>
      </c>
      <c r="C317" s="31">
        <v>150113</v>
      </c>
      <c r="D317" s="32" t="s">
        <v>83</v>
      </c>
      <c r="E317" s="32">
        <v>50</v>
      </c>
      <c r="F317" s="33">
        <v>300</v>
      </c>
      <c r="G317" s="45">
        <v>40</v>
      </c>
      <c r="H317" s="38">
        <f t="shared" si="1"/>
        <v>17000</v>
      </c>
      <c r="I317" s="18"/>
      <c r="J317" s="37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</row>
    <row r="318" spans="1:27" ht="15" x14ac:dyDescent="0.25">
      <c r="A318" s="29">
        <v>313</v>
      </c>
      <c r="B318" s="30" t="s">
        <v>342</v>
      </c>
      <c r="C318" s="31">
        <v>150115</v>
      </c>
      <c r="D318" s="32" t="s">
        <v>83</v>
      </c>
      <c r="E318" s="32">
        <v>90</v>
      </c>
      <c r="F318" s="33">
        <v>150</v>
      </c>
      <c r="G318" s="45"/>
      <c r="H318" s="38">
        <f t="shared" si="1"/>
        <v>13500</v>
      </c>
      <c r="I318" s="18"/>
      <c r="J318" s="37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</row>
    <row r="319" spans="1:27" ht="15" x14ac:dyDescent="0.25">
      <c r="A319" s="29">
        <v>314</v>
      </c>
      <c r="B319" s="30" t="s">
        <v>343</v>
      </c>
      <c r="C319" s="31">
        <v>150110</v>
      </c>
      <c r="D319" s="32" t="s">
        <v>83</v>
      </c>
      <c r="E319" s="32">
        <v>23</v>
      </c>
      <c r="F319" s="33"/>
      <c r="G319" s="45"/>
      <c r="H319" s="38">
        <f t="shared" si="1"/>
        <v>0</v>
      </c>
      <c r="I319" s="18"/>
      <c r="J319" s="37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</row>
    <row r="320" spans="1:27" ht="15" x14ac:dyDescent="0.25">
      <c r="A320" s="29">
        <v>315</v>
      </c>
      <c r="B320" s="30" t="s">
        <v>344</v>
      </c>
      <c r="C320" s="47">
        <v>150124</v>
      </c>
      <c r="D320" s="32" t="s">
        <v>83</v>
      </c>
      <c r="E320" s="32">
        <v>15</v>
      </c>
      <c r="F320" s="33"/>
      <c r="G320" s="45"/>
      <c r="H320" s="38">
        <f t="shared" si="1"/>
        <v>0</v>
      </c>
      <c r="I320" s="18"/>
      <c r="J320" s="37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</row>
    <row r="321" spans="1:27" ht="15" x14ac:dyDescent="0.25">
      <c r="A321" s="29">
        <v>316</v>
      </c>
      <c r="B321" s="30" t="s">
        <v>345</v>
      </c>
      <c r="C321" s="31">
        <v>444902</v>
      </c>
      <c r="D321" s="32" t="s">
        <v>56</v>
      </c>
      <c r="E321" s="32">
        <v>11000</v>
      </c>
      <c r="F321" s="33"/>
      <c r="G321" s="45">
        <v>25</v>
      </c>
      <c r="H321" s="38">
        <f t="shared" si="1"/>
        <v>275000</v>
      </c>
      <c r="I321" s="18"/>
      <c r="J321" s="37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</row>
    <row r="322" spans="1:27" ht="15" x14ac:dyDescent="0.25">
      <c r="A322" s="29">
        <v>317</v>
      </c>
      <c r="B322" s="30" t="s">
        <v>346</v>
      </c>
      <c r="C322" s="31">
        <v>555926</v>
      </c>
      <c r="D322" s="32" t="s">
        <v>14</v>
      </c>
      <c r="E322" s="32">
        <v>2400</v>
      </c>
      <c r="F322" s="33"/>
      <c r="G322" s="45">
        <v>235</v>
      </c>
      <c r="H322" s="38">
        <f t="shared" si="1"/>
        <v>564000</v>
      </c>
      <c r="I322" s="18"/>
      <c r="J322" s="37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</row>
    <row r="323" spans="1:27" ht="15" x14ac:dyDescent="0.25">
      <c r="A323" s="29">
        <v>318</v>
      </c>
      <c r="B323" s="30" t="s">
        <v>347</v>
      </c>
      <c r="C323" s="31">
        <v>555703</v>
      </c>
      <c r="D323" s="32" t="s">
        <v>14</v>
      </c>
      <c r="E323" s="32">
        <v>2850</v>
      </c>
      <c r="F323" s="33"/>
      <c r="G323" s="39"/>
      <c r="H323" s="38">
        <f t="shared" si="1"/>
        <v>0</v>
      </c>
      <c r="I323" s="18"/>
      <c r="J323" s="37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</row>
    <row r="324" spans="1:27" ht="15" x14ac:dyDescent="0.25">
      <c r="A324" s="29">
        <v>319</v>
      </c>
      <c r="B324" s="30" t="s">
        <v>348</v>
      </c>
      <c r="C324" s="31">
        <v>555705</v>
      </c>
      <c r="D324" s="32" t="s">
        <v>12</v>
      </c>
      <c r="E324" s="32">
        <v>2500</v>
      </c>
      <c r="F324" s="33"/>
      <c r="G324" s="39"/>
      <c r="H324" s="38">
        <f t="shared" si="1"/>
        <v>0</v>
      </c>
      <c r="I324" s="18"/>
      <c r="J324" s="37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</row>
    <row r="325" spans="1:27" ht="15" x14ac:dyDescent="0.25">
      <c r="A325" s="29">
        <v>320</v>
      </c>
      <c r="B325" s="30" t="s">
        <v>349</v>
      </c>
      <c r="C325" s="31">
        <v>555921</v>
      </c>
      <c r="D325" s="32" t="s">
        <v>12</v>
      </c>
      <c r="E325" s="32">
        <v>534</v>
      </c>
      <c r="F325" s="33"/>
      <c r="G325" s="39"/>
      <c r="H325" s="38">
        <f t="shared" si="1"/>
        <v>0</v>
      </c>
      <c r="I325" s="18"/>
      <c r="J325" s="37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</row>
    <row r="326" spans="1:27" ht="15" x14ac:dyDescent="0.25">
      <c r="A326" s="29">
        <v>321</v>
      </c>
      <c r="B326" s="30" t="s">
        <v>350</v>
      </c>
      <c r="C326" s="31">
        <v>555908</v>
      </c>
      <c r="D326" s="32" t="s">
        <v>14</v>
      </c>
      <c r="E326" s="32">
        <v>1200</v>
      </c>
      <c r="F326" s="33"/>
      <c r="G326" s="45">
        <v>229</v>
      </c>
      <c r="H326" s="38">
        <f t="shared" si="1"/>
        <v>274800</v>
      </c>
      <c r="I326" s="18"/>
      <c r="J326" s="37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</row>
    <row r="327" spans="1:27" ht="15" x14ac:dyDescent="0.25">
      <c r="A327" s="29">
        <v>322</v>
      </c>
      <c r="B327" s="30" t="s">
        <v>351</v>
      </c>
      <c r="C327" s="29">
        <v>110414</v>
      </c>
      <c r="D327" s="32" t="s">
        <v>83</v>
      </c>
      <c r="E327" s="32">
        <v>40</v>
      </c>
      <c r="F327" s="33"/>
      <c r="G327" s="45">
        <v>250</v>
      </c>
      <c r="H327" s="38">
        <f t="shared" si="1"/>
        <v>10000</v>
      </c>
      <c r="I327" s="18"/>
      <c r="J327" s="37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</row>
    <row r="328" spans="1:27" ht="15" x14ac:dyDescent="0.25">
      <c r="A328" s="29">
        <v>323</v>
      </c>
      <c r="B328" s="30" t="s">
        <v>352</v>
      </c>
      <c r="C328" s="48">
        <v>110420</v>
      </c>
      <c r="D328" s="32" t="s">
        <v>83</v>
      </c>
      <c r="E328" s="32">
        <v>58</v>
      </c>
      <c r="F328" s="33">
        <v>530</v>
      </c>
      <c r="G328" s="39"/>
      <c r="H328" s="38">
        <f t="shared" si="1"/>
        <v>30740</v>
      </c>
      <c r="I328" s="18"/>
      <c r="J328" s="37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</row>
    <row r="329" spans="1:27" ht="15" x14ac:dyDescent="0.25">
      <c r="A329" s="29">
        <v>324</v>
      </c>
      <c r="B329" s="30" t="s">
        <v>353</v>
      </c>
      <c r="C329" s="48">
        <v>400217</v>
      </c>
      <c r="D329" s="32" t="s">
        <v>83</v>
      </c>
      <c r="E329" s="32">
        <v>20</v>
      </c>
      <c r="F329" s="33"/>
      <c r="G329" s="39"/>
      <c r="H329" s="38">
        <f t="shared" si="1"/>
        <v>0</v>
      </c>
      <c r="I329" s="18"/>
      <c r="J329" s="37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</row>
    <row r="330" spans="1:27" ht="15" x14ac:dyDescent="0.25">
      <c r="A330" s="29">
        <v>325</v>
      </c>
      <c r="B330" s="30" t="s">
        <v>354</v>
      </c>
      <c r="C330" s="29">
        <v>333213</v>
      </c>
      <c r="D330" s="32" t="s">
        <v>14</v>
      </c>
      <c r="E330" s="32">
        <v>12500</v>
      </c>
      <c r="F330" s="33"/>
      <c r="G330" s="39"/>
      <c r="H330" s="38">
        <f t="shared" si="1"/>
        <v>0</v>
      </c>
      <c r="I330" s="18"/>
      <c r="J330" s="37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</row>
    <row r="331" spans="1:27" ht="15" x14ac:dyDescent="0.25">
      <c r="A331" s="29">
        <v>326</v>
      </c>
      <c r="B331" s="30" t="s">
        <v>355</v>
      </c>
      <c r="C331" s="29">
        <v>900234</v>
      </c>
      <c r="D331" s="31" t="s">
        <v>183</v>
      </c>
      <c r="E331" s="32">
        <v>916.66666669999995</v>
      </c>
      <c r="F331" s="33">
        <v>180</v>
      </c>
      <c r="G331" s="40">
        <v>240</v>
      </c>
      <c r="H331" s="38">
        <f t="shared" si="1"/>
        <v>385000.00001399999</v>
      </c>
      <c r="I331" s="18"/>
      <c r="J331" s="37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</row>
    <row r="332" spans="1:27" ht="15" x14ac:dyDescent="0.25">
      <c r="A332" s="29">
        <v>327</v>
      </c>
      <c r="B332" s="30" t="s">
        <v>356</v>
      </c>
      <c r="C332" s="29">
        <v>900235</v>
      </c>
      <c r="D332" s="31" t="s">
        <v>183</v>
      </c>
      <c r="E332" s="32">
        <v>916.66666669999995</v>
      </c>
      <c r="F332" s="33"/>
      <c r="G332" s="40"/>
      <c r="H332" s="38">
        <f t="shared" si="1"/>
        <v>0</v>
      </c>
      <c r="I332" s="18"/>
      <c r="J332" s="37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</row>
    <row r="333" spans="1:27" ht="15" x14ac:dyDescent="0.25">
      <c r="A333" s="29">
        <v>328</v>
      </c>
      <c r="B333" s="30" t="s">
        <v>357</v>
      </c>
      <c r="C333" s="29">
        <v>900236</v>
      </c>
      <c r="D333" s="31" t="s">
        <v>183</v>
      </c>
      <c r="E333" s="32">
        <v>500</v>
      </c>
      <c r="F333" s="40"/>
      <c r="G333" s="39">
        <v>360</v>
      </c>
      <c r="H333" s="38">
        <f t="shared" si="1"/>
        <v>180000</v>
      </c>
      <c r="I333" s="18"/>
      <c r="J333" s="37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</row>
    <row r="334" spans="1:27" ht="15" x14ac:dyDescent="0.25">
      <c r="A334" s="29">
        <v>329</v>
      </c>
      <c r="B334" s="30" t="s">
        <v>358</v>
      </c>
      <c r="C334" s="29">
        <v>900237</v>
      </c>
      <c r="D334" s="31" t="s">
        <v>183</v>
      </c>
      <c r="E334" s="32">
        <v>500</v>
      </c>
      <c r="F334" s="33">
        <v>180</v>
      </c>
      <c r="G334" s="39">
        <v>360</v>
      </c>
      <c r="H334" s="38">
        <f t="shared" si="1"/>
        <v>270000</v>
      </c>
      <c r="I334" s="18"/>
      <c r="J334" s="37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</row>
    <row r="335" spans="1:27" ht="15" x14ac:dyDescent="0.25">
      <c r="A335" s="29">
        <v>330</v>
      </c>
      <c r="B335" s="30" t="s">
        <v>359</v>
      </c>
      <c r="C335" s="29">
        <v>900238</v>
      </c>
      <c r="D335" s="31" t="s">
        <v>183</v>
      </c>
      <c r="E335" s="32">
        <v>500</v>
      </c>
      <c r="F335" s="40"/>
      <c r="G335" s="40"/>
      <c r="H335" s="38">
        <f t="shared" si="1"/>
        <v>0</v>
      </c>
      <c r="I335" s="18"/>
      <c r="J335" s="37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</row>
    <row r="336" spans="1:27" ht="15" x14ac:dyDescent="0.25">
      <c r="A336" s="29">
        <v>331</v>
      </c>
      <c r="B336" s="30" t="s">
        <v>360</v>
      </c>
      <c r="C336" s="29">
        <v>900239</v>
      </c>
      <c r="D336" s="31" t="s">
        <v>183</v>
      </c>
      <c r="E336" s="32">
        <v>500</v>
      </c>
      <c r="F336" s="40">
        <v>180</v>
      </c>
      <c r="G336" s="40">
        <v>120</v>
      </c>
      <c r="H336" s="38">
        <f t="shared" si="1"/>
        <v>150000</v>
      </c>
      <c r="I336" s="18"/>
      <c r="J336" s="37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</row>
    <row r="337" spans="1:27" ht="15" x14ac:dyDescent="0.25">
      <c r="A337" s="29">
        <v>332</v>
      </c>
      <c r="B337" s="30" t="s">
        <v>361</v>
      </c>
      <c r="C337" s="29">
        <v>900240</v>
      </c>
      <c r="D337" s="31" t="s">
        <v>183</v>
      </c>
      <c r="E337" s="32">
        <v>500</v>
      </c>
      <c r="F337" s="40">
        <v>180</v>
      </c>
      <c r="G337" s="40">
        <v>180</v>
      </c>
      <c r="H337" s="38">
        <f t="shared" si="1"/>
        <v>180000</v>
      </c>
      <c r="I337" s="18"/>
      <c r="J337" s="37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</row>
    <row r="338" spans="1:27" ht="15" x14ac:dyDescent="0.25">
      <c r="A338" s="29">
        <v>333</v>
      </c>
      <c r="B338" s="30" t="s">
        <v>362</v>
      </c>
      <c r="C338" s="29">
        <v>130333</v>
      </c>
      <c r="D338" s="31" t="s">
        <v>34</v>
      </c>
      <c r="E338" s="32">
        <v>85803</v>
      </c>
      <c r="F338" s="33"/>
      <c r="G338" s="39"/>
      <c r="H338" s="38">
        <f t="shared" si="1"/>
        <v>0</v>
      </c>
      <c r="I338" s="18"/>
      <c r="J338" s="37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</row>
    <row r="339" spans="1:27" ht="15" x14ac:dyDescent="0.25">
      <c r="A339" s="29">
        <v>334</v>
      </c>
      <c r="B339" s="49" t="s">
        <v>363</v>
      </c>
      <c r="C339" s="48">
        <v>333403</v>
      </c>
      <c r="D339" s="31" t="s">
        <v>12</v>
      </c>
      <c r="E339" s="32">
        <v>1100</v>
      </c>
      <c r="F339" s="33"/>
      <c r="G339" s="40">
        <v>73</v>
      </c>
      <c r="H339" s="38">
        <f t="shared" si="1"/>
        <v>80300</v>
      </c>
      <c r="I339" s="18"/>
      <c r="J339" s="37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</row>
    <row r="340" spans="1:27" ht="15" x14ac:dyDescent="0.25">
      <c r="A340" s="29">
        <v>335</v>
      </c>
      <c r="B340" s="49" t="s">
        <v>364</v>
      </c>
      <c r="C340" s="48">
        <v>400302</v>
      </c>
      <c r="D340" s="31" t="s">
        <v>12</v>
      </c>
      <c r="E340" s="32">
        <v>4108.5</v>
      </c>
      <c r="F340" s="33"/>
      <c r="G340" s="40"/>
      <c r="H340" s="38">
        <f t="shared" si="1"/>
        <v>0</v>
      </c>
      <c r="I340" s="18"/>
      <c r="J340" s="37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</row>
    <row r="341" spans="1:27" ht="15" x14ac:dyDescent="0.25">
      <c r="A341" s="29">
        <v>336</v>
      </c>
      <c r="B341" s="49" t="s">
        <v>365</v>
      </c>
      <c r="C341" s="48">
        <v>555907</v>
      </c>
      <c r="D341" s="31" t="s">
        <v>14</v>
      </c>
      <c r="E341" s="32">
        <v>1200</v>
      </c>
      <c r="F341" s="33"/>
      <c r="G341" s="40">
        <v>330</v>
      </c>
      <c r="H341" s="38">
        <f t="shared" si="1"/>
        <v>396000</v>
      </c>
      <c r="I341" s="18"/>
      <c r="J341" s="37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</row>
    <row r="342" spans="1:27" ht="15" x14ac:dyDescent="0.25">
      <c r="A342" s="29">
        <v>337</v>
      </c>
      <c r="B342" s="49" t="s">
        <v>366</v>
      </c>
      <c r="C342" s="48">
        <v>110415</v>
      </c>
      <c r="D342" s="31" t="s">
        <v>83</v>
      </c>
      <c r="E342" s="32">
        <v>95</v>
      </c>
      <c r="F342" s="33">
        <v>1000</v>
      </c>
      <c r="G342" s="40"/>
      <c r="H342" s="38">
        <f t="shared" si="1"/>
        <v>95000</v>
      </c>
      <c r="I342" s="18"/>
      <c r="J342" s="37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</row>
    <row r="343" spans="1:27" ht="15" x14ac:dyDescent="0.25">
      <c r="A343" s="29">
        <v>338</v>
      </c>
      <c r="B343" s="49" t="s">
        <v>367</v>
      </c>
      <c r="C343" s="48">
        <v>555925</v>
      </c>
      <c r="D343" s="31" t="s">
        <v>14</v>
      </c>
      <c r="E343" s="32">
        <v>1750</v>
      </c>
      <c r="F343" s="33"/>
      <c r="G343" s="40">
        <v>228</v>
      </c>
      <c r="H343" s="38">
        <f t="shared" si="1"/>
        <v>399000</v>
      </c>
      <c r="I343" s="18"/>
      <c r="J343" s="37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</row>
    <row r="344" spans="1:27" ht="15" x14ac:dyDescent="0.25">
      <c r="A344" s="29">
        <v>339</v>
      </c>
      <c r="B344" s="49" t="s">
        <v>368</v>
      </c>
      <c r="C344" s="48">
        <v>140412</v>
      </c>
      <c r="D344" s="31" t="s">
        <v>34</v>
      </c>
      <c r="E344" s="32">
        <v>48000</v>
      </c>
      <c r="F344" s="33"/>
      <c r="G344" s="40">
        <v>25</v>
      </c>
      <c r="H344" s="38">
        <f t="shared" si="1"/>
        <v>1200000</v>
      </c>
      <c r="I344" s="18"/>
      <c r="J344" s="37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</row>
    <row r="345" spans="1:27" ht="15" x14ac:dyDescent="0.25">
      <c r="A345" s="29">
        <v>340</v>
      </c>
      <c r="B345" s="49" t="s">
        <v>369</v>
      </c>
      <c r="C345" s="48">
        <v>800401</v>
      </c>
      <c r="D345" s="31" t="s">
        <v>56</v>
      </c>
      <c r="E345" s="32">
        <v>20277.77778</v>
      </c>
      <c r="F345" s="33">
        <v>5.7</v>
      </c>
      <c r="G345" s="40"/>
      <c r="H345" s="38">
        <f t="shared" si="1"/>
        <v>115583.333346</v>
      </c>
      <c r="I345" s="18"/>
      <c r="J345" s="37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</row>
    <row r="346" spans="1:27" ht="15" x14ac:dyDescent="0.25">
      <c r="A346" s="29">
        <v>341</v>
      </c>
      <c r="B346" s="49" t="s">
        <v>370</v>
      </c>
      <c r="C346" s="48">
        <v>333406</v>
      </c>
      <c r="D346" s="31" t="s">
        <v>12</v>
      </c>
      <c r="E346" s="32">
        <v>295</v>
      </c>
      <c r="F346" s="33"/>
      <c r="G346" s="40">
        <v>8</v>
      </c>
      <c r="H346" s="38">
        <f t="shared" si="1"/>
        <v>2360</v>
      </c>
      <c r="I346" s="18"/>
      <c r="J346" s="37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</row>
    <row r="347" spans="1:27" ht="15" x14ac:dyDescent="0.25">
      <c r="A347" s="29">
        <v>342</v>
      </c>
      <c r="B347" s="49" t="s">
        <v>371</v>
      </c>
      <c r="C347" s="48">
        <v>100428</v>
      </c>
      <c r="D347" s="31" t="s">
        <v>46</v>
      </c>
      <c r="E347" s="32">
        <v>68000</v>
      </c>
      <c r="F347" s="33">
        <v>5.0119999999999996</v>
      </c>
      <c r="G347" s="40"/>
      <c r="H347" s="38">
        <f t="shared" si="1"/>
        <v>340815.99999999994</v>
      </c>
      <c r="I347" s="18"/>
      <c r="J347" s="37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</row>
    <row r="348" spans="1:27" ht="15" x14ac:dyDescent="0.25">
      <c r="A348" s="29">
        <v>343</v>
      </c>
      <c r="B348" s="49" t="s">
        <v>372</v>
      </c>
      <c r="C348" s="48">
        <v>200131</v>
      </c>
      <c r="D348" s="31" t="s">
        <v>46</v>
      </c>
      <c r="E348" s="32">
        <v>95700</v>
      </c>
      <c r="F348" s="33"/>
      <c r="G348" s="40"/>
      <c r="H348" s="38">
        <f t="shared" si="1"/>
        <v>0</v>
      </c>
      <c r="I348" s="18"/>
      <c r="J348" s="37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</row>
    <row r="349" spans="1:27" ht="15" x14ac:dyDescent="0.25">
      <c r="A349" s="29">
        <v>344</v>
      </c>
      <c r="B349" s="49" t="s">
        <v>373</v>
      </c>
      <c r="C349" s="48">
        <v>130323</v>
      </c>
      <c r="D349" s="31" t="s">
        <v>34</v>
      </c>
      <c r="E349" s="32">
        <v>9120</v>
      </c>
      <c r="F349" s="33">
        <v>125</v>
      </c>
      <c r="G349" s="40">
        <v>10</v>
      </c>
      <c r="H349" s="38">
        <f t="shared" si="1"/>
        <v>1231200</v>
      </c>
      <c r="I349" s="18"/>
      <c r="J349" s="37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</row>
    <row r="350" spans="1:27" ht="15" x14ac:dyDescent="0.25">
      <c r="A350" s="29">
        <v>345</v>
      </c>
      <c r="B350" s="30" t="s">
        <v>374</v>
      </c>
      <c r="C350" s="29">
        <v>140539</v>
      </c>
      <c r="D350" s="31" t="s">
        <v>46</v>
      </c>
      <c r="E350" s="32">
        <v>305000</v>
      </c>
      <c r="F350" s="45">
        <v>1.1220000000000001</v>
      </c>
      <c r="G350" s="39"/>
      <c r="H350" s="50">
        <f t="shared" si="1"/>
        <v>342210.00000000006</v>
      </c>
      <c r="I350" s="18"/>
      <c r="J350" s="37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</row>
    <row r="351" spans="1:27" ht="15" x14ac:dyDescent="0.25">
      <c r="A351" s="29">
        <v>346</v>
      </c>
      <c r="B351" s="30" t="s">
        <v>375</v>
      </c>
      <c r="C351" s="29">
        <v>140533</v>
      </c>
      <c r="D351" s="31" t="s">
        <v>46</v>
      </c>
      <c r="E351" s="32">
        <v>285000</v>
      </c>
      <c r="F351" s="45">
        <v>0.877</v>
      </c>
      <c r="G351" s="39"/>
      <c r="H351" s="50">
        <f t="shared" si="1"/>
        <v>249945</v>
      </c>
      <c r="I351" s="18"/>
      <c r="J351" s="37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</row>
    <row r="352" spans="1:27" ht="15" x14ac:dyDescent="0.25">
      <c r="A352" s="29">
        <v>347</v>
      </c>
      <c r="B352" s="30" t="s">
        <v>376</v>
      </c>
      <c r="C352" s="29">
        <v>140537</v>
      </c>
      <c r="D352" s="31" t="s">
        <v>46</v>
      </c>
      <c r="E352" s="32">
        <v>520000</v>
      </c>
      <c r="F352" s="45">
        <v>0.89600000000000002</v>
      </c>
      <c r="G352" s="39"/>
      <c r="H352" s="50">
        <f t="shared" si="1"/>
        <v>465920</v>
      </c>
      <c r="I352" s="18"/>
      <c r="J352" s="37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</row>
    <row r="353" spans="1:27" ht="15" x14ac:dyDescent="0.25">
      <c r="A353" s="29">
        <v>348</v>
      </c>
      <c r="B353" s="30" t="s">
        <v>377</v>
      </c>
      <c r="C353" s="29">
        <v>140541</v>
      </c>
      <c r="D353" s="31" t="s">
        <v>230</v>
      </c>
      <c r="E353" s="32">
        <v>392.5</v>
      </c>
      <c r="F353" s="45"/>
      <c r="G353" s="39"/>
      <c r="H353" s="50">
        <f t="shared" si="1"/>
        <v>0</v>
      </c>
      <c r="I353" s="18"/>
      <c r="J353" s="37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</row>
    <row r="354" spans="1:27" ht="15" x14ac:dyDescent="0.25">
      <c r="A354" s="29">
        <v>349</v>
      </c>
      <c r="B354" s="30" t="s">
        <v>378</v>
      </c>
      <c r="C354" s="29">
        <v>140543</v>
      </c>
      <c r="D354" s="31" t="s">
        <v>230</v>
      </c>
      <c r="E354" s="32">
        <v>392.5</v>
      </c>
      <c r="F354" s="45">
        <v>125</v>
      </c>
      <c r="G354" s="39"/>
      <c r="H354" s="50">
        <f t="shared" si="1"/>
        <v>49062.5</v>
      </c>
      <c r="I354" s="18"/>
      <c r="J354" s="37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</row>
    <row r="355" spans="1:27" ht="15" x14ac:dyDescent="0.25">
      <c r="A355" s="29">
        <v>350</v>
      </c>
      <c r="B355" s="30" t="s">
        <v>379</v>
      </c>
      <c r="C355" s="29">
        <v>140534</v>
      </c>
      <c r="D355" s="31" t="s">
        <v>46</v>
      </c>
      <c r="E355" s="32">
        <v>560000</v>
      </c>
      <c r="F355" s="45">
        <v>1.0049999999999999</v>
      </c>
      <c r="G355" s="39"/>
      <c r="H355" s="50">
        <f t="shared" si="1"/>
        <v>562799.99999999988</v>
      </c>
      <c r="I355" s="51"/>
      <c r="J355" s="37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</row>
    <row r="356" spans="1:27" ht="15" x14ac:dyDescent="0.25">
      <c r="A356" s="29">
        <v>351</v>
      </c>
      <c r="B356" s="30" t="s">
        <v>380</v>
      </c>
      <c r="C356" s="29">
        <v>140536</v>
      </c>
      <c r="D356" s="31" t="s">
        <v>46</v>
      </c>
      <c r="E356" s="32">
        <v>590000</v>
      </c>
      <c r="F356" s="45">
        <v>0.89200000000000002</v>
      </c>
      <c r="G356" s="39"/>
      <c r="H356" s="50">
        <f t="shared" si="1"/>
        <v>526280</v>
      </c>
      <c r="I356" s="51"/>
      <c r="J356" s="37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</row>
    <row r="357" spans="1:27" ht="15" x14ac:dyDescent="0.25">
      <c r="A357" s="29">
        <v>352</v>
      </c>
      <c r="B357" s="30" t="s">
        <v>381</v>
      </c>
      <c r="C357" s="29">
        <v>140545</v>
      </c>
      <c r="D357" s="31" t="s">
        <v>230</v>
      </c>
      <c r="E357" s="32">
        <v>1066.666667</v>
      </c>
      <c r="F357" s="45">
        <v>91</v>
      </c>
      <c r="G357" s="39"/>
      <c r="H357" s="50">
        <f t="shared" si="1"/>
        <v>97066.666696999993</v>
      </c>
      <c r="I357" s="51"/>
      <c r="J357" s="37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</row>
    <row r="358" spans="1:27" ht="15" x14ac:dyDescent="0.25">
      <c r="A358" s="29">
        <v>353</v>
      </c>
      <c r="B358" s="30" t="s">
        <v>382</v>
      </c>
      <c r="C358" s="29">
        <v>140542</v>
      </c>
      <c r="D358" s="31" t="s">
        <v>230</v>
      </c>
      <c r="E358" s="32">
        <v>392.5</v>
      </c>
      <c r="F358" s="45"/>
      <c r="G358" s="39"/>
      <c r="H358" s="50">
        <f t="shared" si="1"/>
        <v>0</v>
      </c>
      <c r="I358" s="51"/>
      <c r="J358" s="37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</row>
    <row r="359" spans="1:27" ht="15" x14ac:dyDescent="0.25">
      <c r="A359" s="29">
        <v>354</v>
      </c>
      <c r="B359" s="30" t="s">
        <v>383</v>
      </c>
      <c r="C359" s="29">
        <v>140535</v>
      </c>
      <c r="D359" s="31" t="s">
        <v>46</v>
      </c>
      <c r="E359" s="32">
        <v>588000</v>
      </c>
      <c r="F359" s="45">
        <v>9.7000000000000003E-2</v>
      </c>
      <c r="G359" s="39"/>
      <c r="H359" s="50">
        <f t="shared" si="1"/>
        <v>57036</v>
      </c>
      <c r="I359" s="51"/>
      <c r="J359" s="37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</row>
    <row r="360" spans="1:27" ht="15" x14ac:dyDescent="0.25">
      <c r="A360" s="29">
        <v>355</v>
      </c>
      <c r="B360" s="30" t="s">
        <v>384</v>
      </c>
      <c r="C360" s="29">
        <v>140544</v>
      </c>
      <c r="D360" s="31" t="s">
        <v>230</v>
      </c>
      <c r="E360" s="32">
        <v>392.5</v>
      </c>
      <c r="F360" s="45">
        <v>92</v>
      </c>
      <c r="G360" s="39"/>
      <c r="H360" s="50">
        <f t="shared" si="1"/>
        <v>36110</v>
      </c>
      <c r="I360" s="51"/>
      <c r="J360" s="37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</row>
    <row r="361" spans="1:27" ht="15" x14ac:dyDescent="0.25">
      <c r="A361" s="29">
        <v>356</v>
      </c>
      <c r="B361" s="30" t="s">
        <v>385</v>
      </c>
      <c r="C361" s="29">
        <v>140546</v>
      </c>
      <c r="D361" s="31" t="s">
        <v>230</v>
      </c>
      <c r="E361" s="32">
        <v>1066.666667</v>
      </c>
      <c r="F361" s="45">
        <v>95</v>
      </c>
      <c r="G361" s="39"/>
      <c r="H361" s="50">
        <f t="shared" si="1"/>
        <v>101333.333365</v>
      </c>
      <c r="I361" s="51"/>
      <c r="J361" s="37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</row>
    <row r="362" spans="1:27" ht="15" x14ac:dyDescent="0.25">
      <c r="A362" s="29">
        <v>357</v>
      </c>
      <c r="B362" s="30" t="s">
        <v>386</v>
      </c>
      <c r="C362" s="29">
        <v>140547</v>
      </c>
      <c r="D362" s="31" t="s">
        <v>230</v>
      </c>
      <c r="E362" s="32">
        <v>392.5</v>
      </c>
      <c r="F362" s="45"/>
      <c r="G362" s="39"/>
      <c r="H362" s="50">
        <f t="shared" si="1"/>
        <v>0</v>
      </c>
      <c r="I362" s="51"/>
      <c r="J362" s="37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</row>
    <row r="363" spans="1:27" ht="15" x14ac:dyDescent="0.25">
      <c r="A363" s="29">
        <v>358</v>
      </c>
      <c r="B363" s="30" t="s">
        <v>387</v>
      </c>
      <c r="C363" s="29">
        <v>140548</v>
      </c>
      <c r="D363" s="31" t="s">
        <v>230</v>
      </c>
      <c r="E363" s="32">
        <v>392.5</v>
      </c>
      <c r="F363" s="45">
        <v>200</v>
      </c>
      <c r="G363" s="39"/>
      <c r="H363" s="50">
        <f t="shared" si="1"/>
        <v>78500</v>
      </c>
      <c r="I363" s="51"/>
      <c r="J363" s="37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</row>
    <row r="364" spans="1:27" ht="15" x14ac:dyDescent="0.25">
      <c r="A364" s="29">
        <v>359</v>
      </c>
      <c r="B364" s="30" t="s">
        <v>388</v>
      </c>
      <c r="C364" s="29">
        <v>140549</v>
      </c>
      <c r="D364" s="31" t="s">
        <v>230</v>
      </c>
      <c r="E364" s="32">
        <v>392.5</v>
      </c>
      <c r="F364" s="45"/>
      <c r="G364" s="39"/>
      <c r="H364" s="50">
        <f t="shared" si="1"/>
        <v>0</v>
      </c>
      <c r="I364" s="51"/>
      <c r="J364" s="37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</row>
    <row r="365" spans="1:27" ht="15" x14ac:dyDescent="0.25">
      <c r="A365" s="29">
        <v>360</v>
      </c>
      <c r="B365" s="52" t="s">
        <v>389</v>
      </c>
      <c r="C365" s="53">
        <v>140509</v>
      </c>
      <c r="D365" s="31" t="s">
        <v>83</v>
      </c>
      <c r="E365" s="32">
        <v>1122</v>
      </c>
      <c r="F365" s="54"/>
      <c r="G365" s="55"/>
      <c r="H365" s="50">
        <f t="shared" si="1"/>
        <v>0</v>
      </c>
      <c r="I365" s="51"/>
      <c r="J365" s="37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</row>
    <row r="366" spans="1:27" ht="15" x14ac:dyDescent="0.25">
      <c r="A366" s="29">
        <v>361</v>
      </c>
      <c r="B366" s="30" t="s">
        <v>390</v>
      </c>
      <c r="C366" s="29">
        <v>900243</v>
      </c>
      <c r="D366" s="31" t="s">
        <v>183</v>
      </c>
      <c r="E366" s="32">
        <v>616.66666669999995</v>
      </c>
      <c r="F366" s="45">
        <v>60</v>
      </c>
      <c r="G366" s="39"/>
      <c r="H366" s="38">
        <f t="shared" si="1"/>
        <v>37000.000002000001</v>
      </c>
      <c r="I366" s="51"/>
      <c r="J366" s="37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</row>
    <row r="367" spans="1:27" ht="15" x14ac:dyDescent="0.25">
      <c r="A367" s="29">
        <v>362</v>
      </c>
      <c r="B367" s="30" t="s">
        <v>391</v>
      </c>
      <c r="C367" s="29">
        <v>900246</v>
      </c>
      <c r="D367" s="31" t="s">
        <v>183</v>
      </c>
      <c r="E367" s="32">
        <v>308.33333329999999</v>
      </c>
      <c r="F367" s="45">
        <v>1800</v>
      </c>
      <c r="G367" s="39"/>
      <c r="H367" s="38">
        <f t="shared" si="1"/>
        <v>554999.99994000001</v>
      </c>
      <c r="I367" s="51"/>
      <c r="J367" s="37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</row>
    <row r="368" spans="1:27" ht="15" x14ac:dyDescent="0.25">
      <c r="A368" s="29">
        <v>363</v>
      </c>
      <c r="B368" s="30" t="s">
        <v>392</v>
      </c>
      <c r="C368" s="29">
        <v>900248</v>
      </c>
      <c r="D368" s="31" t="s">
        <v>183</v>
      </c>
      <c r="E368" s="32">
        <v>308.33333329999999</v>
      </c>
      <c r="F368" s="45">
        <v>450</v>
      </c>
      <c r="G368" s="39"/>
      <c r="H368" s="38">
        <f t="shared" si="1"/>
        <v>138749.999985</v>
      </c>
      <c r="I368" s="51"/>
      <c r="J368" s="37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</row>
    <row r="369" spans="1:27" ht="15" x14ac:dyDescent="0.25">
      <c r="A369" s="29">
        <v>364</v>
      </c>
      <c r="B369" s="30" t="s">
        <v>393</v>
      </c>
      <c r="C369" s="29">
        <v>900232</v>
      </c>
      <c r="D369" s="31" t="s">
        <v>14</v>
      </c>
      <c r="E369" s="32">
        <v>6000</v>
      </c>
      <c r="F369" s="45"/>
      <c r="G369" s="39"/>
      <c r="H369" s="38">
        <f t="shared" si="1"/>
        <v>0</v>
      </c>
      <c r="I369" s="51"/>
      <c r="J369" s="37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</row>
    <row r="370" spans="1:27" ht="15" x14ac:dyDescent="0.25">
      <c r="A370" s="29">
        <v>365</v>
      </c>
      <c r="B370" s="30" t="s">
        <v>394</v>
      </c>
      <c r="C370" s="29">
        <v>140550</v>
      </c>
      <c r="D370" s="31" t="s">
        <v>230</v>
      </c>
      <c r="E370" s="32">
        <v>198</v>
      </c>
      <c r="F370" s="45">
        <v>58</v>
      </c>
      <c r="G370" s="39"/>
      <c r="H370" s="38">
        <f t="shared" si="1"/>
        <v>11484</v>
      </c>
      <c r="I370" s="51"/>
      <c r="J370" s="37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</row>
    <row r="371" spans="1:27" ht="15" x14ac:dyDescent="0.25">
      <c r="A371" s="29">
        <v>366</v>
      </c>
      <c r="B371" s="30" t="s">
        <v>395</v>
      </c>
      <c r="C371" s="29">
        <v>140551</v>
      </c>
      <c r="D371" s="31" t="s">
        <v>230</v>
      </c>
      <c r="E371" s="32">
        <v>117.2727273</v>
      </c>
      <c r="F371" s="45">
        <v>68</v>
      </c>
      <c r="G371" s="39"/>
      <c r="H371" s="38">
        <f t="shared" si="1"/>
        <v>7974.5454564000001</v>
      </c>
      <c r="I371" s="51"/>
      <c r="J371" s="37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</row>
    <row r="372" spans="1:27" ht="16.5" x14ac:dyDescent="0.25">
      <c r="A372" s="49"/>
      <c r="B372" s="56" t="s">
        <v>396</v>
      </c>
      <c r="C372" s="48">
        <v>120102</v>
      </c>
      <c r="D372" s="48" t="s">
        <v>46</v>
      </c>
      <c r="E372" s="32">
        <v>78100</v>
      </c>
      <c r="F372" s="39"/>
      <c r="G372" s="39">
        <v>14.5</v>
      </c>
      <c r="H372" s="38">
        <f t="shared" si="1"/>
        <v>1132450</v>
      </c>
      <c r="I372" s="51"/>
      <c r="J372" s="37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</row>
    <row r="373" spans="1:27" ht="16.5" x14ac:dyDescent="0.25">
      <c r="A373" s="57"/>
      <c r="B373" s="56" t="s">
        <v>397</v>
      </c>
      <c r="C373" s="58">
        <v>200128</v>
      </c>
      <c r="D373" s="29" t="s">
        <v>14</v>
      </c>
      <c r="E373" s="32">
        <v>1134</v>
      </c>
      <c r="F373" s="45"/>
      <c r="G373" s="45">
        <v>3200</v>
      </c>
      <c r="H373" s="38">
        <f t="shared" si="1"/>
        <v>3628800</v>
      </c>
      <c r="I373" s="51"/>
      <c r="J373" s="37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</row>
    <row r="374" spans="1:27" ht="16.5" x14ac:dyDescent="0.25">
      <c r="A374" s="57"/>
      <c r="B374" s="56" t="s">
        <v>398</v>
      </c>
      <c r="C374" s="29">
        <v>100313</v>
      </c>
      <c r="D374" s="29" t="s">
        <v>14</v>
      </c>
      <c r="E374" s="32">
        <v>11333.333329999999</v>
      </c>
      <c r="F374" s="45"/>
      <c r="G374" s="45">
        <v>7</v>
      </c>
      <c r="H374" s="38">
        <f t="shared" si="1"/>
        <v>79333.333310000002</v>
      </c>
      <c r="I374" s="51"/>
      <c r="J374" s="37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</row>
    <row r="375" spans="1:27" ht="16.5" x14ac:dyDescent="0.25">
      <c r="A375" s="57"/>
      <c r="B375" s="56" t="s">
        <v>399</v>
      </c>
      <c r="C375" s="29">
        <v>200108</v>
      </c>
      <c r="D375" s="29" t="s">
        <v>14</v>
      </c>
      <c r="E375" s="32">
        <v>5250</v>
      </c>
      <c r="F375" s="45"/>
      <c r="G375" s="45">
        <v>6</v>
      </c>
      <c r="H375" s="38">
        <f t="shared" si="1"/>
        <v>31500</v>
      </c>
      <c r="I375" s="51"/>
      <c r="J375" s="37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</row>
    <row r="376" spans="1:27" ht="16.5" x14ac:dyDescent="0.25">
      <c r="A376" s="57"/>
      <c r="B376" s="56" t="s">
        <v>400</v>
      </c>
      <c r="C376" s="29">
        <v>200132</v>
      </c>
      <c r="D376" s="29" t="s">
        <v>56</v>
      </c>
      <c r="E376" s="32">
        <v>20526.315790000001</v>
      </c>
      <c r="F376" s="45"/>
      <c r="G376" s="45">
        <v>120</v>
      </c>
      <c r="H376" s="38">
        <f t="shared" si="1"/>
        <v>2463157.8947999999</v>
      </c>
      <c r="I376" s="51"/>
      <c r="J376" s="37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</row>
    <row r="377" spans="1:27" ht="16.5" x14ac:dyDescent="0.25">
      <c r="A377" s="57"/>
      <c r="B377" s="56" t="s">
        <v>401</v>
      </c>
      <c r="C377" s="29">
        <v>900204</v>
      </c>
      <c r="D377" s="29" t="s">
        <v>46</v>
      </c>
      <c r="E377" s="32">
        <v>58500</v>
      </c>
      <c r="F377" s="45"/>
      <c r="G377" s="45">
        <v>20</v>
      </c>
      <c r="H377" s="38">
        <f t="shared" si="1"/>
        <v>1170000</v>
      </c>
      <c r="I377" s="51"/>
      <c r="J377" s="37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</row>
    <row r="378" spans="1:27" ht="16.5" x14ac:dyDescent="0.25">
      <c r="A378" s="57"/>
      <c r="B378" s="56" t="s">
        <v>402</v>
      </c>
      <c r="C378" s="29">
        <v>777410</v>
      </c>
      <c r="D378" s="29" t="s">
        <v>14</v>
      </c>
      <c r="E378" s="32">
        <v>4000</v>
      </c>
      <c r="F378" s="45"/>
      <c r="G378" s="45">
        <v>200</v>
      </c>
      <c r="H378" s="38">
        <f t="shared" si="1"/>
        <v>800000</v>
      </c>
      <c r="I378" s="51"/>
      <c r="J378" s="37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</row>
    <row r="379" spans="1:27" ht="16.5" x14ac:dyDescent="0.25">
      <c r="A379" s="57"/>
      <c r="B379" s="56" t="s">
        <v>403</v>
      </c>
      <c r="C379" s="29">
        <v>140411</v>
      </c>
      <c r="D379" s="29" t="s">
        <v>46</v>
      </c>
      <c r="E379" s="32">
        <v>68000</v>
      </c>
      <c r="F379" s="45"/>
      <c r="G379" s="45">
        <v>11.5</v>
      </c>
      <c r="H379" s="38">
        <f t="shared" si="1"/>
        <v>782000</v>
      </c>
      <c r="I379" s="51"/>
      <c r="J379" s="37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</row>
    <row r="380" spans="1:27" ht="16.5" x14ac:dyDescent="0.25">
      <c r="A380" s="57"/>
      <c r="B380" s="56" t="s">
        <v>404</v>
      </c>
      <c r="C380" s="29">
        <v>22213</v>
      </c>
      <c r="D380" s="29" t="s">
        <v>46</v>
      </c>
      <c r="E380" s="32">
        <v>295882</v>
      </c>
      <c r="F380" s="45"/>
      <c r="G380" s="45">
        <v>2.2000000000000002</v>
      </c>
      <c r="H380" s="38">
        <f t="shared" si="1"/>
        <v>650940.4</v>
      </c>
      <c r="I380" s="51"/>
      <c r="J380" s="37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</row>
    <row r="381" spans="1:27" ht="16.5" x14ac:dyDescent="0.25">
      <c r="A381" s="57"/>
      <c r="B381" s="56" t="s">
        <v>405</v>
      </c>
      <c r="C381" s="29">
        <v>900251</v>
      </c>
      <c r="D381" s="29" t="s">
        <v>188</v>
      </c>
      <c r="E381" s="32">
        <v>616.66666669999995</v>
      </c>
      <c r="F381" s="45"/>
      <c r="G381" s="45">
        <v>900</v>
      </c>
      <c r="H381" s="38">
        <f t="shared" si="1"/>
        <v>555000.00003</v>
      </c>
      <c r="I381" s="51"/>
      <c r="J381" s="37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</row>
    <row r="382" spans="1:27" ht="16.5" x14ac:dyDescent="0.25">
      <c r="A382" s="57"/>
      <c r="B382" s="56" t="s">
        <v>406</v>
      </c>
      <c r="C382" s="29">
        <v>900245</v>
      </c>
      <c r="D382" s="29" t="s">
        <v>46</v>
      </c>
      <c r="E382" s="32">
        <v>219780</v>
      </c>
      <c r="F382" s="45"/>
      <c r="G382" s="45">
        <v>1</v>
      </c>
      <c r="H382" s="38">
        <f t="shared" si="1"/>
        <v>219780</v>
      </c>
      <c r="I382" s="51"/>
      <c r="J382" s="37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</row>
    <row r="383" spans="1:27" ht="16.5" x14ac:dyDescent="0.25">
      <c r="A383" s="57"/>
      <c r="B383" s="56" t="s">
        <v>407</v>
      </c>
      <c r="C383" s="29">
        <v>120118</v>
      </c>
      <c r="D383" s="29" t="s">
        <v>188</v>
      </c>
      <c r="E383" s="32">
        <v>500</v>
      </c>
      <c r="F383" s="45"/>
      <c r="G383" s="45">
        <v>240</v>
      </c>
      <c r="H383" s="38">
        <f t="shared" si="1"/>
        <v>120000</v>
      </c>
      <c r="I383" s="51"/>
      <c r="J383" s="37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</row>
    <row r="384" spans="1:27" ht="16.5" x14ac:dyDescent="0.25">
      <c r="A384" s="57"/>
      <c r="B384" s="56" t="s">
        <v>408</v>
      </c>
      <c r="C384" s="29">
        <v>201004</v>
      </c>
      <c r="D384" s="29" t="s">
        <v>230</v>
      </c>
      <c r="E384" s="32">
        <v>123.4042553</v>
      </c>
      <c r="F384" s="45"/>
      <c r="G384" s="45">
        <v>470</v>
      </c>
      <c r="H384" s="38">
        <f t="shared" si="1"/>
        <v>57999.999991000004</v>
      </c>
      <c r="I384" s="51"/>
      <c r="J384" s="37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</row>
    <row r="385" spans="1:27" ht="16.5" x14ac:dyDescent="0.25">
      <c r="A385" s="57"/>
      <c r="B385" s="56" t="s">
        <v>409</v>
      </c>
      <c r="C385" s="29">
        <v>100430</v>
      </c>
      <c r="D385" s="29" t="s">
        <v>14</v>
      </c>
      <c r="E385" s="32">
        <v>11358.333329999999</v>
      </c>
      <c r="F385" s="45"/>
      <c r="G385" s="45">
        <v>1</v>
      </c>
      <c r="H385" s="38">
        <f t="shared" si="1"/>
        <v>11358.333329999999</v>
      </c>
      <c r="I385" s="51"/>
      <c r="J385" s="37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</row>
    <row r="386" spans="1:27" ht="16.5" x14ac:dyDescent="0.25">
      <c r="A386" s="57"/>
      <c r="B386" s="56" t="s">
        <v>410</v>
      </c>
      <c r="C386" s="29">
        <v>444303</v>
      </c>
      <c r="D386" s="29" t="s">
        <v>14</v>
      </c>
      <c r="E386" s="32">
        <v>916.66666669999995</v>
      </c>
      <c r="F386" s="45"/>
      <c r="G386" s="45">
        <v>11</v>
      </c>
      <c r="H386" s="38">
        <f t="shared" si="1"/>
        <v>10083.3333337</v>
      </c>
      <c r="I386" s="51"/>
      <c r="J386" s="37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</row>
    <row r="387" spans="1:27" ht="15" x14ac:dyDescent="0.25">
      <c r="A387" s="28"/>
      <c r="B387" s="28"/>
      <c r="C387" s="59"/>
      <c r="D387" s="59"/>
      <c r="E387" s="60"/>
      <c r="F387" s="61"/>
      <c r="G387" s="61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</row>
    <row r="388" spans="1:27" ht="15" x14ac:dyDescent="0.25">
      <c r="A388" s="28"/>
      <c r="B388" s="28"/>
      <c r="C388" s="59"/>
      <c r="D388" s="59"/>
      <c r="E388" s="60"/>
      <c r="F388" s="61"/>
      <c r="G388" s="61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</row>
    <row r="389" spans="1:27" ht="15" x14ac:dyDescent="0.25">
      <c r="A389" s="28"/>
      <c r="B389" s="28"/>
      <c r="C389" s="59"/>
      <c r="D389" s="59"/>
      <c r="E389" s="60"/>
      <c r="F389" s="61"/>
      <c r="G389" s="61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</row>
    <row r="390" spans="1:27" ht="15" x14ac:dyDescent="0.25">
      <c r="A390" s="28"/>
      <c r="B390" s="28"/>
      <c r="C390" s="59"/>
      <c r="D390" s="59"/>
      <c r="E390" s="60"/>
      <c r="F390" s="61"/>
      <c r="G390" s="61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</row>
    <row r="391" spans="1:27" ht="15" x14ac:dyDescent="0.25">
      <c r="A391" s="28"/>
      <c r="B391" s="28"/>
      <c r="C391" s="59"/>
      <c r="D391" s="59"/>
      <c r="E391" s="60"/>
      <c r="F391" s="61"/>
      <c r="G391" s="61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</row>
    <row r="392" spans="1:27" ht="15" x14ac:dyDescent="0.25">
      <c r="A392" s="28"/>
      <c r="B392" s="28"/>
      <c r="C392" s="59"/>
      <c r="D392" s="59"/>
      <c r="E392" s="60"/>
      <c r="F392" s="61"/>
      <c r="G392" s="61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</row>
    <row r="393" spans="1:27" ht="15" x14ac:dyDescent="0.25">
      <c r="A393" s="28"/>
      <c r="B393" s="28"/>
      <c r="C393" s="59"/>
      <c r="D393" s="59"/>
      <c r="E393" s="60"/>
      <c r="F393" s="61"/>
      <c r="G393" s="61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</row>
    <row r="394" spans="1:27" ht="15" x14ac:dyDescent="0.25">
      <c r="A394" s="28"/>
      <c r="B394" s="28"/>
      <c r="C394" s="59"/>
      <c r="D394" s="59"/>
      <c r="E394" s="60"/>
      <c r="F394" s="61"/>
      <c r="G394" s="61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</row>
    <row r="395" spans="1:27" ht="15" x14ac:dyDescent="0.25">
      <c r="A395" s="28"/>
      <c r="B395" s="28"/>
      <c r="C395" s="59"/>
      <c r="D395" s="59"/>
      <c r="E395" s="60"/>
      <c r="F395" s="61"/>
      <c r="G395" s="61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</row>
    <row r="396" spans="1:27" ht="15" x14ac:dyDescent="0.25">
      <c r="A396" s="28"/>
      <c r="B396" s="28"/>
      <c r="C396" s="59"/>
      <c r="D396" s="59"/>
      <c r="E396" s="60"/>
      <c r="F396" s="61"/>
      <c r="G396" s="61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</row>
    <row r="397" spans="1:27" ht="15" x14ac:dyDescent="0.25">
      <c r="A397" s="28"/>
      <c r="B397" s="28"/>
      <c r="C397" s="59"/>
      <c r="D397" s="59"/>
      <c r="E397" s="60"/>
      <c r="F397" s="61"/>
      <c r="G397" s="61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</row>
    <row r="398" spans="1:27" ht="15" x14ac:dyDescent="0.25">
      <c r="A398" s="28"/>
      <c r="B398" s="28"/>
      <c r="C398" s="59"/>
      <c r="D398" s="59"/>
      <c r="E398" s="60"/>
      <c r="F398" s="61"/>
      <c r="G398" s="61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</row>
    <row r="399" spans="1:27" ht="15" x14ac:dyDescent="0.25">
      <c r="A399" s="28"/>
      <c r="B399" s="28"/>
      <c r="C399" s="59"/>
      <c r="D399" s="59"/>
      <c r="E399" s="60"/>
      <c r="F399" s="61"/>
      <c r="G399" s="61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</row>
    <row r="400" spans="1:27" ht="15" x14ac:dyDescent="0.25">
      <c r="A400" s="28"/>
      <c r="B400" s="28"/>
      <c r="C400" s="59"/>
      <c r="D400" s="59"/>
      <c r="E400" s="60"/>
      <c r="F400" s="61"/>
      <c r="G400" s="61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</row>
    <row r="401" spans="1:27" ht="15" x14ac:dyDescent="0.25">
      <c r="A401" s="28"/>
      <c r="B401" s="28"/>
      <c r="C401" s="59"/>
      <c r="D401" s="59"/>
      <c r="E401" s="60"/>
      <c r="F401" s="61"/>
      <c r="G401" s="61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</row>
    <row r="402" spans="1:27" ht="15" x14ac:dyDescent="0.25">
      <c r="A402" s="28"/>
      <c r="B402" s="28"/>
      <c r="C402" s="59"/>
      <c r="D402" s="59"/>
      <c r="E402" s="60"/>
      <c r="F402" s="61"/>
      <c r="G402" s="61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</row>
    <row r="403" spans="1:27" ht="15" x14ac:dyDescent="0.25">
      <c r="A403" s="28"/>
      <c r="B403" s="28"/>
      <c r="C403" s="59"/>
      <c r="D403" s="59"/>
      <c r="E403" s="60"/>
      <c r="F403" s="61"/>
      <c r="G403" s="61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</row>
    <row r="404" spans="1:27" ht="15" x14ac:dyDescent="0.25">
      <c r="A404" s="28"/>
      <c r="B404" s="28"/>
      <c r="C404" s="59"/>
      <c r="D404" s="59"/>
      <c r="E404" s="60"/>
      <c r="F404" s="61"/>
      <c r="G404" s="61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</row>
    <row r="405" spans="1:27" ht="15" x14ac:dyDescent="0.25">
      <c r="A405" s="28"/>
      <c r="B405" s="28"/>
      <c r="C405" s="59"/>
      <c r="D405" s="59"/>
      <c r="E405" s="60"/>
      <c r="F405" s="61"/>
      <c r="G405" s="61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</row>
    <row r="406" spans="1:27" ht="15" x14ac:dyDescent="0.25">
      <c r="A406" s="28"/>
      <c r="B406" s="28"/>
      <c r="C406" s="59"/>
      <c r="D406" s="59"/>
      <c r="E406" s="60"/>
      <c r="F406" s="61"/>
      <c r="G406" s="61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</row>
    <row r="407" spans="1:27" ht="15" x14ac:dyDescent="0.25">
      <c r="A407" s="28"/>
      <c r="B407" s="28"/>
      <c r="C407" s="59"/>
      <c r="D407" s="59"/>
      <c r="E407" s="60"/>
      <c r="F407" s="61"/>
      <c r="G407" s="61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</row>
    <row r="408" spans="1:27" ht="15" x14ac:dyDescent="0.25">
      <c r="A408" s="28"/>
      <c r="B408" s="28"/>
      <c r="C408" s="59"/>
      <c r="D408" s="59"/>
      <c r="E408" s="60"/>
      <c r="F408" s="61"/>
      <c r="G408" s="61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</row>
    <row r="409" spans="1:27" ht="15" x14ac:dyDescent="0.25">
      <c r="A409" s="28"/>
      <c r="B409" s="28"/>
      <c r="C409" s="59"/>
      <c r="D409" s="59"/>
      <c r="E409" s="60"/>
      <c r="F409" s="61"/>
      <c r="G409" s="61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</row>
    <row r="410" spans="1:27" ht="15" x14ac:dyDescent="0.25">
      <c r="A410" s="28"/>
      <c r="B410" s="28"/>
      <c r="C410" s="59"/>
      <c r="D410" s="59"/>
      <c r="E410" s="60"/>
      <c r="F410" s="61"/>
      <c r="G410" s="61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</row>
    <row r="411" spans="1:27" ht="15" x14ac:dyDescent="0.25">
      <c r="A411" s="28"/>
      <c r="B411" s="28"/>
      <c r="C411" s="59"/>
      <c r="D411" s="59"/>
      <c r="E411" s="60"/>
      <c r="F411" s="61"/>
      <c r="G411" s="61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</row>
    <row r="412" spans="1:27" ht="15" x14ac:dyDescent="0.25">
      <c r="A412" s="28"/>
      <c r="B412" s="28"/>
      <c r="C412" s="59"/>
      <c r="D412" s="59"/>
      <c r="E412" s="60"/>
      <c r="F412" s="61"/>
      <c r="G412" s="61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</row>
    <row r="413" spans="1:27" ht="15" x14ac:dyDescent="0.25">
      <c r="A413" s="28"/>
      <c r="B413" s="28"/>
      <c r="C413" s="59"/>
      <c r="D413" s="59"/>
      <c r="E413" s="60"/>
      <c r="F413" s="61"/>
      <c r="G413" s="61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</row>
    <row r="414" spans="1:27" ht="15" x14ac:dyDescent="0.25">
      <c r="A414" s="28"/>
      <c r="B414" s="28"/>
      <c r="C414" s="59"/>
      <c r="D414" s="59"/>
      <c r="E414" s="60"/>
      <c r="F414" s="61"/>
      <c r="G414" s="61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</row>
    <row r="415" spans="1:27" ht="15" x14ac:dyDescent="0.25">
      <c r="A415" s="28"/>
      <c r="B415" s="28"/>
      <c r="C415" s="59"/>
      <c r="D415" s="59"/>
      <c r="E415" s="60"/>
      <c r="F415" s="61"/>
      <c r="G415" s="61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</row>
    <row r="416" spans="1:27" ht="15" x14ac:dyDescent="0.25">
      <c r="A416" s="28"/>
      <c r="B416" s="28"/>
      <c r="C416" s="59"/>
      <c r="D416" s="59"/>
      <c r="E416" s="60"/>
      <c r="F416" s="61"/>
      <c r="G416" s="61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</row>
    <row r="417" spans="1:27" ht="15" x14ac:dyDescent="0.25">
      <c r="A417" s="28"/>
      <c r="B417" s="28"/>
      <c r="C417" s="59"/>
      <c r="D417" s="59"/>
      <c r="E417" s="60"/>
      <c r="F417" s="61"/>
      <c r="G417" s="61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</row>
    <row r="418" spans="1:27" ht="15" x14ac:dyDescent="0.25">
      <c r="A418" s="28"/>
      <c r="B418" s="28"/>
      <c r="C418" s="59"/>
      <c r="D418" s="59"/>
      <c r="E418" s="60"/>
      <c r="F418" s="61"/>
      <c r="G418" s="61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</row>
    <row r="419" spans="1:27" ht="15" x14ac:dyDescent="0.25">
      <c r="A419" s="28"/>
      <c r="B419" s="28"/>
      <c r="C419" s="59"/>
      <c r="D419" s="59"/>
      <c r="E419" s="60"/>
      <c r="F419" s="61"/>
      <c r="G419" s="61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</row>
    <row r="420" spans="1:27" ht="15" x14ac:dyDescent="0.25">
      <c r="A420" s="28"/>
      <c r="B420" s="28"/>
      <c r="C420" s="59"/>
      <c r="D420" s="59"/>
      <c r="E420" s="60"/>
      <c r="F420" s="61"/>
      <c r="G420" s="61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</row>
    <row r="421" spans="1:27" ht="15" x14ac:dyDescent="0.25">
      <c r="A421" s="28"/>
      <c r="B421" s="28"/>
      <c r="C421" s="59"/>
      <c r="D421" s="59"/>
      <c r="E421" s="60"/>
      <c r="F421" s="61"/>
      <c r="G421" s="61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</row>
    <row r="422" spans="1:27" ht="15" x14ac:dyDescent="0.25">
      <c r="A422" s="28"/>
      <c r="B422" s="28"/>
      <c r="C422" s="59"/>
      <c r="D422" s="59"/>
      <c r="E422" s="60"/>
      <c r="F422" s="61"/>
      <c r="G422" s="61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</row>
    <row r="423" spans="1:27" ht="15" x14ac:dyDescent="0.25">
      <c r="A423" s="28"/>
      <c r="B423" s="28"/>
      <c r="C423" s="59"/>
      <c r="D423" s="59"/>
      <c r="E423" s="60"/>
      <c r="F423" s="61"/>
      <c r="G423" s="61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</row>
    <row r="424" spans="1:27" ht="15" x14ac:dyDescent="0.25">
      <c r="A424" s="28"/>
      <c r="B424" s="28"/>
      <c r="C424" s="59"/>
      <c r="D424" s="59"/>
      <c r="E424" s="60"/>
      <c r="F424" s="61"/>
      <c r="G424" s="61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</row>
    <row r="425" spans="1:27" ht="15" x14ac:dyDescent="0.25">
      <c r="A425" s="28"/>
      <c r="B425" s="28"/>
      <c r="C425" s="59"/>
      <c r="D425" s="59"/>
      <c r="E425" s="60"/>
      <c r="F425" s="61"/>
      <c r="G425" s="61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</row>
    <row r="426" spans="1:27" ht="15" x14ac:dyDescent="0.25">
      <c r="A426" s="28"/>
      <c r="B426" s="28"/>
      <c r="C426" s="59"/>
      <c r="D426" s="59"/>
      <c r="E426" s="60"/>
      <c r="F426" s="61"/>
      <c r="G426" s="61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</row>
    <row r="427" spans="1:27" ht="15" x14ac:dyDescent="0.25">
      <c r="A427" s="28"/>
      <c r="B427" s="28"/>
      <c r="C427" s="59"/>
      <c r="D427" s="59"/>
      <c r="E427" s="60"/>
      <c r="F427" s="61"/>
      <c r="G427" s="61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</row>
    <row r="428" spans="1:27" ht="15" x14ac:dyDescent="0.25">
      <c r="A428" s="28"/>
      <c r="B428" s="28"/>
      <c r="C428" s="59"/>
      <c r="D428" s="59"/>
      <c r="E428" s="60"/>
      <c r="F428" s="61"/>
      <c r="G428" s="61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</row>
    <row r="429" spans="1:27" ht="15" x14ac:dyDescent="0.25">
      <c r="A429" s="28"/>
      <c r="B429" s="28"/>
      <c r="C429" s="59"/>
      <c r="D429" s="59"/>
      <c r="E429" s="60"/>
      <c r="F429" s="61"/>
      <c r="G429" s="61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</row>
    <row r="430" spans="1:27" ht="15" x14ac:dyDescent="0.25">
      <c r="A430" s="28"/>
      <c r="B430" s="28"/>
      <c r="C430" s="59"/>
      <c r="D430" s="59"/>
      <c r="E430" s="60"/>
      <c r="F430" s="61"/>
      <c r="G430" s="61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</row>
    <row r="431" spans="1:27" ht="15" x14ac:dyDescent="0.25">
      <c r="A431" s="28"/>
      <c r="B431" s="28"/>
      <c r="C431" s="59"/>
      <c r="D431" s="59"/>
      <c r="E431" s="60"/>
      <c r="F431" s="61"/>
      <c r="G431" s="61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</row>
    <row r="432" spans="1:27" ht="15" x14ac:dyDescent="0.25">
      <c r="A432" s="28"/>
      <c r="B432" s="28"/>
      <c r="C432" s="59"/>
      <c r="D432" s="59"/>
      <c r="E432" s="60"/>
      <c r="F432" s="61"/>
      <c r="G432" s="61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</row>
    <row r="433" spans="1:27" ht="15" x14ac:dyDescent="0.25">
      <c r="A433" s="28"/>
      <c r="B433" s="28"/>
      <c r="C433" s="59"/>
      <c r="D433" s="59"/>
      <c r="E433" s="60"/>
      <c r="F433" s="61"/>
      <c r="G433" s="61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</row>
    <row r="434" spans="1:27" ht="15" x14ac:dyDescent="0.25">
      <c r="A434" s="28"/>
      <c r="B434" s="28"/>
      <c r="C434" s="59"/>
      <c r="D434" s="59"/>
      <c r="E434" s="60"/>
      <c r="F434" s="61"/>
      <c r="G434" s="61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</row>
    <row r="435" spans="1:27" ht="15" x14ac:dyDescent="0.25">
      <c r="A435" s="28"/>
      <c r="B435" s="28"/>
      <c r="C435" s="59"/>
      <c r="D435" s="59"/>
      <c r="E435" s="60"/>
      <c r="F435" s="61"/>
      <c r="G435" s="61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</row>
    <row r="436" spans="1:27" ht="15" x14ac:dyDescent="0.25">
      <c r="A436" s="28"/>
      <c r="B436" s="28"/>
      <c r="C436" s="59"/>
      <c r="D436" s="59"/>
      <c r="E436" s="60"/>
      <c r="F436" s="61"/>
      <c r="G436" s="61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</row>
    <row r="437" spans="1:27" ht="15" x14ac:dyDescent="0.25">
      <c r="A437" s="28"/>
      <c r="B437" s="28"/>
      <c r="C437" s="59"/>
      <c r="D437" s="59"/>
      <c r="E437" s="60"/>
      <c r="F437" s="61"/>
      <c r="G437" s="61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</row>
    <row r="438" spans="1:27" ht="15" x14ac:dyDescent="0.25">
      <c r="A438" s="28"/>
      <c r="B438" s="28"/>
      <c r="C438" s="59"/>
      <c r="D438" s="59"/>
      <c r="E438" s="60"/>
      <c r="F438" s="61"/>
      <c r="G438" s="61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</row>
    <row r="439" spans="1:27" ht="15" x14ac:dyDescent="0.25">
      <c r="A439" s="28"/>
      <c r="B439" s="28"/>
      <c r="C439" s="59"/>
      <c r="D439" s="59"/>
      <c r="E439" s="60"/>
      <c r="F439" s="61"/>
      <c r="G439" s="61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</row>
    <row r="440" spans="1:27" ht="15" x14ac:dyDescent="0.25">
      <c r="A440" s="28"/>
      <c r="B440" s="28"/>
      <c r="C440" s="59"/>
      <c r="D440" s="59"/>
      <c r="E440" s="60"/>
      <c r="F440" s="61"/>
      <c r="G440" s="61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</row>
    <row r="441" spans="1:27" ht="15" x14ac:dyDescent="0.25">
      <c r="A441" s="28"/>
      <c r="B441" s="28"/>
      <c r="C441" s="59"/>
      <c r="D441" s="59"/>
      <c r="E441" s="60"/>
      <c r="F441" s="61"/>
      <c r="G441" s="61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</row>
    <row r="442" spans="1:27" ht="15" x14ac:dyDescent="0.25">
      <c r="A442" s="28"/>
      <c r="B442" s="28"/>
      <c r="C442" s="59"/>
      <c r="D442" s="59"/>
      <c r="E442" s="60"/>
      <c r="F442" s="61"/>
      <c r="G442" s="61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</row>
    <row r="443" spans="1:27" ht="15" x14ac:dyDescent="0.25">
      <c r="A443" s="28"/>
      <c r="B443" s="28"/>
      <c r="C443" s="59"/>
      <c r="D443" s="59"/>
      <c r="E443" s="60"/>
      <c r="F443" s="61"/>
      <c r="G443" s="61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</row>
    <row r="444" spans="1:27" ht="15" x14ac:dyDescent="0.25">
      <c r="A444" s="28"/>
      <c r="B444" s="28"/>
      <c r="C444" s="59"/>
      <c r="D444" s="59"/>
      <c r="E444" s="60"/>
      <c r="F444" s="61"/>
      <c r="G444" s="61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</row>
    <row r="445" spans="1:27" ht="15" x14ac:dyDescent="0.25">
      <c r="A445" s="28"/>
      <c r="B445" s="28"/>
      <c r="C445" s="59"/>
      <c r="D445" s="59"/>
      <c r="E445" s="60"/>
      <c r="F445" s="61"/>
      <c r="G445" s="61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</row>
    <row r="446" spans="1:27" ht="15" x14ac:dyDescent="0.25">
      <c r="A446" s="28"/>
      <c r="B446" s="28"/>
      <c r="C446" s="59"/>
      <c r="D446" s="59"/>
      <c r="E446" s="60"/>
      <c r="F446" s="61"/>
      <c r="G446" s="61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</row>
    <row r="447" spans="1:27" ht="15" x14ac:dyDescent="0.25">
      <c r="A447" s="28"/>
      <c r="B447" s="28"/>
      <c r="C447" s="59"/>
      <c r="D447" s="59"/>
      <c r="E447" s="60"/>
      <c r="F447" s="61"/>
      <c r="G447" s="61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</row>
    <row r="448" spans="1:27" ht="15" x14ac:dyDescent="0.25">
      <c r="A448" s="28"/>
      <c r="B448" s="28"/>
      <c r="C448" s="59"/>
      <c r="D448" s="59"/>
      <c r="E448" s="60"/>
      <c r="F448" s="61"/>
      <c r="G448" s="61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</row>
    <row r="449" spans="1:27" ht="15" x14ac:dyDescent="0.25">
      <c r="A449" s="28"/>
      <c r="B449" s="28"/>
      <c r="C449" s="59"/>
      <c r="D449" s="59"/>
      <c r="E449" s="60"/>
      <c r="F449" s="61"/>
      <c r="G449" s="61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</row>
    <row r="450" spans="1:27" ht="15" x14ac:dyDescent="0.25">
      <c r="A450" s="28"/>
      <c r="B450" s="28"/>
      <c r="C450" s="59"/>
      <c r="D450" s="59"/>
      <c r="E450" s="60"/>
      <c r="F450" s="61"/>
      <c r="G450" s="61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</row>
    <row r="451" spans="1:27" ht="15" x14ac:dyDescent="0.25">
      <c r="A451" s="28"/>
      <c r="B451" s="28"/>
      <c r="C451" s="59"/>
      <c r="D451" s="59"/>
      <c r="E451" s="60"/>
      <c r="F451" s="61"/>
      <c r="G451" s="61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</row>
    <row r="452" spans="1:27" ht="15" x14ac:dyDescent="0.25">
      <c r="A452" s="28"/>
      <c r="B452" s="28"/>
      <c r="C452" s="59"/>
      <c r="D452" s="59"/>
      <c r="E452" s="60"/>
      <c r="F452" s="61"/>
      <c r="G452" s="61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</row>
    <row r="453" spans="1:27" ht="15" x14ac:dyDescent="0.25">
      <c r="A453" s="28"/>
      <c r="B453" s="28"/>
      <c r="C453" s="59"/>
      <c r="D453" s="59"/>
      <c r="E453" s="60"/>
      <c r="F453" s="61"/>
      <c r="G453" s="61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</row>
    <row r="454" spans="1:27" ht="15" x14ac:dyDescent="0.25">
      <c r="A454" s="28"/>
      <c r="B454" s="28"/>
      <c r="C454" s="59"/>
      <c r="D454" s="59"/>
      <c r="E454" s="60"/>
      <c r="F454" s="61"/>
      <c r="G454" s="61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</row>
    <row r="455" spans="1:27" ht="15" x14ac:dyDescent="0.25">
      <c r="A455" s="28"/>
      <c r="B455" s="28"/>
      <c r="C455" s="59"/>
      <c r="D455" s="59"/>
      <c r="E455" s="60"/>
      <c r="F455" s="61"/>
      <c r="G455" s="61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</row>
    <row r="456" spans="1:27" ht="15" x14ac:dyDescent="0.25">
      <c r="A456" s="28"/>
      <c r="B456" s="28"/>
      <c r="C456" s="59"/>
      <c r="D456" s="59"/>
      <c r="E456" s="60"/>
      <c r="F456" s="61"/>
      <c r="G456" s="61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</row>
    <row r="457" spans="1:27" ht="15" x14ac:dyDescent="0.25">
      <c r="A457" s="28"/>
      <c r="B457" s="28"/>
      <c r="C457" s="59"/>
      <c r="D457" s="59"/>
      <c r="E457" s="60"/>
      <c r="F457" s="61"/>
      <c r="G457" s="61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</row>
    <row r="458" spans="1:27" ht="15" x14ac:dyDescent="0.25">
      <c r="A458" s="28"/>
      <c r="B458" s="28"/>
      <c r="C458" s="59"/>
      <c r="D458" s="59"/>
      <c r="E458" s="60"/>
      <c r="F458" s="61"/>
      <c r="G458" s="61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</row>
    <row r="459" spans="1:27" ht="15" x14ac:dyDescent="0.25">
      <c r="A459" s="28"/>
      <c r="B459" s="28"/>
      <c r="C459" s="59"/>
      <c r="D459" s="59"/>
      <c r="E459" s="60"/>
      <c r="F459" s="61"/>
      <c r="G459" s="61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</row>
    <row r="460" spans="1:27" ht="15" x14ac:dyDescent="0.25">
      <c r="A460" s="28"/>
      <c r="B460" s="28"/>
      <c r="C460" s="59"/>
      <c r="D460" s="59"/>
      <c r="E460" s="60"/>
      <c r="F460" s="61"/>
      <c r="G460" s="61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</row>
    <row r="461" spans="1:27" ht="15" x14ac:dyDescent="0.25">
      <c r="A461" s="28"/>
      <c r="B461" s="28"/>
      <c r="C461" s="59"/>
      <c r="D461" s="59"/>
      <c r="E461" s="60"/>
      <c r="F461" s="61"/>
      <c r="G461" s="61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</row>
    <row r="462" spans="1:27" ht="15" x14ac:dyDescent="0.25">
      <c r="A462" s="28"/>
      <c r="B462" s="28"/>
      <c r="C462" s="59"/>
      <c r="D462" s="59"/>
      <c r="E462" s="60"/>
      <c r="F462" s="61"/>
      <c r="G462" s="61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</row>
    <row r="463" spans="1:27" ht="15" x14ac:dyDescent="0.25">
      <c r="A463" s="28"/>
      <c r="B463" s="28"/>
      <c r="C463" s="59"/>
      <c r="D463" s="59"/>
      <c r="E463" s="60"/>
      <c r="F463" s="61"/>
      <c r="G463" s="61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</row>
    <row r="464" spans="1:27" ht="15" x14ac:dyDescent="0.25">
      <c r="A464" s="28"/>
      <c r="B464" s="28"/>
      <c r="C464" s="59"/>
      <c r="D464" s="59"/>
      <c r="E464" s="60"/>
      <c r="F464" s="61"/>
      <c r="G464" s="61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</row>
    <row r="465" spans="1:27" ht="15" x14ac:dyDescent="0.25">
      <c r="A465" s="28"/>
      <c r="B465" s="28"/>
      <c r="C465" s="59"/>
      <c r="D465" s="59"/>
      <c r="E465" s="60"/>
      <c r="F465" s="61"/>
      <c r="G465" s="61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</row>
    <row r="466" spans="1:27" ht="15" x14ac:dyDescent="0.25">
      <c r="A466" s="28"/>
      <c r="B466" s="28"/>
      <c r="C466" s="59"/>
      <c r="D466" s="59"/>
      <c r="E466" s="60"/>
      <c r="F466" s="61"/>
      <c r="G466" s="61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</row>
    <row r="467" spans="1:27" ht="15" x14ac:dyDescent="0.25">
      <c r="A467" s="28"/>
      <c r="B467" s="28"/>
      <c r="C467" s="59"/>
      <c r="D467" s="59"/>
      <c r="E467" s="60"/>
      <c r="F467" s="61"/>
      <c r="G467" s="61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</row>
    <row r="468" spans="1:27" ht="15" x14ac:dyDescent="0.25">
      <c r="A468" s="28"/>
      <c r="B468" s="28"/>
      <c r="C468" s="59"/>
      <c r="D468" s="59"/>
      <c r="E468" s="60"/>
      <c r="F468" s="61"/>
      <c r="G468" s="61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</row>
    <row r="469" spans="1:27" ht="15" x14ac:dyDescent="0.25">
      <c r="A469" s="28"/>
      <c r="B469" s="28"/>
      <c r="C469" s="59"/>
      <c r="D469" s="59"/>
      <c r="E469" s="60"/>
      <c r="F469" s="61"/>
      <c r="G469" s="61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</row>
    <row r="470" spans="1:27" ht="15" x14ac:dyDescent="0.25">
      <c r="A470" s="28"/>
      <c r="B470" s="28"/>
      <c r="C470" s="59"/>
      <c r="D470" s="59"/>
      <c r="E470" s="60"/>
      <c r="F470" s="61"/>
      <c r="G470" s="61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</row>
    <row r="471" spans="1:27" ht="15" x14ac:dyDescent="0.25">
      <c r="A471" s="28"/>
      <c r="B471" s="28"/>
      <c r="C471" s="59"/>
      <c r="D471" s="59"/>
      <c r="E471" s="60"/>
      <c r="F471" s="61"/>
      <c r="G471" s="61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</row>
    <row r="472" spans="1:27" ht="15" x14ac:dyDescent="0.25">
      <c r="A472" s="28"/>
      <c r="B472" s="28"/>
      <c r="C472" s="59"/>
      <c r="D472" s="59"/>
      <c r="E472" s="60"/>
      <c r="F472" s="61"/>
      <c r="G472" s="61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</row>
    <row r="473" spans="1:27" ht="15" x14ac:dyDescent="0.25">
      <c r="A473" s="28"/>
      <c r="B473" s="28"/>
      <c r="C473" s="59"/>
      <c r="D473" s="59"/>
      <c r="E473" s="60"/>
      <c r="F473" s="61"/>
      <c r="G473" s="61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</row>
    <row r="474" spans="1:27" ht="15" x14ac:dyDescent="0.25">
      <c r="A474" s="28"/>
      <c r="B474" s="28"/>
      <c r="C474" s="59"/>
      <c r="D474" s="59"/>
      <c r="E474" s="60"/>
      <c r="F474" s="61"/>
      <c r="G474" s="61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</row>
    <row r="475" spans="1:27" ht="15" x14ac:dyDescent="0.25">
      <c r="A475" s="28"/>
      <c r="B475" s="28"/>
      <c r="C475" s="59"/>
      <c r="D475" s="59"/>
      <c r="E475" s="60"/>
      <c r="F475" s="61"/>
      <c r="G475" s="61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</row>
    <row r="476" spans="1:27" ht="15" x14ac:dyDescent="0.25">
      <c r="A476" s="28"/>
      <c r="B476" s="28"/>
      <c r="C476" s="59"/>
      <c r="D476" s="59"/>
      <c r="E476" s="60"/>
      <c r="F476" s="61"/>
      <c r="G476" s="61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</row>
    <row r="477" spans="1:27" ht="15" x14ac:dyDescent="0.25">
      <c r="A477" s="28"/>
      <c r="B477" s="28"/>
      <c r="C477" s="59"/>
      <c r="D477" s="59"/>
      <c r="E477" s="60"/>
      <c r="F477" s="61"/>
      <c r="G477" s="61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</row>
    <row r="478" spans="1:27" ht="15" x14ac:dyDescent="0.25">
      <c r="A478" s="28"/>
      <c r="B478" s="28"/>
      <c r="C478" s="59"/>
      <c r="D478" s="59"/>
      <c r="E478" s="60"/>
      <c r="F478" s="61"/>
      <c r="G478" s="61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</row>
    <row r="479" spans="1:27" ht="15" x14ac:dyDescent="0.25">
      <c r="A479" s="28"/>
      <c r="B479" s="28"/>
      <c r="C479" s="59"/>
      <c r="D479" s="59"/>
      <c r="E479" s="60"/>
      <c r="F479" s="61"/>
      <c r="G479" s="61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</row>
    <row r="480" spans="1:27" ht="15" x14ac:dyDescent="0.25">
      <c r="A480" s="28"/>
      <c r="B480" s="28"/>
      <c r="C480" s="59"/>
      <c r="D480" s="59"/>
      <c r="E480" s="60"/>
      <c r="F480" s="61"/>
      <c r="G480" s="61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</row>
    <row r="481" spans="1:27" ht="15" x14ac:dyDescent="0.25">
      <c r="A481" s="28"/>
      <c r="B481" s="28"/>
      <c r="C481" s="59"/>
      <c r="D481" s="59"/>
      <c r="E481" s="60"/>
      <c r="F481" s="61"/>
      <c r="G481" s="61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</row>
    <row r="482" spans="1:27" ht="15" x14ac:dyDescent="0.25">
      <c r="A482" s="28"/>
      <c r="B482" s="28"/>
      <c r="C482" s="59"/>
      <c r="D482" s="59"/>
      <c r="E482" s="60"/>
      <c r="F482" s="61"/>
      <c r="G482" s="61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</row>
    <row r="483" spans="1:27" ht="15" x14ac:dyDescent="0.25">
      <c r="A483" s="28"/>
      <c r="B483" s="28"/>
      <c r="C483" s="59"/>
      <c r="D483" s="59"/>
      <c r="E483" s="60"/>
      <c r="F483" s="61"/>
      <c r="G483" s="61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</row>
    <row r="484" spans="1:27" ht="15" x14ac:dyDescent="0.25">
      <c r="A484" s="28"/>
      <c r="B484" s="28"/>
      <c r="C484" s="59"/>
      <c r="D484" s="59"/>
      <c r="E484" s="60"/>
      <c r="F484" s="61"/>
      <c r="G484" s="61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</row>
    <row r="485" spans="1:27" ht="15" x14ac:dyDescent="0.25">
      <c r="A485" s="28"/>
      <c r="B485" s="28"/>
      <c r="C485" s="59"/>
      <c r="D485" s="59"/>
      <c r="E485" s="60"/>
      <c r="F485" s="61"/>
      <c r="G485" s="61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</row>
    <row r="486" spans="1:27" ht="15" x14ac:dyDescent="0.25">
      <c r="A486" s="28"/>
      <c r="B486" s="28"/>
      <c r="C486" s="59"/>
      <c r="D486" s="59"/>
      <c r="E486" s="60"/>
      <c r="F486" s="61"/>
      <c r="G486" s="61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</row>
    <row r="487" spans="1:27" ht="15" x14ac:dyDescent="0.25">
      <c r="A487" s="28"/>
      <c r="B487" s="28"/>
      <c r="C487" s="59"/>
      <c r="D487" s="59"/>
      <c r="E487" s="60"/>
      <c r="F487" s="61"/>
      <c r="G487" s="61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</row>
    <row r="488" spans="1:27" ht="15" x14ac:dyDescent="0.25">
      <c r="A488" s="28"/>
      <c r="B488" s="28"/>
      <c r="C488" s="59"/>
      <c r="D488" s="59"/>
      <c r="E488" s="60"/>
      <c r="F488" s="61"/>
      <c r="G488" s="61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</row>
    <row r="489" spans="1:27" ht="15" x14ac:dyDescent="0.25">
      <c r="A489" s="28"/>
      <c r="B489" s="28"/>
      <c r="C489" s="59"/>
      <c r="D489" s="59"/>
      <c r="E489" s="60"/>
      <c r="F489" s="61"/>
      <c r="G489" s="61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</row>
    <row r="490" spans="1:27" ht="15" x14ac:dyDescent="0.25">
      <c r="A490" s="28"/>
      <c r="B490" s="28"/>
      <c r="C490" s="59"/>
      <c r="D490" s="59"/>
      <c r="E490" s="60"/>
      <c r="F490" s="61"/>
      <c r="G490" s="61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</row>
    <row r="491" spans="1:27" ht="15" x14ac:dyDescent="0.25">
      <c r="A491" s="28"/>
      <c r="B491" s="28"/>
      <c r="C491" s="59"/>
      <c r="D491" s="59"/>
      <c r="E491" s="60"/>
      <c r="F491" s="61"/>
      <c r="G491" s="61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</row>
    <row r="492" spans="1:27" ht="15" x14ac:dyDescent="0.25">
      <c r="A492" s="28"/>
      <c r="B492" s="28"/>
      <c r="C492" s="59"/>
      <c r="D492" s="59"/>
      <c r="E492" s="60"/>
      <c r="F492" s="61"/>
      <c r="G492" s="61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</row>
    <row r="493" spans="1:27" ht="15" x14ac:dyDescent="0.25">
      <c r="A493" s="28"/>
      <c r="B493" s="28"/>
      <c r="C493" s="59"/>
      <c r="D493" s="59"/>
      <c r="E493" s="60"/>
      <c r="F493" s="61"/>
      <c r="G493" s="61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</row>
    <row r="494" spans="1:27" ht="15" x14ac:dyDescent="0.25">
      <c r="A494" s="28"/>
      <c r="B494" s="28"/>
      <c r="C494" s="59"/>
      <c r="D494" s="59"/>
      <c r="E494" s="60"/>
      <c r="F494" s="61"/>
      <c r="G494" s="61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</row>
    <row r="495" spans="1:27" ht="15" x14ac:dyDescent="0.25">
      <c r="A495" s="28"/>
      <c r="B495" s="28"/>
      <c r="C495" s="59"/>
      <c r="D495" s="59"/>
      <c r="E495" s="60"/>
      <c r="F495" s="61"/>
      <c r="G495" s="61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</row>
    <row r="496" spans="1:27" ht="15" x14ac:dyDescent="0.25">
      <c r="A496" s="28"/>
      <c r="B496" s="28"/>
      <c r="C496" s="59"/>
      <c r="D496" s="59"/>
      <c r="E496" s="60"/>
      <c r="F496" s="61"/>
      <c r="G496" s="61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</row>
    <row r="497" spans="1:27" ht="15" x14ac:dyDescent="0.25">
      <c r="A497" s="28"/>
      <c r="B497" s="28"/>
      <c r="C497" s="59"/>
      <c r="D497" s="59"/>
      <c r="E497" s="60"/>
      <c r="F497" s="61"/>
      <c r="G497" s="61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</row>
    <row r="498" spans="1:27" ht="15" x14ac:dyDescent="0.25">
      <c r="A498" s="28"/>
      <c r="B498" s="28"/>
      <c r="C498" s="59"/>
      <c r="D498" s="59"/>
      <c r="E498" s="60"/>
      <c r="F498" s="61"/>
      <c r="G498" s="61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</row>
    <row r="499" spans="1:27" ht="15" x14ac:dyDescent="0.25">
      <c r="A499" s="28"/>
      <c r="B499" s="28"/>
      <c r="C499" s="59"/>
      <c r="D499" s="59"/>
      <c r="E499" s="60"/>
      <c r="F499" s="61"/>
      <c r="G499" s="61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</row>
    <row r="500" spans="1:27" ht="15" x14ac:dyDescent="0.25">
      <c r="A500" s="28"/>
      <c r="B500" s="28"/>
      <c r="C500" s="59"/>
      <c r="D500" s="59"/>
      <c r="E500" s="60"/>
      <c r="F500" s="61"/>
      <c r="G500" s="61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</row>
    <row r="501" spans="1:27" ht="15" x14ac:dyDescent="0.25">
      <c r="A501" s="28"/>
      <c r="B501" s="28"/>
      <c r="C501" s="59"/>
      <c r="D501" s="59"/>
      <c r="E501" s="60"/>
      <c r="F501" s="61"/>
      <c r="G501" s="61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</row>
    <row r="502" spans="1:27" ht="15" x14ac:dyDescent="0.25">
      <c r="A502" s="28"/>
      <c r="B502" s="28"/>
      <c r="C502" s="59"/>
      <c r="D502" s="59"/>
      <c r="E502" s="60"/>
      <c r="F502" s="61"/>
      <c r="G502" s="61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</row>
    <row r="503" spans="1:27" ht="15" x14ac:dyDescent="0.25">
      <c r="A503" s="28"/>
      <c r="B503" s="28"/>
      <c r="C503" s="59"/>
      <c r="D503" s="59"/>
      <c r="E503" s="60"/>
      <c r="F503" s="61"/>
      <c r="G503" s="61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</row>
    <row r="504" spans="1:27" ht="15" x14ac:dyDescent="0.25">
      <c r="A504" s="28"/>
      <c r="B504" s="28"/>
      <c r="C504" s="59"/>
      <c r="D504" s="59"/>
      <c r="E504" s="60"/>
      <c r="F504" s="61"/>
      <c r="G504" s="61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</row>
    <row r="505" spans="1:27" ht="15" x14ac:dyDescent="0.25">
      <c r="A505" s="28"/>
      <c r="B505" s="28"/>
      <c r="C505" s="59"/>
      <c r="D505" s="59"/>
      <c r="E505" s="60"/>
      <c r="F505" s="61"/>
      <c r="G505" s="61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</row>
    <row r="506" spans="1:27" ht="15" x14ac:dyDescent="0.25">
      <c r="A506" s="28"/>
      <c r="B506" s="28"/>
      <c r="C506" s="59"/>
      <c r="D506" s="59"/>
      <c r="E506" s="60"/>
      <c r="F506" s="61"/>
      <c r="G506" s="61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</row>
    <row r="507" spans="1:27" ht="15" x14ac:dyDescent="0.25">
      <c r="A507" s="28"/>
      <c r="B507" s="28"/>
      <c r="C507" s="59"/>
      <c r="D507" s="59"/>
      <c r="E507" s="60"/>
      <c r="F507" s="61"/>
      <c r="G507" s="61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</row>
    <row r="508" spans="1:27" ht="15" x14ac:dyDescent="0.25">
      <c r="A508" s="28"/>
      <c r="B508" s="28"/>
      <c r="C508" s="59"/>
      <c r="D508" s="59"/>
      <c r="E508" s="60"/>
      <c r="F508" s="61"/>
      <c r="G508" s="61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</row>
    <row r="509" spans="1:27" ht="15" x14ac:dyDescent="0.25">
      <c r="A509" s="28"/>
      <c r="B509" s="28"/>
      <c r="C509" s="59"/>
      <c r="D509" s="59"/>
      <c r="E509" s="60"/>
      <c r="F509" s="61"/>
      <c r="G509" s="61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</row>
    <row r="510" spans="1:27" ht="15" x14ac:dyDescent="0.25">
      <c r="A510" s="28"/>
      <c r="B510" s="28"/>
      <c r="C510" s="59"/>
      <c r="D510" s="59"/>
      <c r="E510" s="60"/>
      <c r="F510" s="61"/>
      <c r="G510" s="61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</row>
    <row r="511" spans="1:27" ht="15" x14ac:dyDescent="0.25">
      <c r="A511" s="28"/>
      <c r="B511" s="28"/>
      <c r="C511" s="59"/>
      <c r="D511" s="59"/>
      <c r="E511" s="60"/>
      <c r="F511" s="61"/>
      <c r="G511" s="61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</row>
    <row r="512" spans="1:27" ht="15" x14ac:dyDescent="0.25">
      <c r="A512" s="28"/>
      <c r="B512" s="28"/>
      <c r="C512" s="59"/>
      <c r="D512" s="59"/>
      <c r="E512" s="60"/>
      <c r="F512" s="61"/>
      <c r="G512" s="61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</row>
    <row r="513" spans="1:27" ht="15" x14ac:dyDescent="0.25">
      <c r="A513" s="28"/>
      <c r="B513" s="28"/>
      <c r="C513" s="59"/>
      <c r="D513" s="59"/>
      <c r="E513" s="60"/>
      <c r="F513" s="61"/>
      <c r="G513" s="61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</row>
    <row r="514" spans="1:27" ht="15" x14ac:dyDescent="0.25">
      <c r="A514" s="28"/>
      <c r="B514" s="28"/>
      <c r="C514" s="59"/>
      <c r="D514" s="59"/>
      <c r="E514" s="60"/>
      <c r="F514" s="61"/>
      <c r="G514" s="61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</row>
    <row r="515" spans="1:27" ht="15" x14ac:dyDescent="0.25">
      <c r="A515" s="28"/>
      <c r="B515" s="28"/>
      <c r="C515" s="59"/>
      <c r="D515" s="59"/>
      <c r="E515" s="60"/>
      <c r="F515" s="61"/>
      <c r="G515" s="61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</row>
    <row r="516" spans="1:27" ht="15" x14ac:dyDescent="0.25">
      <c r="A516" s="28"/>
      <c r="B516" s="28"/>
      <c r="C516" s="59"/>
      <c r="D516" s="59"/>
      <c r="E516" s="60"/>
      <c r="F516" s="61"/>
      <c r="G516" s="61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</row>
    <row r="517" spans="1:27" ht="15" x14ac:dyDescent="0.25">
      <c r="A517" s="28"/>
      <c r="B517" s="28"/>
      <c r="C517" s="59"/>
      <c r="D517" s="59"/>
      <c r="E517" s="60"/>
      <c r="F517" s="61"/>
      <c r="G517" s="61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</row>
    <row r="518" spans="1:27" ht="15" x14ac:dyDescent="0.25">
      <c r="A518" s="28"/>
      <c r="B518" s="28"/>
      <c r="C518" s="59"/>
      <c r="D518" s="59"/>
      <c r="E518" s="60"/>
      <c r="F518" s="61"/>
      <c r="G518" s="61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</row>
    <row r="519" spans="1:27" ht="15" x14ac:dyDescent="0.25">
      <c r="A519" s="28"/>
      <c r="B519" s="28"/>
      <c r="C519" s="59"/>
      <c r="D519" s="59"/>
      <c r="E519" s="60"/>
      <c r="F519" s="61"/>
      <c r="G519" s="61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</row>
    <row r="520" spans="1:27" ht="15" x14ac:dyDescent="0.25">
      <c r="A520" s="28"/>
      <c r="B520" s="28"/>
      <c r="C520" s="59"/>
      <c r="D520" s="59"/>
      <c r="E520" s="60"/>
      <c r="F520" s="61"/>
      <c r="G520" s="61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</row>
    <row r="521" spans="1:27" ht="15" x14ac:dyDescent="0.25">
      <c r="A521" s="28"/>
      <c r="B521" s="28"/>
      <c r="C521" s="59"/>
      <c r="D521" s="59"/>
      <c r="E521" s="60"/>
      <c r="F521" s="61"/>
      <c r="G521" s="61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</row>
    <row r="522" spans="1:27" ht="15" x14ac:dyDescent="0.25">
      <c r="A522" s="28"/>
      <c r="B522" s="28"/>
      <c r="C522" s="59"/>
      <c r="D522" s="59"/>
      <c r="E522" s="60"/>
      <c r="F522" s="61"/>
      <c r="G522" s="61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</row>
    <row r="523" spans="1:27" ht="15" x14ac:dyDescent="0.25">
      <c r="A523" s="28"/>
      <c r="B523" s="28"/>
      <c r="C523" s="59"/>
      <c r="D523" s="59"/>
      <c r="E523" s="60"/>
      <c r="F523" s="61"/>
      <c r="G523" s="61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</row>
    <row r="524" spans="1:27" ht="15" x14ac:dyDescent="0.25">
      <c r="A524" s="28"/>
      <c r="B524" s="28"/>
      <c r="C524" s="59"/>
      <c r="D524" s="59"/>
      <c r="E524" s="60"/>
      <c r="F524" s="61"/>
      <c r="G524" s="61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</row>
    <row r="525" spans="1:27" ht="15" x14ac:dyDescent="0.25">
      <c r="A525" s="28"/>
      <c r="B525" s="28"/>
      <c r="C525" s="59"/>
      <c r="D525" s="59"/>
      <c r="E525" s="60"/>
      <c r="F525" s="61"/>
      <c r="G525" s="61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</row>
    <row r="526" spans="1:27" ht="15" x14ac:dyDescent="0.25">
      <c r="A526" s="28"/>
      <c r="B526" s="28"/>
      <c r="C526" s="59"/>
      <c r="D526" s="59"/>
      <c r="E526" s="60"/>
      <c r="F526" s="61"/>
      <c r="G526" s="61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</row>
    <row r="527" spans="1:27" ht="15" x14ac:dyDescent="0.25">
      <c r="A527" s="28"/>
      <c r="B527" s="28"/>
      <c r="C527" s="59"/>
      <c r="D527" s="59"/>
      <c r="E527" s="60"/>
      <c r="F527" s="61"/>
      <c r="G527" s="61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</row>
    <row r="528" spans="1:27" ht="15" x14ac:dyDescent="0.25">
      <c r="A528" s="28"/>
      <c r="B528" s="28"/>
      <c r="C528" s="59"/>
      <c r="D528" s="59"/>
      <c r="E528" s="60"/>
      <c r="F528" s="61"/>
      <c r="G528" s="61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</row>
    <row r="529" spans="1:27" ht="15" x14ac:dyDescent="0.25">
      <c r="A529" s="28"/>
      <c r="B529" s="28"/>
      <c r="C529" s="59"/>
      <c r="D529" s="59"/>
      <c r="E529" s="60"/>
      <c r="F529" s="61"/>
      <c r="G529" s="61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</row>
    <row r="530" spans="1:27" ht="15" x14ac:dyDescent="0.25">
      <c r="A530" s="28"/>
      <c r="B530" s="28"/>
      <c r="C530" s="59"/>
      <c r="D530" s="59"/>
      <c r="E530" s="60"/>
      <c r="F530" s="61"/>
      <c r="G530" s="61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</row>
    <row r="531" spans="1:27" ht="15" x14ac:dyDescent="0.25">
      <c r="A531" s="28"/>
      <c r="B531" s="28"/>
      <c r="C531" s="59"/>
      <c r="D531" s="59"/>
      <c r="E531" s="60"/>
      <c r="F531" s="61"/>
      <c r="G531" s="61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</row>
    <row r="532" spans="1:27" ht="15" x14ac:dyDescent="0.25">
      <c r="A532" s="28"/>
      <c r="B532" s="28"/>
      <c r="C532" s="59"/>
      <c r="D532" s="59"/>
      <c r="E532" s="60"/>
      <c r="F532" s="61"/>
      <c r="G532" s="61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</row>
    <row r="533" spans="1:27" ht="15" x14ac:dyDescent="0.25">
      <c r="A533" s="28"/>
      <c r="B533" s="28"/>
      <c r="C533" s="59"/>
      <c r="D533" s="59"/>
      <c r="E533" s="60"/>
      <c r="F533" s="61"/>
      <c r="G533" s="61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</row>
    <row r="534" spans="1:27" ht="15" x14ac:dyDescent="0.25">
      <c r="A534" s="28"/>
      <c r="B534" s="28"/>
      <c r="C534" s="59"/>
      <c r="D534" s="59"/>
      <c r="E534" s="60"/>
      <c r="F534" s="61"/>
      <c r="G534" s="61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</row>
    <row r="535" spans="1:27" ht="15" x14ac:dyDescent="0.25">
      <c r="A535" s="28"/>
      <c r="B535" s="28"/>
      <c r="C535" s="59"/>
      <c r="D535" s="59"/>
      <c r="E535" s="60"/>
      <c r="F535" s="61"/>
      <c r="G535" s="61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</row>
    <row r="536" spans="1:27" ht="15" x14ac:dyDescent="0.25">
      <c r="A536" s="28"/>
      <c r="B536" s="28"/>
      <c r="C536" s="59"/>
      <c r="D536" s="59"/>
      <c r="E536" s="60"/>
      <c r="F536" s="61"/>
      <c r="G536" s="61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</row>
    <row r="537" spans="1:27" ht="15" x14ac:dyDescent="0.25">
      <c r="A537" s="28"/>
      <c r="B537" s="28"/>
      <c r="C537" s="59"/>
      <c r="D537" s="59"/>
      <c r="E537" s="60"/>
      <c r="F537" s="61"/>
      <c r="G537" s="61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</row>
    <row r="538" spans="1:27" ht="15" x14ac:dyDescent="0.25">
      <c r="A538" s="28"/>
      <c r="B538" s="28"/>
      <c r="C538" s="59"/>
      <c r="D538" s="59"/>
      <c r="E538" s="60"/>
      <c r="F538" s="61"/>
      <c r="G538" s="61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</row>
    <row r="539" spans="1:27" ht="15" x14ac:dyDescent="0.25">
      <c r="A539" s="28"/>
      <c r="B539" s="28"/>
      <c r="C539" s="59"/>
      <c r="D539" s="59"/>
      <c r="E539" s="60"/>
      <c r="F539" s="61"/>
      <c r="G539" s="61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</row>
    <row r="540" spans="1:27" ht="15" x14ac:dyDescent="0.25">
      <c r="A540" s="28"/>
      <c r="B540" s="28"/>
      <c r="C540" s="59"/>
      <c r="D540" s="59"/>
      <c r="E540" s="60"/>
      <c r="F540" s="61"/>
      <c r="G540" s="61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</row>
    <row r="541" spans="1:27" ht="15" x14ac:dyDescent="0.25">
      <c r="A541" s="28"/>
      <c r="B541" s="28"/>
      <c r="C541" s="59"/>
      <c r="D541" s="59"/>
      <c r="E541" s="60"/>
      <c r="F541" s="61"/>
      <c r="G541" s="61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</row>
    <row r="542" spans="1:27" ht="15" x14ac:dyDescent="0.25">
      <c r="A542" s="28"/>
      <c r="B542" s="28"/>
      <c r="C542" s="59"/>
      <c r="D542" s="59"/>
      <c r="E542" s="60"/>
      <c r="F542" s="61"/>
      <c r="G542" s="61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</row>
    <row r="543" spans="1:27" ht="15" x14ac:dyDescent="0.25">
      <c r="A543" s="28"/>
      <c r="B543" s="28"/>
      <c r="C543" s="59"/>
      <c r="D543" s="59"/>
      <c r="E543" s="60"/>
      <c r="F543" s="61"/>
      <c r="G543" s="61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</row>
    <row r="544" spans="1:27" ht="15" x14ac:dyDescent="0.25">
      <c r="A544" s="28"/>
      <c r="B544" s="28"/>
      <c r="C544" s="59"/>
      <c r="D544" s="59"/>
      <c r="E544" s="60"/>
      <c r="F544" s="61"/>
      <c r="G544" s="61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</row>
    <row r="545" spans="1:27" ht="15" x14ac:dyDescent="0.25">
      <c r="A545" s="28"/>
      <c r="B545" s="28"/>
      <c r="C545" s="59"/>
      <c r="D545" s="59"/>
      <c r="E545" s="60"/>
      <c r="F545" s="61"/>
      <c r="G545" s="61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</row>
    <row r="546" spans="1:27" ht="15" x14ac:dyDescent="0.25">
      <c r="A546" s="28"/>
      <c r="B546" s="28"/>
      <c r="C546" s="59"/>
      <c r="D546" s="59"/>
      <c r="E546" s="60"/>
      <c r="F546" s="61"/>
      <c r="G546" s="61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</row>
    <row r="547" spans="1:27" ht="15" x14ac:dyDescent="0.25">
      <c r="A547" s="28"/>
      <c r="B547" s="28"/>
      <c r="C547" s="59"/>
      <c r="D547" s="59"/>
      <c r="E547" s="60"/>
      <c r="F547" s="61"/>
      <c r="G547" s="61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</row>
    <row r="548" spans="1:27" ht="15" x14ac:dyDescent="0.25">
      <c r="A548" s="28"/>
      <c r="B548" s="28"/>
      <c r="C548" s="59"/>
      <c r="D548" s="59"/>
      <c r="E548" s="60"/>
      <c r="F548" s="61"/>
      <c r="G548" s="61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</row>
    <row r="549" spans="1:27" ht="15" x14ac:dyDescent="0.25">
      <c r="A549" s="28"/>
      <c r="B549" s="28"/>
      <c r="C549" s="59"/>
      <c r="D549" s="59"/>
      <c r="E549" s="60"/>
      <c r="F549" s="61"/>
      <c r="G549" s="61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</row>
    <row r="550" spans="1:27" ht="15" x14ac:dyDescent="0.25">
      <c r="A550" s="28"/>
      <c r="B550" s="28"/>
      <c r="C550" s="59"/>
      <c r="D550" s="59"/>
      <c r="E550" s="60"/>
      <c r="F550" s="61"/>
      <c r="G550" s="61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</row>
    <row r="551" spans="1:27" ht="15" x14ac:dyDescent="0.25">
      <c r="A551" s="28"/>
      <c r="B551" s="28"/>
      <c r="C551" s="59"/>
      <c r="D551" s="59"/>
      <c r="E551" s="60"/>
      <c r="F551" s="61"/>
      <c r="G551" s="61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</row>
    <row r="552" spans="1:27" ht="15" x14ac:dyDescent="0.25">
      <c r="A552" s="28"/>
      <c r="B552" s="28"/>
      <c r="C552" s="59"/>
      <c r="D552" s="59"/>
      <c r="E552" s="60"/>
      <c r="F552" s="61"/>
      <c r="G552" s="61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</row>
    <row r="553" spans="1:27" ht="15" x14ac:dyDescent="0.25">
      <c r="A553" s="28"/>
      <c r="B553" s="28"/>
      <c r="C553" s="59"/>
      <c r="D553" s="59"/>
      <c r="E553" s="60"/>
      <c r="F553" s="61"/>
      <c r="G553" s="61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</row>
    <row r="554" spans="1:27" ht="15" x14ac:dyDescent="0.25">
      <c r="A554" s="28"/>
      <c r="B554" s="28"/>
      <c r="C554" s="59"/>
      <c r="D554" s="59"/>
      <c r="E554" s="60"/>
      <c r="F554" s="61"/>
      <c r="G554" s="61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</row>
    <row r="555" spans="1:27" ht="15" x14ac:dyDescent="0.25">
      <c r="A555" s="28"/>
      <c r="B555" s="28"/>
      <c r="C555" s="59"/>
      <c r="D555" s="59"/>
      <c r="E555" s="60"/>
      <c r="F555" s="61"/>
      <c r="G555" s="61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</row>
    <row r="556" spans="1:27" ht="15" x14ac:dyDescent="0.25">
      <c r="A556" s="28"/>
      <c r="B556" s="28"/>
      <c r="C556" s="59"/>
      <c r="D556" s="59"/>
      <c r="E556" s="60"/>
      <c r="F556" s="61"/>
      <c r="G556" s="61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</row>
    <row r="557" spans="1:27" ht="15" x14ac:dyDescent="0.25">
      <c r="A557" s="28"/>
      <c r="B557" s="28"/>
      <c r="C557" s="59"/>
      <c r="D557" s="59"/>
      <c r="E557" s="60"/>
      <c r="F557" s="61"/>
      <c r="G557" s="61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</row>
    <row r="558" spans="1:27" ht="15" x14ac:dyDescent="0.25">
      <c r="A558" s="28"/>
      <c r="B558" s="28"/>
      <c r="C558" s="59"/>
      <c r="D558" s="59"/>
      <c r="E558" s="60"/>
      <c r="F558" s="61"/>
      <c r="G558" s="61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</row>
    <row r="559" spans="1:27" ht="15" x14ac:dyDescent="0.25">
      <c r="A559" s="28"/>
      <c r="B559" s="28"/>
      <c r="C559" s="59"/>
      <c r="D559" s="59"/>
      <c r="E559" s="60"/>
      <c r="F559" s="61"/>
      <c r="G559" s="61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</row>
    <row r="560" spans="1:27" ht="15" x14ac:dyDescent="0.25">
      <c r="A560" s="28"/>
      <c r="B560" s="28"/>
      <c r="C560" s="59"/>
      <c r="D560" s="59"/>
      <c r="E560" s="60"/>
      <c r="F560" s="61"/>
      <c r="G560" s="61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</row>
    <row r="561" spans="1:27" ht="15" x14ac:dyDescent="0.25">
      <c r="A561" s="28"/>
      <c r="B561" s="28"/>
      <c r="C561" s="59"/>
      <c r="D561" s="59"/>
      <c r="E561" s="60"/>
      <c r="F561" s="61"/>
      <c r="G561" s="61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</row>
    <row r="562" spans="1:27" ht="15" x14ac:dyDescent="0.25">
      <c r="A562" s="28"/>
      <c r="B562" s="28"/>
      <c r="C562" s="59"/>
      <c r="D562" s="59"/>
      <c r="E562" s="60"/>
      <c r="F562" s="61"/>
      <c r="G562" s="61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</row>
    <row r="563" spans="1:27" ht="15" x14ac:dyDescent="0.25">
      <c r="A563" s="28"/>
      <c r="B563" s="28"/>
      <c r="C563" s="59"/>
      <c r="D563" s="59"/>
      <c r="E563" s="60"/>
      <c r="F563" s="61"/>
      <c r="G563" s="61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</row>
    <row r="564" spans="1:27" ht="15" x14ac:dyDescent="0.25">
      <c r="A564" s="28"/>
      <c r="B564" s="28"/>
      <c r="C564" s="59"/>
      <c r="D564" s="59"/>
      <c r="E564" s="60"/>
      <c r="F564" s="61"/>
      <c r="G564" s="61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</row>
    <row r="565" spans="1:27" ht="15" x14ac:dyDescent="0.25">
      <c r="A565" s="28"/>
      <c r="B565" s="28"/>
      <c r="C565" s="59"/>
      <c r="D565" s="59"/>
      <c r="E565" s="60"/>
      <c r="F565" s="61"/>
      <c r="G565" s="61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</row>
    <row r="566" spans="1:27" ht="15" x14ac:dyDescent="0.25">
      <c r="A566" s="28"/>
      <c r="B566" s="28"/>
      <c r="C566" s="59"/>
      <c r="D566" s="59"/>
      <c r="E566" s="60"/>
      <c r="F566" s="61"/>
      <c r="G566" s="61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</row>
    <row r="567" spans="1:27" ht="15" x14ac:dyDescent="0.25">
      <c r="A567" s="28"/>
      <c r="B567" s="28"/>
      <c r="C567" s="59"/>
      <c r="D567" s="59"/>
      <c r="E567" s="60"/>
      <c r="F567" s="61"/>
      <c r="G567" s="61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</row>
    <row r="568" spans="1:27" ht="15" x14ac:dyDescent="0.25">
      <c r="A568" s="28"/>
      <c r="B568" s="28"/>
      <c r="C568" s="59"/>
      <c r="D568" s="59"/>
      <c r="E568" s="60"/>
      <c r="F568" s="61"/>
      <c r="G568" s="61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</row>
    <row r="569" spans="1:27" ht="15" x14ac:dyDescent="0.25">
      <c r="A569" s="28"/>
      <c r="B569" s="28"/>
      <c r="C569" s="59"/>
      <c r="D569" s="59"/>
      <c r="E569" s="60"/>
      <c r="F569" s="61"/>
      <c r="G569" s="61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</row>
    <row r="570" spans="1:27" ht="15" x14ac:dyDescent="0.25">
      <c r="A570" s="28"/>
      <c r="B570" s="28"/>
      <c r="C570" s="59"/>
      <c r="D570" s="59"/>
      <c r="E570" s="60"/>
      <c r="F570" s="61"/>
      <c r="G570" s="61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</row>
    <row r="571" spans="1:27" ht="15" x14ac:dyDescent="0.25">
      <c r="A571" s="28"/>
      <c r="B571" s="28"/>
      <c r="C571" s="59"/>
      <c r="D571" s="59"/>
      <c r="E571" s="60"/>
      <c r="F571" s="61"/>
      <c r="G571" s="61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</row>
    <row r="572" spans="1:27" ht="15" x14ac:dyDescent="0.25">
      <c r="A572" s="28"/>
      <c r="B572" s="28"/>
      <c r="C572" s="59"/>
      <c r="D572" s="59"/>
      <c r="E572" s="60"/>
      <c r="F572" s="61"/>
      <c r="G572" s="61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</row>
    <row r="573" spans="1:27" ht="15" x14ac:dyDescent="0.25">
      <c r="A573" s="28"/>
      <c r="B573" s="28"/>
      <c r="C573" s="59"/>
      <c r="D573" s="59"/>
      <c r="E573" s="60"/>
      <c r="F573" s="61"/>
      <c r="G573" s="61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</row>
    <row r="574" spans="1:27" ht="15" x14ac:dyDescent="0.25">
      <c r="A574" s="28"/>
      <c r="B574" s="28"/>
      <c r="C574" s="59"/>
      <c r="D574" s="59"/>
      <c r="E574" s="60"/>
      <c r="F574" s="61"/>
      <c r="G574" s="61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</row>
    <row r="575" spans="1:27" ht="15" x14ac:dyDescent="0.25">
      <c r="A575" s="28"/>
      <c r="B575" s="28"/>
      <c r="C575" s="59"/>
      <c r="D575" s="59"/>
      <c r="E575" s="60"/>
      <c r="F575" s="61"/>
      <c r="G575" s="61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</row>
    <row r="576" spans="1:27" ht="15" x14ac:dyDescent="0.25">
      <c r="A576" s="28"/>
      <c r="B576" s="28"/>
      <c r="C576" s="59"/>
      <c r="D576" s="59"/>
      <c r="E576" s="60"/>
      <c r="F576" s="61"/>
      <c r="G576" s="61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</row>
    <row r="577" spans="1:27" ht="15" x14ac:dyDescent="0.25">
      <c r="A577" s="28"/>
      <c r="B577" s="28"/>
      <c r="C577" s="59"/>
      <c r="D577" s="59"/>
      <c r="E577" s="60"/>
      <c r="F577" s="61"/>
      <c r="G577" s="61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</row>
    <row r="578" spans="1:27" ht="15" x14ac:dyDescent="0.25">
      <c r="A578" s="28"/>
      <c r="B578" s="28"/>
      <c r="C578" s="59"/>
      <c r="D578" s="59"/>
      <c r="E578" s="60"/>
      <c r="F578" s="61"/>
      <c r="G578" s="61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</row>
    <row r="579" spans="1:27" ht="15" x14ac:dyDescent="0.25">
      <c r="A579" s="28"/>
      <c r="B579" s="28"/>
      <c r="C579" s="59"/>
      <c r="D579" s="59"/>
      <c r="E579" s="60"/>
      <c r="F579" s="61"/>
      <c r="G579" s="61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</row>
    <row r="580" spans="1:27" ht="15" x14ac:dyDescent="0.25">
      <c r="A580" s="28"/>
      <c r="B580" s="28"/>
      <c r="C580" s="59"/>
      <c r="D580" s="59"/>
      <c r="E580" s="60"/>
      <c r="F580" s="61"/>
      <c r="G580" s="61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</row>
    <row r="581" spans="1:27" ht="15" x14ac:dyDescent="0.25">
      <c r="A581" s="28"/>
      <c r="B581" s="28"/>
      <c r="C581" s="59"/>
      <c r="D581" s="59"/>
      <c r="E581" s="60"/>
      <c r="F581" s="61"/>
      <c r="G581" s="61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</row>
    <row r="582" spans="1:27" ht="15" x14ac:dyDescent="0.25">
      <c r="A582" s="28"/>
      <c r="B582" s="28"/>
      <c r="C582" s="59"/>
      <c r="D582" s="59"/>
      <c r="E582" s="60"/>
      <c r="F582" s="61"/>
      <c r="G582" s="61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</row>
    <row r="583" spans="1:27" ht="15" x14ac:dyDescent="0.25">
      <c r="A583" s="28"/>
      <c r="B583" s="28"/>
      <c r="C583" s="59"/>
      <c r="D583" s="59"/>
      <c r="E583" s="60"/>
      <c r="F583" s="61"/>
      <c r="G583" s="61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</row>
    <row r="584" spans="1:27" ht="15" x14ac:dyDescent="0.25">
      <c r="A584" s="28"/>
      <c r="B584" s="28"/>
      <c r="C584" s="59"/>
      <c r="D584" s="59"/>
      <c r="E584" s="60"/>
      <c r="F584" s="61"/>
      <c r="G584" s="61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</row>
    <row r="585" spans="1:27" ht="15" x14ac:dyDescent="0.25">
      <c r="A585" s="28"/>
      <c r="B585" s="28"/>
      <c r="C585" s="59"/>
      <c r="D585" s="59"/>
      <c r="E585" s="60"/>
      <c r="F585" s="61"/>
      <c r="G585" s="61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</row>
    <row r="586" spans="1:27" ht="15" x14ac:dyDescent="0.25">
      <c r="A586" s="28"/>
      <c r="B586" s="28"/>
      <c r="C586" s="59"/>
      <c r="D586" s="59"/>
      <c r="E586" s="60"/>
      <c r="F586" s="61"/>
      <c r="G586" s="61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</row>
    <row r="587" spans="1:27" ht="15" x14ac:dyDescent="0.25">
      <c r="A587" s="28"/>
      <c r="B587" s="28"/>
      <c r="C587" s="59"/>
      <c r="D587" s="59"/>
      <c r="E587" s="60"/>
      <c r="F587" s="61"/>
      <c r="G587" s="61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</row>
    <row r="588" spans="1:27" ht="15" x14ac:dyDescent="0.25">
      <c r="A588" s="28"/>
      <c r="B588" s="28"/>
      <c r="C588" s="59"/>
      <c r="D588" s="59"/>
      <c r="E588" s="60"/>
      <c r="F588" s="61"/>
      <c r="G588" s="61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</row>
    <row r="589" spans="1:27" ht="15" x14ac:dyDescent="0.25">
      <c r="A589" s="28"/>
      <c r="B589" s="28"/>
      <c r="C589" s="59"/>
      <c r="D589" s="59"/>
      <c r="E589" s="60"/>
      <c r="F589" s="61"/>
      <c r="G589" s="61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</row>
    <row r="590" spans="1:27" ht="15" x14ac:dyDescent="0.25">
      <c r="A590" s="28"/>
      <c r="B590" s="28"/>
      <c r="C590" s="59"/>
      <c r="D590" s="59"/>
      <c r="E590" s="60"/>
      <c r="F590" s="61"/>
      <c r="G590" s="61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</row>
    <row r="591" spans="1:27" ht="15" x14ac:dyDescent="0.25">
      <c r="A591" s="28"/>
      <c r="B591" s="28"/>
      <c r="C591" s="59"/>
      <c r="D591" s="59"/>
      <c r="E591" s="60"/>
      <c r="F591" s="61"/>
      <c r="G591" s="61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</row>
    <row r="592" spans="1:27" ht="15" x14ac:dyDescent="0.25">
      <c r="A592" s="28"/>
      <c r="B592" s="28"/>
      <c r="C592" s="59"/>
      <c r="D592" s="59"/>
      <c r="E592" s="60"/>
      <c r="F592" s="61"/>
      <c r="G592" s="61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</row>
    <row r="593" spans="1:27" ht="15" x14ac:dyDescent="0.25">
      <c r="A593" s="28"/>
      <c r="B593" s="28"/>
      <c r="C593" s="59"/>
      <c r="D593" s="59"/>
      <c r="E593" s="60"/>
      <c r="F593" s="61"/>
      <c r="G593" s="61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</row>
    <row r="594" spans="1:27" ht="15" x14ac:dyDescent="0.25">
      <c r="A594" s="28"/>
      <c r="B594" s="28"/>
      <c r="C594" s="59"/>
      <c r="D594" s="59"/>
      <c r="E594" s="60"/>
      <c r="F594" s="61"/>
      <c r="G594" s="61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</row>
    <row r="595" spans="1:27" ht="15" x14ac:dyDescent="0.25">
      <c r="A595" s="28"/>
      <c r="B595" s="28"/>
      <c r="C595" s="59"/>
      <c r="D595" s="59"/>
      <c r="E595" s="60"/>
      <c r="F595" s="61"/>
      <c r="G595" s="61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</row>
    <row r="596" spans="1:27" ht="15" x14ac:dyDescent="0.25">
      <c r="A596" s="28"/>
      <c r="B596" s="28"/>
      <c r="C596" s="59"/>
      <c r="D596" s="59"/>
      <c r="E596" s="60"/>
      <c r="F596" s="61"/>
      <c r="G596" s="61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</row>
    <row r="597" spans="1:27" ht="15" x14ac:dyDescent="0.25">
      <c r="A597" s="28"/>
      <c r="B597" s="28"/>
      <c r="C597" s="59"/>
      <c r="D597" s="59"/>
      <c r="E597" s="60"/>
      <c r="F597" s="61"/>
      <c r="G597" s="61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</row>
    <row r="598" spans="1:27" ht="15" x14ac:dyDescent="0.25">
      <c r="A598" s="28"/>
      <c r="B598" s="28"/>
      <c r="C598" s="59"/>
      <c r="D598" s="59"/>
      <c r="E598" s="60"/>
      <c r="F598" s="61"/>
      <c r="G598" s="61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</row>
    <row r="599" spans="1:27" ht="15" x14ac:dyDescent="0.25">
      <c r="A599" s="28"/>
      <c r="B599" s="28"/>
      <c r="C599" s="59"/>
      <c r="D599" s="59"/>
      <c r="E599" s="60"/>
      <c r="F599" s="61"/>
      <c r="G599" s="61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</row>
    <row r="600" spans="1:27" ht="15" x14ac:dyDescent="0.25">
      <c r="A600" s="28"/>
      <c r="B600" s="28"/>
      <c r="C600" s="59"/>
      <c r="D600" s="59"/>
      <c r="E600" s="60"/>
      <c r="F600" s="61"/>
      <c r="G600" s="61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</row>
    <row r="601" spans="1:27" ht="15" x14ac:dyDescent="0.25">
      <c r="A601" s="28"/>
      <c r="B601" s="28"/>
      <c r="C601" s="59"/>
      <c r="D601" s="59"/>
      <c r="E601" s="60"/>
      <c r="F601" s="61"/>
      <c r="G601" s="61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</row>
    <row r="602" spans="1:27" ht="15" x14ac:dyDescent="0.25">
      <c r="A602" s="28"/>
      <c r="B602" s="28"/>
      <c r="C602" s="59"/>
      <c r="D602" s="59"/>
      <c r="E602" s="60"/>
      <c r="F602" s="61"/>
      <c r="G602" s="61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</row>
    <row r="603" spans="1:27" ht="15" x14ac:dyDescent="0.25">
      <c r="A603" s="28"/>
      <c r="B603" s="28"/>
      <c r="C603" s="59"/>
      <c r="D603" s="59"/>
      <c r="E603" s="60"/>
      <c r="F603" s="61"/>
      <c r="G603" s="61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</row>
    <row r="604" spans="1:27" ht="15" x14ac:dyDescent="0.25">
      <c r="A604" s="28"/>
      <c r="B604" s="28"/>
      <c r="C604" s="59"/>
      <c r="D604" s="59"/>
      <c r="E604" s="60"/>
      <c r="F604" s="61"/>
      <c r="G604" s="61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</row>
    <row r="605" spans="1:27" ht="15" x14ac:dyDescent="0.25">
      <c r="A605" s="28"/>
      <c r="B605" s="28"/>
      <c r="C605" s="59"/>
      <c r="D605" s="59"/>
      <c r="E605" s="60"/>
      <c r="F605" s="61"/>
      <c r="G605" s="61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</row>
    <row r="606" spans="1:27" ht="15" x14ac:dyDescent="0.25">
      <c r="A606" s="28"/>
      <c r="B606" s="28"/>
      <c r="C606" s="59"/>
      <c r="D606" s="59"/>
      <c r="E606" s="60"/>
      <c r="F606" s="61"/>
      <c r="G606" s="61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</row>
    <row r="607" spans="1:27" ht="15" x14ac:dyDescent="0.25">
      <c r="A607" s="28"/>
      <c r="B607" s="28"/>
      <c r="C607" s="59"/>
      <c r="D607" s="59"/>
      <c r="E607" s="60"/>
      <c r="F607" s="61"/>
      <c r="G607" s="61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</row>
    <row r="608" spans="1:27" ht="15" x14ac:dyDescent="0.25">
      <c r="A608" s="28"/>
      <c r="B608" s="28"/>
      <c r="C608" s="59"/>
      <c r="D608" s="59"/>
      <c r="E608" s="60"/>
      <c r="F608" s="61"/>
      <c r="G608" s="61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</row>
    <row r="609" spans="1:27" ht="15" x14ac:dyDescent="0.25">
      <c r="A609" s="28"/>
      <c r="B609" s="28"/>
      <c r="C609" s="59"/>
      <c r="D609" s="59"/>
      <c r="E609" s="60"/>
      <c r="F609" s="61"/>
      <c r="G609" s="61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</row>
    <row r="610" spans="1:27" ht="15" x14ac:dyDescent="0.25">
      <c r="A610" s="28"/>
      <c r="B610" s="28"/>
      <c r="C610" s="59"/>
      <c r="D610" s="59"/>
      <c r="E610" s="60"/>
      <c r="F610" s="61"/>
      <c r="G610" s="61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</row>
    <row r="611" spans="1:27" ht="15" x14ac:dyDescent="0.25">
      <c r="A611" s="28"/>
      <c r="B611" s="28"/>
      <c r="C611" s="59"/>
      <c r="D611" s="59"/>
      <c r="E611" s="60"/>
      <c r="F611" s="61"/>
      <c r="G611" s="61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</row>
    <row r="612" spans="1:27" ht="15" x14ac:dyDescent="0.25">
      <c r="A612" s="28"/>
      <c r="B612" s="28"/>
      <c r="C612" s="59"/>
      <c r="D612" s="59"/>
      <c r="E612" s="60"/>
      <c r="F612" s="61"/>
      <c r="G612" s="61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</row>
    <row r="613" spans="1:27" ht="15" x14ac:dyDescent="0.25">
      <c r="A613" s="28"/>
      <c r="B613" s="28"/>
      <c r="C613" s="59"/>
      <c r="D613" s="59"/>
      <c r="E613" s="60"/>
      <c r="F613" s="61"/>
      <c r="G613" s="61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</row>
    <row r="614" spans="1:27" ht="15" x14ac:dyDescent="0.25">
      <c r="A614" s="28"/>
      <c r="B614" s="28"/>
      <c r="C614" s="59"/>
      <c r="D614" s="59"/>
      <c r="E614" s="60"/>
      <c r="F614" s="61"/>
      <c r="G614" s="61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</row>
    <row r="615" spans="1:27" ht="15" x14ac:dyDescent="0.25">
      <c r="A615" s="28"/>
      <c r="B615" s="28"/>
      <c r="C615" s="59"/>
      <c r="D615" s="59"/>
      <c r="E615" s="60"/>
      <c r="F615" s="61"/>
      <c r="G615" s="61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</row>
    <row r="616" spans="1:27" ht="15" x14ac:dyDescent="0.25">
      <c r="A616" s="28"/>
      <c r="B616" s="28"/>
      <c r="C616" s="59"/>
      <c r="D616" s="59"/>
      <c r="E616" s="60"/>
      <c r="F616" s="61"/>
      <c r="G616" s="61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</row>
    <row r="617" spans="1:27" ht="15" x14ac:dyDescent="0.25">
      <c r="A617" s="28"/>
      <c r="B617" s="28"/>
      <c r="C617" s="59"/>
      <c r="D617" s="59"/>
      <c r="E617" s="60"/>
      <c r="F617" s="61"/>
      <c r="G617" s="61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</row>
    <row r="618" spans="1:27" ht="15" x14ac:dyDescent="0.25">
      <c r="A618" s="28"/>
      <c r="B618" s="28"/>
      <c r="C618" s="59"/>
      <c r="D618" s="59"/>
      <c r="E618" s="60"/>
      <c r="F618" s="61"/>
      <c r="G618" s="61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</row>
    <row r="619" spans="1:27" ht="15" x14ac:dyDescent="0.25">
      <c r="A619" s="28"/>
      <c r="B619" s="28"/>
      <c r="C619" s="59"/>
      <c r="D619" s="59"/>
      <c r="E619" s="60"/>
      <c r="F619" s="61"/>
      <c r="G619" s="61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</row>
    <row r="620" spans="1:27" ht="15" x14ac:dyDescent="0.25">
      <c r="A620" s="28"/>
      <c r="B620" s="28"/>
      <c r="C620" s="59"/>
      <c r="D620" s="59"/>
      <c r="E620" s="60"/>
      <c r="F620" s="61"/>
      <c r="G620" s="61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</row>
    <row r="621" spans="1:27" ht="15" x14ac:dyDescent="0.25">
      <c r="A621" s="28"/>
      <c r="B621" s="28"/>
      <c r="C621" s="59"/>
      <c r="D621" s="59"/>
      <c r="E621" s="60"/>
      <c r="F621" s="61"/>
      <c r="G621" s="61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</row>
    <row r="622" spans="1:27" ht="15" x14ac:dyDescent="0.25">
      <c r="A622" s="28"/>
      <c r="B622" s="28"/>
      <c r="C622" s="59"/>
      <c r="D622" s="59"/>
      <c r="E622" s="60"/>
      <c r="F622" s="61"/>
      <c r="G622" s="61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</row>
    <row r="623" spans="1:27" ht="15" x14ac:dyDescent="0.25">
      <c r="A623" s="28"/>
      <c r="B623" s="28"/>
      <c r="C623" s="59"/>
      <c r="D623" s="59"/>
      <c r="E623" s="60"/>
      <c r="F623" s="61"/>
      <c r="G623" s="61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</row>
    <row r="624" spans="1:27" ht="15" x14ac:dyDescent="0.25">
      <c r="A624" s="28"/>
      <c r="B624" s="28"/>
      <c r="C624" s="59"/>
      <c r="D624" s="59"/>
      <c r="E624" s="60"/>
      <c r="F624" s="61"/>
      <c r="G624" s="61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</row>
    <row r="625" spans="1:27" ht="15" x14ac:dyDescent="0.25">
      <c r="A625" s="28"/>
      <c r="B625" s="28"/>
      <c r="C625" s="59"/>
      <c r="D625" s="59"/>
      <c r="E625" s="60"/>
      <c r="F625" s="61"/>
      <c r="G625" s="61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</row>
    <row r="626" spans="1:27" ht="15" x14ac:dyDescent="0.25">
      <c r="A626" s="28"/>
      <c r="B626" s="28"/>
      <c r="C626" s="59"/>
      <c r="D626" s="59"/>
      <c r="E626" s="60"/>
      <c r="F626" s="61"/>
      <c r="G626" s="61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</row>
    <row r="627" spans="1:27" ht="15" x14ac:dyDescent="0.25">
      <c r="A627" s="28"/>
      <c r="B627" s="28"/>
      <c r="C627" s="59"/>
      <c r="D627" s="59"/>
      <c r="E627" s="60"/>
      <c r="F627" s="61"/>
      <c r="G627" s="61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</row>
    <row r="628" spans="1:27" ht="15" x14ac:dyDescent="0.25">
      <c r="A628" s="28"/>
      <c r="B628" s="28"/>
      <c r="C628" s="59"/>
      <c r="D628" s="59"/>
      <c r="E628" s="60"/>
      <c r="F628" s="61"/>
      <c r="G628" s="61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</row>
    <row r="629" spans="1:27" ht="15" x14ac:dyDescent="0.25">
      <c r="A629" s="28"/>
      <c r="B629" s="28"/>
      <c r="C629" s="59"/>
      <c r="D629" s="59"/>
      <c r="E629" s="60"/>
      <c r="F629" s="61"/>
      <c r="G629" s="61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</row>
    <row r="630" spans="1:27" ht="15" x14ac:dyDescent="0.25">
      <c r="A630" s="28"/>
      <c r="B630" s="28"/>
      <c r="C630" s="59"/>
      <c r="D630" s="59"/>
      <c r="E630" s="60"/>
      <c r="F630" s="61"/>
      <c r="G630" s="61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</row>
    <row r="631" spans="1:27" ht="15" x14ac:dyDescent="0.25">
      <c r="A631" s="28"/>
      <c r="B631" s="28"/>
      <c r="C631" s="59"/>
      <c r="D631" s="59"/>
      <c r="E631" s="60"/>
      <c r="F631" s="61"/>
      <c r="G631" s="61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</row>
    <row r="632" spans="1:27" ht="15" x14ac:dyDescent="0.25">
      <c r="A632" s="28"/>
      <c r="B632" s="28"/>
      <c r="C632" s="59"/>
      <c r="D632" s="59"/>
      <c r="E632" s="60"/>
      <c r="F632" s="61"/>
      <c r="G632" s="61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</row>
    <row r="633" spans="1:27" ht="15" x14ac:dyDescent="0.25">
      <c r="A633" s="28"/>
      <c r="B633" s="28"/>
      <c r="C633" s="59"/>
      <c r="D633" s="59"/>
      <c r="E633" s="60"/>
      <c r="F633" s="61"/>
      <c r="G633" s="61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</row>
    <row r="634" spans="1:27" ht="15" x14ac:dyDescent="0.25">
      <c r="A634" s="28"/>
      <c r="B634" s="28"/>
      <c r="C634" s="59"/>
      <c r="D634" s="59"/>
      <c r="E634" s="60"/>
      <c r="F634" s="61"/>
      <c r="G634" s="61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</row>
    <row r="635" spans="1:27" ht="15" x14ac:dyDescent="0.25">
      <c r="A635" s="28"/>
      <c r="B635" s="28"/>
      <c r="C635" s="59"/>
      <c r="D635" s="59"/>
      <c r="E635" s="60"/>
      <c r="F635" s="61"/>
      <c r="G635" s="61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</row>
    <row r="636" spans="1:27" ht="15" x14ac:dyDescent="0.25">
      <c r="A636" s="28"/>
      <c r="B636" s="28"/>
      <c r="C636" s="59"/>
      <c r="D636" s="59"/>
      <c r="E636" s="60"/>
      <c r="F636" s="61"/>
      <c r="G636" s="61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</row>
    <row r="637" spans="1:27" ht="15" x14ac:dyDescent="0.25">
      <c r="A637" s="28"/>
      <c r="B637" s="28"/>
      <c r="C637" s="59"/>
      <c r="D637" s="59"/>
      <c r="E637" s="60"/>
      <c r="F637" s="61"/>
      <c r="G637" s="61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</row>
    <row r="638" spans="1:27" ht="15" x14ac:dyDescent="0.25">
      <c r="A638" s="28"/>
      <c r="B638" s="28"/>
      <c r="C638" s="59"/>
      <c r="D638" s="59"/>
      <c r="E638" s="60"/>
      <c r="F638" s="61"/>
      <c r="G638" s="61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</row>
    <row r="639" spans="1:27" ht="15" x14ac:dyDescent="0.25">
      <c r="A639" s="28"/>
      <c r="B639" s="28"/>
      <c r="C639" s="59"/>
      <c r="D639" s="59"/>
      <c r="E639" s="60"/>
      <c r="F639" s="61"/>
      <c r="G639" s="61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</row>
    <row r="640" spans="1:27" ht="15" x14ac:dyDescent="0.25">
      <c r="A640" s="28"/>
      <c r="B640" s="28"/>
      <c r="C640" s="59"/>
      <c r="D640" s="59"/>
      <c r="E640" s="60"/>
      <c r="F640" s="61"/>
      <c r="G640" s="61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</row>
    <row r="641" spans="1:27" ht="15" x14ac:dyDescent="0.25">
      <c r="A641" s="28"/>
      <c r="B641" s="28"/>
      <c r="C641" s="59"/>
      <c r="D641" s="59"/>
      <c r="E641" s="60"/>
      <c r="F641" s="61"/>
      <c r="G641" s="61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</row>
    <row r="642" spans="1:27" ht="15" x14ac:dyDescent="0.25">
      <c r="A642" s="28"/>
      <c r="B642" s="28"/>
      <c r="C642" s="59"/>
      <c r="D642" s="59"/>
      <c r="E642" s="60"/>
      <c r="F642" s="61"/>
      <c r="G642" s="61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</row>
    <row r="643" spans="1:27" ht="15" x14ac:dyDescent="0.25">
      <c r="A643" s="28"/>
      <c r="B643" s="28"/>
      <c r="C643" s="59"/>
      <c r="D643" s="59"/>
      <c r="E643" s="60"/>
      <c r="F643" s="61"/>
      <c r="G643" s="61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</row>
    <row r="644" spans="1:27" ht="15" x14ac:dyDescent="0.25">
      <c r="A644" s="28"/>
      <c r="B644" s="28"/>
      <c r="C644" s="59"/>
      <c r="D644" s="59"/>
      <c r="E644" s="60"/>
      <c r="F644" s="61"/>
      <c r="G644" s="61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</row>
    <row r="645" spans="1:27" ht="15" x14ac:dyDescent="0.25">
      <c r="A645" s="28"/>
      <c r="B645" s="28"/>
      <c r="C645" s="59"/>
      <c r="D645" s="59"/>
      <c r="E645" s="60"/>
      <c r="F645" s="61"/>
      <c r="G645" s="61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</row>
    <row r="646" spans="1:27" ht="15" x14ac:dyDescent="0.25">
      <c r="A646" s="28"/>
      <c r="B646" s="28"/>
      <c r="C646" s="59"/>
      <c r="D646" s="59"/>
      <c r="E646" s="60"/>
      <c r="F646" s="61"/>
      <c r="G646" s="61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</row>
    <row r="647" spans="1:27" ht="15" x14ac:dyDescent="0.25">
      <c r="A647" s="28"/>
      <c r="B647" s="28"/>
      <c r="C647" s="59"/>
      <c r="D647" s="59"/>
      <c r="E647" s="60"/>
      <c r="F647" s="61"/>
      <c r="G647" s="61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</row>
    <row r="648" spans="1:27" ht="15" x14ac:dyDescent="0.25">
      <c r="A648" s="28"/>
      <c r="B648" s="28"/>
      <c r="C648" s="59"/>
      <c r="D648" s="59"/>
      <c r="E648" s="60"/>
      <c r="F648" s="61"/>
      <c r="G648" s="61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</row>
    <row r="649" spans="1:27" ht="15" x14ac:dyDescent="0.25">
      <c r="A649" s="28"/>
      <c r="B649" s="28"/>
      <c r="C649" s="59"/>
      <c r="D649" s="59"/>
      <c r="E649" s="60"/>
      <c r="F649" s="61"/>
      <c r="G649" s="61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</row>
    <row r="650" spans="1:27" ht="15" x14ac:dyDescent="0.25">
      <c r="A650" s="28"/>
      <c r="B650" s="28"/>
      <c r="C650" s="59"/>
      <c r="D650" s="59"/>
      <c r="E650" s="60"/>
      <c r="F650" s="61"/>
      <c r="G650" s="61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</row>
    <row r="651" spans="1:27" ht="15" x14ac:dyDescent="0.25">
      <c r="A651" s="28"/>
      <c r="B651" s="28"/>
      <c r="C651" s="59"/>
      <c r="D651" s="59"/>
      <c r="E651" s="60"/>
      <c r="F651" s="61"/>
      <c r="G651" s="61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</row>
    <row r="652" spans="1:27" ht="15" x14ac:dyDescent="0.25">
      <c r="A652" s="28"/>
      <c r="B652" s="28"/>
      <c r="C652" s="59"/>
      <c r="D652" s="59"/>
      <c r="E652" s="60"/>
      <c r="F652" s="61"/>
      <c r="G652" s="61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</row>
    <row r="653" spans="1:27" ht="15" x14ac:dyDescent="0.25">
      <c r="A653" s="28"/>
      <c r="B653" s="28"/>
      <c r="C653" s="59"/>
      <c r="D653" s="59"/>
      <c r="E653" s="60"/>
      <c r="F653" s="61"/>
      <c r="G653" s="61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</row>
    <row r="654" spans="1:27" ht="15" x14ac:dyDescent="0.25">
      <c r="A654" s="28"/>
      <c r="B654" s="28"/>
      <c r="C654" s="59"/>
      <c r="D654" s="59"/>
      <c r="E654" s="60"/>
      <c r="F654" s="61"/>
      <c r="G654" s="61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</row>
    <row r="655" spans="1:27" ht="15" x14ac:dyDescent="0.25">
      <c r="A655" s="28"/>
      <c r="B655" s="28"/>
      <c r="C655" s="59"/>
      <c r="D655" s="59"/>
      <c r="E655" s="60"/>
      <c r="F655" s="61"/>
      <c r="G655" s="61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</row>
    <row r="656" spans="1:27" ht="15" x14ac:dyDescent="0.25">
      <c r="A656" s="28"/>
      <c r="B656" s="28"/>
      <c r="C656" s="59"/>
      <c r="D656" s="59"/>
      <c r="E656" s="60"/>
      <c r="F656" s="61"/>
      <c r="G656" s="61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</row>
    <row r="657" spans="1:27" ht="15" x14ac:dyDescent="0.25">
      <c r="A657" s="28"/>
      <c r="B657" s="28"/>
      <c r="C657" s="59"/>
      <c r="D657" s="59"/>
      <c r="E657" s="60"/>
      <c r="F657" s="61"/>
      <c r="G657" s="61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</row>
    <row r="658" spans="1:27" ht="15" x14ac:dyDescent="0.25">
      <c r="A658" s="28"/>
      <c r="B658" s="28"/>
      <c r="C658" s="59"/>
      <c r="D658" s="59"/>
      <c r="E658" s="60"/>
      <c r="F658" s="61"/>
      <c r="G658" s="61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</row>
    <row r="659" spans="1:27" ht="15" x14ac:dyDescent="0.25">
      <c r="A659" s="28"/>
      <c r="B659" s="28"/>
      <c r="C659" s="59"/>
      <c r="D659" s="59"/>
      <c r="E659" s="60"/>
      <c r="F659" s="61"/>
      <c r="G659" s="61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</row>
    <row r="660" spans="1:27" ht="15" x14ac:dyDescent="0.25">
      <c r="A660" s="28"/>
      <c r="B660" s="28"/>
      <c r="C660" s="59"/>
      <c r="D660" s="59"/>
      <c r="E660" s="60"/>
      <c r="F660" s="61"/>
      <c r="G660" s="61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</row>
    <row r="661" spans="1:27" ht="15" x14ac:dyDescent="0.25">
      <c r="A661" s="28"/>
      <c r="B661" s="28"/>
      <c r="C661" s="59"/>
      <c r="D661" s="59"/>
      <c r="E661" s="60"/>
      <c r="F661" s="61"/>
      <c r="G661" s="61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</row>
    <row r="662" spans="1:27" ht="15" x14ac:dyDescent="0.25">
      <c r="A662" s="28"/>
      <c r="B662" s="28"/>
      <c r="C662" s="59"/>
      <c r="D662" s="59"/>
      <c r="E662" s="60"/>
      <c r="F662" s="61"/>
      <c r="G662" s="61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</row>
    <row r="663" spans="1:27" ht="15" x14ac:dyDescent="0.25">
      <c r="A663" s="28"/>
      <c r="B663" s="28"/>
      <c r="C663" s="59"/>
      <c r="D663" s="59"/>
      <c r="E663" s="60"/>
      <c r="F663" s="61"/>
      <c r="G663" s="61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</row>
    <row r="664" spans="1:27" ht="15" x14ac:dyDescent="0.25">
      <c r="A664" s="28"/>
      <c r="B664" s="28"/>
      <c r="C664" s="59"/>
      <c r="D664" s="59"/>
      <c r="E664" s="60"/>
      <c r="F664" s="61"/>
      <c r="G664" s="61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</row>
    <row r="665" spans="1:27" ht="15" x14ac:dyDescent="0.25">
      <c r="A665" s="28"/>
      <c r="B665" s="28"/>
      <c r="C665" s="59"/>
      <c r="D665" s="59"/>
      <c r="E665" s="60"/>
      <c r="F665" s="61"/>
      <c r="G665" s="61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</row>
    <row r="666" spans="1:27" ht="15" x14ac:dyDescent="0.25">
      <c r="A666" s="28"/>
      <c r="B666" s="28"/>
      <c r="C666" s="59"/>
      <c r="D666" s="59"/>
      <c r="E666" s="60"/>
      <c r="F666" s="61"/>
      <c r="G666" s="61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</row>
    <row r="667" spans="1:27" ht="15" x14ac:dyDescent="0.25">
      <c r="A667" s="28"/>
      <c r="B667" s="28"/>
      <c r="C667" s="59"/>
      <c r="D667" s="59"/>
      <c r="E667" s="60"/>
      <c r="F667" s="61"/>
      <c r="G667" s="61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</row>
    <row r="668" spans="1:27" ht="15" x14ac:dyDescent="0.25">
      <c r="A668" s="28"/>
      <c r="B668" s="28"/>
      <c r="C668" s="59"/>
      <c r="D668" s="59"/>
      <c r="E668" s="60"/>
      <c r="F668" s="61"/>
      <c r="G668" s="61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</row>
    <row r="669" spans="1:27" ht="15" x14ac:dyDescent="0.25">
      <c r="A669" s="28"/>
      <c r="B669" s="28"/>
      <c r="C669" s="59"/>
      <c r="D669" s="59"/>
      <c r="E669" s="60"/>
      <c r="F669" s="61"/>
      <c r="G669" s="61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</row>
    <row r="670" spans="1:27" ht="15" x14ac:dyDescent="0.25">
      <c r="A670" s="28"/>
      <c r="B670" s="28"/>
      <c r="C670" s="59"/>
      <c r="D670" s="59"/>
      <c r="E670" s="60"/>
      <c r="F670" s="61"/>
      <c r="G670" s="61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</row>
    <row r="671" spans="1:27" ht="15" x14ac:dyDescent="0.25">
      <c r="A671" s="28"/>
      <c r="B671" s="28"/>
      <c r="C671" s="59"/>
      <c r="D671" s="59"/>
      <c r="E671" s="60"/>
      <c r="F671" s="61"/>
      <c r="G671" s="61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</row>
    <row r="672" spans="1:27" ht="15" x14ac:dyDescent="0.25">
      <c r="A672" s="28"/>
      <c r="B672" s="28"/>
      <c r="C672" s="59"/>
      <c r="D672" s="59"/>
      <c r="E672" s="60"/>
      <c r="F672" s="61"/>
      <c r="G672" s="61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</row>
    <row r="673" spans="1:27" ht="15" x14ac:dyDescent="0.25">
      <c r="A673" s="28"/>
      <c r="B673" s="28"/>
      <c r="C673" s="59"/>
      <c r="D673" s="59"/>
      <c r="E673" s="60"/>
      <c r="F673" s="61"/>
      <c r="G673" s="61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</row>
    <row r="674" spans="1:27" ht="15" x14ac:dyDescent="0.25">
      <c r="A674" s="28"/>
      <c r="B674" s="28"/>
      <c r="C674" s="59"/>
      <c r="D674" s="59"/>
      <c r="E674" s="60"/>
      <c r="F674" s="61"/>
      <c r="G674" s="61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</row>
    <row r="675" spans="1:27" ht="15" x14ac:dyDescent="0.25">
      <c r="A675" s="28"/>
      <c r="B675" s="28"/>
      <c r="C675" s="59"/>
      <c r="D675" s="59"/>
      <c r="E675" s="60"/>
      <c r="F675" s="61"/>
      <c r="G675" s="61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</row>
    <row r="676" spans="1:27" ht="15" x14ac:dyDescent="0.25">
      <c r="A676" s="28"/>
      <c r="B676" s="28"/>
      <c r="C676" s="59"/>
      <c r="D676" s="59"/>
      <c r="E676" s="60"/>
      <c r="F676" s="61"/>
      <c r="G676" s="61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</row>
    <row r="677" spans="1:27" ht="15" x14ac:dyDescent="0.25">
      <c r="A677" s="28"/>
      <c r="B677" s="28"/>
      <c r="C677" s="59"/>
      <c r="D677" s="59"/>
      <c r="E677" s="60"/>
      <c r="F677" s="61"/>
      <c r="G677" s="61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</row>
    <row r="678" spans="1:27" ht="15" x14ac:dyDescent="0.25">
      <c r="A678" s="28"/>
      <c r="B678" s="28"/>
      <c r="C678" s="59"/>
      <c r="D678" s="59"/>
      <c r="E678" s="60"/>
      <c r="F678" s="61"/>
      <c r="G678" s="61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</row>
    <row r="679" spans="1:27" ht="15" x14ac:dyDescent="0.25">
      <c r="A679" s="28"/>
      <c r="B679" s="28"/>
      <c r="C679" s="59"/>
      <c r="D679" s="59"/>
      <c r="E679" s="60"/>
      <c r="F679" s="61"/>
      <c r="G679" s="61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</row>
    <row r="680" spans="1:27" ht="15" x14ac:dyDescent="0.25">
      <c r="A680" s="28"/>
      <c r="B680" s="28"/>
      <c r="C680" s="59"/>
      <c r="D680" s="59"/>
      <c r="E680" s="60"/>
      <c r="F680" s="61"/>
      <c r="G680" s="61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</row>
    <row r="681" spans="1:27" ht="15" x14ac:dyDescent="0.25">
      <c r="A681" s="28"/>
      <c r="B681" s="28"/>
      <c r="C681" s="59"/>
      <c r="D681" s="59"/>
      <c r="E681" s="60"/>
      <c r="F681" s="61"/>
      <c r="G681" s="61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</row>
    <row r="682" spans="1:27" ht="15" x14ac:dyDescent="0.25">
      <c r="A682" s="28"/>
      <c r="B682" s="28"/>
      <c r="C682" s="59"/>
      <c r="D682" s="59"/>
      <c r="E682" s="60"/>
      <c r="F682" s="61"/>
      <c r="G682" s="61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</row>
    <row r="683" spans="1:27" ht="15" x14ac:dyDescent="0.25">
      <c r="A683" s="28"/>
      <c r="B683" s="28"/>
      <c r="C683" s="59"/>
      <c r="D683" s="59"/>
      <c r="E683" s="60"/>
      <c r="F683" s="61"/>
      <c r="G683" s="61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</row>
    <row r="684" spans="1:27" ht="15" x14ac:dyDescent="0.25">
      <c r="A684" s="28"/>
      <c r="B684" s="28"/>
      <c r="C684" s="59"/>
      <c r="D684" s="59"/>
      <c r="E684" s="60"/>
      <c r="F684" s="61"/>
      <c r="G684" s="61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</row>
    <row r="685" spans="1:27" ht="15" x14ac:dyDescent="0.25">
      <c r="A685" s="28"/>
      <c r="B685" s="28"/>
      <c r="C685" s="59"/>
      <c r="D685" s="59"/>
      <c r="E685" s="60"/>
      <c r="F685" s="61"/>
      <c r="G685" s="61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</row>
    <row r="686" spans="1:27" ht="15" x14ac:dyDescent="0.25">
      <c r="A686" s="28"/>
      <c r="B686" s="28"/>
      <c r="C686" s="59"/>
      <c r="D686" s="59"/>
      <c r="E686" s="60"/>
      <c r="F686" s="61"/>
      <c r="G686" s="61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</row>
    <row r="687" spans="1:27" ht="15" x14ac:dyDescent="0.25">
      <c r="A687" s="28"/>
      <c r="B687" s="28"/>
      <c r="C687" s="59"/>
      <c r="D687" s="59"/>
      <c r="E687" s="60"/>
      <c r="F687" s="61"/>
      <c r="G687" s="61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</row>
    <row r="688" spans="1:27" ht="15" x14ac:dyDescent="0.25">
      <c r="A688" s="28"/>
      <c r="B688" s="28"/>
      <c r="C688" s="59"/>
      <c r="D688" s="59"/>
      <c r="E688" s="60"/>
      <c r="F688" s="61"/>
      <c r="G688" s="61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</row>
    <row r="689" spans="1:27" ht="15" x14ac:dyDescent="0.25">
      <c r="A689" s="28"/>
      <c r="B689" s="28"/>
      <c r="C689" s="59"/>
      <c r="D689" s="59"/>
      <c r="E689" s="60"/>
      <c r="F689" s="61"/>
      <c r="G689" s="61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</row>
    <row r="690" spans="1:27" ht="15" x14ac:dyDescent="0.25">
      <c r="A690" s="28"/>
      <c r="B690" s="28"/>
      <c r="C690" s="59"/>
      <c r="D690" s="59"/>
      <c r="E690" s="60"/>
      <c r="F690" s="61"/>
      <c r="G690" s="61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</row>
    <row r="691" spans="1:27" ht="15" x14ac:dyDescent="0.25">
      <c r="A691" s="28"/>
      <c r="B691" s="28"/>
      <c r="C691" s="59"/>
      <c r="D691" s="59"/>
      <c r="E691" s="60"/>
      <c r="F691" s="61"/>
      <c r="G691" s="61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</row>
    <row r="692" spans="1:27" ht="15" x14ac:dyDescent="0.25">
      <c r="A692" s="28"/>
      <c r="B692" s="28"/>
      <c r="C692" s="59"/>
      <c r="D692" s="59"/>
      <c r="E692" s="60"/>
      <c r="F692" s="61"/>
      <c r="G692" s="61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</row>
    <row r="693" spans="1:27" ht="15" x14ac:dyDescent="0.25">
      <c r="A693" s="28"/>
      <c r="B693" s="28"/>
      <c r="C693" s="59"/>
      <c r="D693" s="59"/>
      <c r="E693" s="60"/>
      <c r="F693" s="61"/>
      <c r="G693" s="61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</row>
    <row r="694" spans="1:27" ht="15" x14ac:dyDescent="0.25">
      <c r="A694" s="28"/>
      <c r="B694" s="28"/>
      <c r="C694" s="59"/>
      <c r="D694" s="59"/>
      <c r="E694" s="60"/>
      <c r="F694" s="61"/>
      <c r="G694" s="61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</row>
    <row r="695" spans="1:27" ht="15" x14ac:dyDescent="0.25">
      <c r="A695" s="28"/>
      <c r="B695" s="28"/>
      <c r="C695" s="59"/>
      <c r="D695" s="59"/>
      <c r="E695" s="60"/>
      <c r="F695" s="61"/>
      <c r="G695" s="61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</row>
    <row r="696" spans="1:27" ht="15" x14ac:dyDescent="0.25">
      <c r="A696" s="28"/>
      <c r="B696" s="28"/>
      <c r="C696" s="59"/>
      <c r="D696" s="59"/>
      <c r="E696" s="60"/>
      <c r="F696" s="61"/>
      <c r="G696" s="61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</row>
    <row r="697" spans="1:27" ht="15" x14ac:dyDescent="0.25">
      <c r="A697" s="28"/>
      <c r="B697" s="28"/>
      <c r="C697" s="59"/>
      <c r="D697" s="59"/>
      <c r="E697" s="60"/>
      <c r="F697" s="61"/>
      <c r="G697" s="61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</row>
    <row r="698" spans="1:27" ht="15" x14ac:dyDescent="0.25">
      <c r="A698" s="28"/>
      <c r="B698" s="28"/>
      <c r="C698" s="59"/>
      <c r="D698" s="59"/>
      <c r="E698" s="60"/>
      <c r="F698" s="61"/>
      <c r="G698" s="61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</row>
    <row r="699" spans="1:27" ht="15" x14ac:dyDescent="0.25">
      <c r="A699" s="28"/>
      <c r="B699" s="28"/>
      <c r="C699" s="59"/>
      <c r="D699" s="59"/>
      <c r="E699" s="60"/>
      <c r="F699" s="61"/>
      <c r="G699" s="61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</row>
    <row r="700" spans="1:27" ht="15" x14ac:dyDescent="0.25">
      <c r="A700" s="28"/>
      <c r="B700" s="28"/>
      <c r="C700" s="59"/>
      <c r="D700" s="59"/>
      <c r="E700" s="60"/>
      <c r="F700" s="61"/>
      <c r="G700" s="61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</row>
    <row r="701" spans="1:27" ht="15" x14ac:dyDescent="0.25">
      <c r="A701" s="28"/>
      <c r="B701" s="28"/>
      <c r="C701" s="59"/>
      <c r="D701" s="59"/>
      <c r="E701" s="60"/>
      <c r="F701" s="61"/>
      <c r="G701" s="61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</row>
    <row r="702" spans="1:27" ht="15" x14ac:dyDescent="0.25">
      <c r="A702" s="28"/>
      <c r="B702" s="28"/>
      <c r="C702" s="59"/>
      <c r="D702" s="59"/>
      <c r="E702" s="60"/>
      <c r="F702" s="61"/>
      <c r="G702" s="61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</row>
    <row r="703" spans="1:27" ht="15" x14ac:dyDescent="0.25">
      <c r="A703" s="28"/>
      <c r="B703" s="28"/>
      <c r="C703" s="59"/>
      <c r="D703" s="59"/>
      <c r="E703" s="60"/>
      <c r="F703" s="61"/>
      <c r="G703" s="61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</row>
    <row r="704" spans="1:27" ht="15" x14ac:dyDescent="0.25">
      <c r="A704" s="28"/>
      <c r="B704" s="28"/>
      <c r="C704" s="59"/>
      <c r="D704" s="59"/>
      <c r="E704" s="60"/>
      <c r="F704" s="61"/>
      <c r="G704" s="61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</row>
    <row r="705" spans="1:27" ht="15" x14ac:dyDescent="0.25">
      <c r="A705" s="28"/>
      <c r="B705" s="28"/>
      <c r="C705" s="59"/>
      <c r="D705" s="59"/>
      <c r="E705" s="60"/>
      <c r="F705" s="61"/>
      <c r="G705" s="61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</row>
    <row r="706" spans="1:27" ht="15" x14ac:dyDescent="0.25">
      <c r="A706" s="28"/>
      <c r="B706" s="28"/>
      <c r="C706" s="59"/>
      <c r="D706" s="59"/>
      <c r="E706" s="60"/>
      <c r="F706" s="61"/>
      <c r="G706" s="61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</row>
    <row r="707" spans="1:27" ht="15" x14ac:dyDescent="0.25">
      <c r="A707" s="28"/>
      <c r="B707" s="28"/>
      <c r="C707" s="59"/>
      <c r="D707" s="59"/>
      <c r="E707" s="60"/>
      <c r="F707" s="61"/>
      <c r="G707" s="61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</row>
    <row r="708" spans="1:27" ht="15" x14ac:dyDescent="0.25">
      <c r="A708" s="28"/>
      <c r="B708" s="28"/>
      <c r="C708" s="59"/>
      <c r="D708" s="59"/>
      <c r="E708" s="60"/>
      <c r="F708" s="61"/>
      <c r="G708" s="61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</row>
    <row r="709" spans="1:27" ht="15" x14ac:dyDescent="0.25">
      <c r="A709" s="28"/>
      <c r="B709" s="28"/>
      <c r="C709" s="59"/>
      <c r="D709" s="59"/>
      <c r="E709" s="60"/>
      <c r="F709" s="61"/>
      <c r="G709" s="61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</row>
    <row r="710" spans="1:27" ht="15" x14ac:dyDescent="0.25">
      <c r="A710" s="28"/>
      <c r="B710" s="28"/>
      <c r="C710" s="59"/>
      <c r="D710" s="59"/>
      <c r="E710" s="60"/>
      <c r="F710" s="61"/>
      <c r="G710" s="61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</row>
    <row r="711" spans="1:27" ht="15" x14ac:dyDescent="0.25">
      <c r="A711" s="28"/>
      <c r="B711" s="28"/>
      <c r="C711" s="59"/>
      <c r="D711" s="59"/>
      <c r="E711" s="60"/>
      <c r="F711" s="61"/>
      <c r="G711" s="61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</row>
    <row r="712" spans="1:27" ht="15" x14ac:dyDescent="0.25">
      <c r="A712" s="28"/>
      <c r="B712" s="28"/>
      <c r="C712" s="59"/>
      <c r="D712" s="59"/>
      <c r="E712" s="60"/>
      <c r="F712" s="61"/>
      <c r="G712" s="61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</row>
    <row r="713" spans="1:27" ht="15" x14ac:dyDescent="0.25">
      <c r="A713" s="28"/>
      <c r="B713" s="28"/>
      <c r="C713" s="59"/>
      <c r="D713" s="59"/>
      <c r="E713" s="60"/>
      <c r="F713" s="61"/>
      <c r="G713" s="61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</row>
    <row r="714" spans="1:27" ht="15" x14ac:dyDescent="0.25">
      <c r="A714" s="28"/>
      <c r="B714" s="28"/>
      <c r="C714" s="59"/>
      <c r="D714" s="59"/>
      <c r="E714" s="60"/>
      <c r="F714" s="61"/>
      <c r="G714" s="61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</row>
    <row r="715" spans="1:27" ht="15" x14ac:dyDescent="0.25">
      <c r="A715" s="28"/>
      <c r="B715" s="28"/>
      <c r="C715" s="59"/>
      <c r="D715" s="59"/>
      <c r="E715" s="60"/>
      <c r="F715" s="61"/>
      <c r="G715" s="61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</row>
    <row r="716" spans="1:27" ht="15" x14ac:dyDescent="0.25">
      <c r="A716" s="28"/>
      <c r="B716" s="28"/>
      <c r="C716" s="59"/>
      <c r="D716" s="59"/>
      <c r="E716" s="60"/>
      <c r="F716" s="61"/>
      <c r="G716" s="61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</row>
    <row r="717" spans="1:27" ht="15" x14ac:dyDescent="0.25">
      <c r="A717" s="28"/>
      <c r="B717" s="28"/>
      <c r="C717" s="59"/>
      <c r="D717" s="59"/>
      <c r="E717" s="60"/>
      <c r="F717" s="61"/>
      <c r="G717" s="61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</row>
    <row r="718" spans="1:27" ht="15" x14ac:dyDescent="0.25">
      <c r="A718" s="28"/>
      <c r="B718" s="28"/>
      <c r="C718" s="59"/>
      <c r="D718" s="59"/>
      <c r="E718" s="60"/>
      <c r="F718" s="61"/>
      <c r="G718" s="61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</row>
    <row r="719" spans="1:27" ht="15" x14ac:dyDescent="0.25">
      <c r="A719" s="28"/>
      <c r="B719" s="28"/>
      <c r="C719" s="59"/>
      <c r="D719" s="59"/>
      <c r="E719" s="60"/>
      <c r="F719" s="61"/>
      <c r="G719" s="61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</row>
    <row r="720" spans="1:27" ht="15" x14ac:dyDescent="0.25">
      <c r="A720" s="28"/>
      <c r="B720" s="28"/>
      <c r="C720" s="59"/>
      <c r="D720" s="59"/>
      <c r="E720" s="60"/>
      <c r="F720" s="61"/>
      <c r="G720" s="61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</row>
    <row r="721" spans="1:27" ht="15" x14ac:dyDescent="0.25">
      <c r="A721" s="28"/>
      <c r="B721" s="28"/>
      <c r="C721" s="59"/>
      <c r="D721" s="59"/>
      <c r="E721" s="60"/>
      <c r="F721" s="61"/>
      <c r="G721" s="61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</row>
    <row r="722" spans="1:27" ht="15" x14ac:dyDescent="0.25">
      <c r="A722" s="28"/>
      <c r="B722" s="28"/>
      <c r="C722" s="59"/>
      <c r="D722" s="59"/>
      <c r="E722" s="60"/>
      <c r="F722" s="61"/>
      <c r="G722" s="61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</row>
    <row r="723" spans="1:27" ht="15" x14ac:dyDescent="0.25">
      <c r="A723" s="28"/>
      <c r="B723" s="28"/>
      <c r="C723" s="59"/>
      <c r="D723" s="59"/>
      <c r="E723" s="60"/>
      <c r="F723" s="61"/>
      <c r="G723" s="61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</row>
    <row r="724" spans="1:27" ht="15" x14ac:dyDescent="0.25">
      <c r="A724" s="28"/>
      <c r="B724" s="28"/>
      <c r="C724" s="59"/>
      <c r="D724" s="59"/>
      <c r="E724" s="60"/>
      <c r="F724" s="61"/>
      <c r="G724" s="61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</row>
    <row r="725" spans="1:27" ht="15" x14ac:dyDescent="0.25">
      <c r="A725" s="28"/>
      <c r="B725" s="28"/>
      <c r="C725" s="59"/>
      <c r="D725" s="59"/>
      <c r="E725" s="60"/>
      <c r="F725" s="61"/>
      <c r="G725" s="61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</row>
    <row r="726" spans="1:27" ht="15" x14ac:dyDescent="0.25">
      <c r="A726" s="28"/>
      <c r="B726" s="28"/>
      <c r="C726" s="59"/>
      <c r="D726" s="59"/>
      <c r="E726" s="60"/>
      <c r="F726" s="61"/>
      <c r="G726" s="61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</row>
    <row r="727" spans="1:27" ht="15" x14ac:dyDescent="0.25">
      <c r="A727" s="28"/>
      <c r="B727" s="28"/>
      <c r="C727" s="59"/>
      <c r="D727" s="59"/>
      <c r="E727" s="60"/>
      <c r="F727" s="61"/>
      <c r="G727" s="61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</row>
    <row r="728" spans="1:27" ht="15" x14ac:dyDescent="0.25">
      <c r="A728" s="28"/>
      <c r="B728" s="28"/>
      <c r="C728" s="59"/>
      <c r="D728" s="59"/>
      <c r="E728" s="60"/>
      <c r="F728" s="61"/>
      <c r="G728" s="61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</row>
    <row r="729" spans="1:27" ht="15" x14ac:dyDescent="0.25">
      <c r="A729" s="28"/>
      <c r="B729" s="28"/>
      <c r="C729" s="59"/>
      <c r="D729" s="59"/>
      <c r="E729" s="60"/>
      <c r="F729" s="61"/>
      <c r="G729" s="61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</row>
    <row r="730" spans="1:27" ht="15" x14ac:dyDescent="0.25">
      <c r="A730" s="28"/>
      <c r="B730" s="28"/>
      <c r="C730" s="59"/>
      <c r="D730" s="59"/>
      <c r="E730" s="60"/>
      <c r="F730" s="61"/>
      <c r="G730" s="61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</row>
    <row r="731" spans="1:27" ht="15" x14ac:dyDescent="0.25">
      <c r="A731" s="28"/>
      <c r="B731" s="28"/>
      <c r="C731" s="59"/>
      <c r="D731" s="59"/>
      <c r="E731" s="60"/>
      <c r="F731" s="61"/>
      <c r="G731" s="61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</row>
    <row r="732" spans="1:27" ht="15" x14ac:dyDescent="0.25">
      <c r="A732" s="28"/>
      <c r="B732" s="28"/>
      <c r="C732" s="59"/>
      <c r="D732" s="59"/>
      <c r="E732" s="60"/>
      <c r="F732" s="61"/>
      <c r="G732" s="61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</row>
    <row r="733" spans="1:27" ht="15" x14ac:dyDescent="0.25">
      <c r="A733" s="28"/>
      <c r="B733" s="28"/>
      <c r="C733" s="59"/>
      <c r="D733" s="59"/>
      <c r="E733" s="60"/>
      <c r="F733" s="61"/>
      <c r="G733" s="61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</row>
    <row r="734" spans="1:27" ht="15" x14ac:dyDescent="0.25">
      <c r="A734" s="28"/>
      <c r="B734" s="28"/>
      <c r="C734" s="59"/>
      <c r="D734" s="59"/>
      <c r="E734" s="60"/>
      <c r="F734" s="61"/>
      <c r="G734" s="61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</row>
    <row r="735" spans="1:27" ht="15" x14ac:dyDescent="0.25">
      <c r="A735" s="28"/>
      <c r="B735" s="28"/>
      <c r="C735" s="59"/>
      <c r="D735" s="59"/>
      <c r="E735" s="60"/>
      <c r="F735" s="61"/>
      <c r="G735" s="61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</row>
    <row r="736" spans="1:27" ht="15" x14ac:dyDescent="0.25">
      <c r="A736" s="28"/>
      <c r="B736" s="28"/>
      <c r="C736" s="59"/>
      <c r="D736" s="59"/>
      <c r="E736" s="60"/>
      <c r="F736" s="61"/>
      <c r="G736" s="61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</row>
    <row r="737" spans="1:27" ht="15" x14ac:dyDescent="0.25">
      <c r="A737" s="28"/>
      <c r="B737" s="28"/>
      <c r="C737" s="59"/>
      <c r="D737" s="59"/>
      <c r="E737" s="60"/>
      <c r="F737" s="61"/>
      <c r="G737" s="61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</row>
    <row r="738" spans="1:27" ht="15" x14ac:dyDescent="0.25">
      <c r="A738" s="28"/>
      <c r="B738" s="28"/>
      <c r="C738" s="59"/>
      <c r="D738" s="59"/>
      <c r="E738" s="60"/>
      <c r="F738" s="61"/>
      <c r="G738" s="61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</row>
    <row r="739" spans="1:27" ht="15" x14ac:dyDescent="0.25">
      <c r="A739" s="28"/>
      <c r="B739" s="28"/>
      <c r="C739" s="59"/>
      <c r="D739" s="59"/>
      <c r="E739" s="60"/>
      <c r="F739" s="61"/>
      <c r="G739" s="61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</row>
    <row r="740" spans="1:27" ht="15" x14ac:dyDescent="0.25">
      <c r="A740" s="28"/>
      <c r="B740" s="28"/>
      <c r="C740" s="59"/>
      <c r="D740" s="59"/>
      <c r="E740" s="60"/>
      <c r="F740" s="61"/>
      <c r="G740" s="61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</row>
    <row r="741" spans="1:27" ht="15" x14ac:dyDescent="0.25">
      <c r="A741" s="28"/>
      <c r="B741" s="28"/>
      <c r="C741" s="59"/>
      <c r="D741" s="59"/>
      <c r="E741" s="60"/>
      <c r="F741" s="61"/>
      <c r="G741" s="61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</row>
    <row r="742" spans="1:27" ht="15" x14ac:dyDescent="0.25">
      <c r="A742" s="28"/>
      <c r="B742" s="28"/>
      <c r="C742" s="59"/>
      <c r="D742" s="59"/>
      <c r="E742" s="60"/>
      <c r="F742" s="61"/>
      <c r="G742" s="61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</row>
    <row r="743" spans="1:27" ht="15" x14ac:dyDescent="0.25">
      <c r="A743" s="28"/>
      <c r="B743" s="28"/>
      <c r="C743" s="59"/>
      <c r="D743" s="59"/>
      <c r="E743" s="60"/>
      <c r="F743" s="61"/>
      <c r="G743" s="61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</row>
    <row r="744" spans="1:27" ht="15" x14ac:dyDescent="0.25">
      <c r="A744" s="28"/>
      <c r="B744" s="28"/>
      <c r="C744" s="59"/>
      <c r="D744" s="59"/>
      <c r="E744" s="60"/>
      <c r="F744" s="61"/>
      <c r="G744" s="61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</row>
    <row r="745" spans="1:27" ht="15" x14ac:dyDescent="0.25">
      <c r="A745" s="28"/>
      <c r="B745" s="28"/>
      <c r="C745" s="59"/>
      <c r="D745" s="59"/>
      <c r="E745" s="60"/>
      <c r="F745" s="61"/>
      <c r="G745" s="61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</row>
    <row r="746" spans="1:27" ht="15" x14ac:dyDescent="0.25">
      <c r="A746" s="28"/>
      <c r="B746" s="28"/>
      <c r="C746" s="59"/>
      <c r="D746" s="59"/>
      <c r="E746" s="60"/>
      <c r="F746" s="61"/>
      <c r="G746" s="61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</row>
    <row r="747" spans="1:27" ht="15" x14ac:dyDescent="0.25">
      <c r="A747" s="28"/>
      <c r="B747" s="28"/>
      <c r="C747" s="59"/>
      <c r="D747" s="59"/>
      <c r="E747" s="60"/>
      <c r="F747" s="61"/>
      <c r="G747" s="61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</row>
    <row r="748" spans="1:27" ht="15" x14ac:dyDescent="0.25">
      <c r="A748" s="28"/>
      <c r="B748" s="28"/>
      <c r="C748" s="59"/>
      <c r="D748" s="59"/>
      <c r="E748" s="60"/>
      <c r="F748" s="61"/>
      <c r="G748" s="61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</row>
    <row r="749" spans="1:27" ht="15" x14ac:dyDescent="0.25">
      <c r="A749" s="28"/>
      <c r="B749" s="28"/>
      <c r="C749" s="59"/>
      <c r="D749" s="59"/>
      <c r="E749" s="60"/>
      <c r="F749" s="61"/>
      <c r="G749" s="61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</row>
    <row r="750" spans="1:27" ht="15" x14ac:dyDescent="0.25">
      <c r="A750" s="28"/>
      <c r="B750" s="28"/>
      <c r="C750" s="59"/>
      <c r="D750" s="59"/>
      <c r="E750" s="60"/>
      <c r="F750" s="61"/>
      <c r="G750" s="61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</row>
    <row r="751" spans="1:27" ht="15" x14ac:dyDescent="0.25">
      <c r="A751" s="28"/>
      <c r="B751" s="28"/>
      <c r="C751" s="59"/>
      <c r="D751" s="59"/>
      <c r="E751" s="60"/>
      <c r="F751" s="61"/>
      <c r="G751" s="61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</row>
    <row r="752" spans="1:27" ht="15" x14ac:dyDescent="0.25">
      <c r="A752" s="28"/>
      <c r="B752" s="28"/>
      <c r="C752" s="59"/>
      <c r="D752" s="59"/>
      <c r="E752" s="60"/>
      <c r="F752" s="61"/>
      <c r="G752" s="61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</row>
    <row r="753" spans="1:27" ht="15" x14ac:dyDescent="0.25">
      <c r="A753" s="28"/>
      <c r="B753" s="28"/>
      <c r="C753" s="59"/>
      <c r="D753" s="59"/>
      <c r="E753" s="60"/>
      <c r="F753" s="61"/>
      <c r="G753" s="61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</row>
    <row r="754" spans="1:27" ht="15" x14ac:dyDescent="0.25">
      <c r="A754" s="28"/>
      <c r="B754" s="28"/>
      <c r="C754" s="59"/>
      <c r="D754" s="59"/>
      <c r="E754" s="60"/>
      <c r="F754" s="61"/>
      <c r="G754" s="61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</row>
    <row r="755" spans="1:27" ht="15" x14ac:dyDescent="0.25">
      <c r="A755" s="28"/>
      <c r="B755" s="28"/>
      <c r="C755" s="59"/>
      <c r="D755" s="59"/>
      <c r="E755" s="60"/>
      <c r="F755" s="61"/>
      <c r="G755" s="61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</row>
    <row r="756" spans="1:27" ht="15" x14ac:dyDescent="0.25">
      <c r="A756" s="28"/>
      <c r="B756" s="28"/>
      <c r="C756" s="59"/>
      <c r="D756" s="59"/>
      <c r="E756" s="60"/>
      <c r="F756" s="61"/>
      <c r="G756" s="61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</row>
    <row r="757" spans="1:27" ht="15" x14ac:dyDescent="0.25">
      <c r="A757" s="28"/>
      <c r="B757" s="28"/>
      <c r="C757" s="59"/>
      <c r="D757" s="59"/>
      <c r="E757" s="60"/>
      <c r="F757" s="61"/>
      <c r="G757" s="61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</row>
    <row r="758" spans="1:27" ht="15" x14ac:dyDescent="0.25">
      <c r="A758" s="28"/>
      <c r="B758" s="28"/>
      <c r="C758" s="59"/>
      <c r="D758" s="59"/>
      <c r="E758" s="60"/>
      <c r="F758" s="61"/>
      <c r="G758" s="61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</row>
    <row r="759" spans="1:27" ht="15" x14ac:dyDescent="0.25">
      <c r="A759" s="28"/>
      <c r="B759" s="28"/>
      <c r="C759" s="59"/>
      <c r="D759" s="59"/>
      <c r="E759" s="60"/>
      <c r="F759" s="61"/>
      <c r="G759" s="61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</row>
    <row r="760" spans="1:27" ht="15" x14ac:dyDescent="0.25">
      <c r="A760" s="28"/>
      <c r="B760" s="28"/>
      <c r="C760" s="59"/>
      <c r="D760" s="59"/>
      <c r="E760" s="60"/>
      <c r="F760" s="61"/>
      <c r="G760" s="61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</row>
    <row r="761" spans="1:27" ht="15" x14ac:dyDescent="0.25">
      <c r="A761" s="28"/>
      <c r="B761" s="28"/>
      <c r="C761" s="59"/>
      <c r="D761" s="59"/>
      <c r="E761" s="60"/>
      <c r="F761" s="61"/>
      <c r="G761" s="61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</row>
    <row r="762" spans="1:27" ht="15" x14ac:dyDescent="0.25">
      <c r="A762" s="28"/>
      <c r="B762" s="28"/>
      <c r="C762" s="59"/>
      <c r="D762" s="59"/>
      <c r="E762" s="60"/>
      <c r="F762" s="61"/>
      <c r="G762" s="61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</row>
    <row r="763" spans="1:27" ht="15" x14ac:dyDescent="0.25">
      <c r="A763" s="28"/>
      <c r="B763" s="28"/>
      <c r="C763" s="59"/>
      <c r="D763" s="59"/>
      <c r="E763" s="60"/>
      <c r="F763" s="61"/>
      <c r="G763" s="61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</row>
    <row r="764" spans="1:27" ht="15" x14ac:dyDescent="0.25">
      <c r="A764" s="28"/>
      <c r="B764" s="28"/>
      <c r="C764" s="59"/>
      <c r="D764" s="59"/>
      <c r="E764" s="60"/>
      <c r="F764" s="61"/>
      <c r="G764" s="61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</row>
    <row r="765" spans="1:27" ht="15" x14ac:dyDescent="0.25">
      <c r="A765" s="28"/>
      <c r="B765" s="28"/>
      <c r="C765" s="59"/>
      <c r="D765" s="59"/>
      <c r="E765" s="60"/>
      <c r="F765" s="61"/>
      <c r="G765" s="61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</row>
    <row r="766" spans="1:27" ht="15" x14ac:dyDescent="0.25">
      <c r="A766" s="28"/>
      <c r="B766" s="28"/>
      <c r="C766" s="59"/>
      <c r="D766" s="59"/>
      <c r="E766" s="60"/>
      <c r="F766" s="61"/>
      <c r="G766" s="61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</row>
    <row r="767" spans="1:27" ht="15" x14ac:dyDescent="0.25">
      <c r="A767" s="28"/>
      <c r="B767" s="28"/>
      <c r="C767" s="59"/>
      <c r="D767" s="59"/>
      <c r="E767" s="60"/>
      <c r="F767" s="61"/>
      <c r="G767" s="61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</row>
    <row r="768" spans="1:27" ht="15" x14ac:dyDescent="0.25">
      <c r="A768" s="28"/>
      <c r="B768" s="28"/>
      <c r="C768" s="59"/>
      <c r="D768" s="59"/>
      <c r="E768" s="60"/>
      <c r="F768" s="61"/>
      <c r="G768" s="61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</row>
    <row r="769" spans="1:27" ht="15" x14ac:dyDescent="0.25">
      <c r="A769" s="28"/>
      <c r="B769" s="28"/>
      <c r="C769" s="59"/>
      <c r="D769" s="59"/>
      <c r="E769" s="60"/>
      <c r="F769" s="61"/>
      <c r="G769" s="61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</row>
    <row r="770" spans="1:27" ht="15" x14ac:dyDescent="0.25">
      <c r="A770" s="28"/>
      <c r="B770" s="28"/>
      <c r="C770" s="59"/>
      <c r="D770" s="59"/>
      <c r="E770" s="60"/>
      <c r="F770" s="61"/>
      <c r="G770" s="61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</row>
    <row r="771" spans="1:27" ht="15" x14ac:dyDescent="0.25">
      <c r="A771" s="28"/>
      <c r="B771" s="28"/>
      <c r="C771" s="59"/>
      <c r="D771" s="59"/>
      <c r="E771" s="60"/>
      <c r="F771" s="61"/>
      <c r="G771" s="61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</row>
    <row r="772" spans="1:27" ht="15" x14ac:dyDescent="0.25">
      <c r="A772" s="28"/>
      <c r="B772" s="28"/>
      <c r="C772" s="59"/>
      <c r="D772" s="59"/>
      <c r="E772" s="60"/>
      <c r="F772" s="61"/>
      <c r="G772" s="61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</row>
    <row r="773" spans="1:27" ht="15" x14ac:dyDescent="0.25">
      <c r="A773" s="28"/>
      <c r="B773" s="28"/>
      <c r="C773" s="59"/>
      <c r="D773" s="59"/>
      <c r="E773" s="60"/>
      <c r="F773" s="61"/>
      <c r="G773" s="61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</row>
    <row r="774" spans="1:27" ht="15" x14ac:dyDescent="0.25">
      <c r="A774" s="28"/>
      <c r="B774" s="28"/>
      <c r="C774" s="59"/>
      <c r="D774" s="59"/>
      <c r="E774" s="60"/>
      <c r="F774" s="61"/>
      <c r="G774" s="61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</row>
    <row r="775" spans="1:27" ht="15" x14ac:dyDescent="0.25">
      <c r="A775" s="28"/>
      <c r="B775" s="28"/>
      <c r="C775" s="59"/>
      <c r="D775" s="59"/>
      <c r="E775" s="60"/>
      <c r="F775" s="61"/>
      <c r="G775" s="61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</row>
    <row r="776" spans="1:27" ht="15" x14ac:dyDescent="0.25">
      <c r="A776" s="28"/>
      <c r="B776" s="28"/>
      <c r="C776" s="59"/>
      <c r="D776" s="59"/>
      <c r="E776" s="60"/>
      <c r="F776" s="61"/>
      <c r="G776" s="61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</row>
    <row r="777" spans="1:27" ht="15" x14ac:dyDescent="0.25">
      <c r="A777" s="28"/>
      <c r="B777" s="28"/>
      <c r="C777" s="59"/>
      <c r="D777" s="59"/>
      <c r="E777" s="60"/>
      <c r="F777" s="61"/>
      <c r="G777" s="61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</row>
    <row r="778" spans="1:27" ht="15" x14ac:dyDescent="0.25">
      <c r="A778" s="28"/>
      <c r="B778" s="28"/>
      <c r="C778" s="59"/>
      <c r="D778" s="59"/>
      <c r="E778" s="60"/>
      <c r="F778" s="61"/>
      <c r="G778" s="61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</row>
    <row r="779" spans="1:27" ht="15" x14ac:dyDescent="0.25">
      <c r="A779" s="28"/>
      <c r="B779" s="28"/>
      <c r="C779" s="59"/>
      <c r="D779" s="59"/>
      <c r="E779" s="60"/>
      <c r="F779" s="61"/>
      <c r="G779" s="61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</row>
    <row r="780" spans="1:27" ht="15" x14ac:dyDescent="0.25">
      <c r="A780" s="28"/>
      <c r="B780" s="28"/>
      <c r="C780" s="59"/>
      <c r="D780" s="59"/>
      <c r="E780" s="60"/>
      <c r="F780" s="61"/>
      <c r="G780" s="61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</row>
    <row r="781" spans="1:27" ht="15" x14ac:dyDescent="0.25">
      <c r="A781" s="28"/>
      <c r="B781" s="28"/>
      <c r="C781" s="59"/>
      <c r="D781" s="59"/>
      <c r="E781" s="60"/>
      <c r="F781" s="61"/>
      <c r="G781" s="61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</row>
    <row r="782" spans="1:27" ht="15" x14ac:dyDescent="0.25">
      <c r="A782" s="28"/>
      <c r="B782" s="28"/>
      <c r="C782" s="59"/>
      <c r="D782" s="59"/>
      <c r="E782" s="60"/>
      <c r="F782" s="61"/>
      <c r="G782" s="61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</row>
    <row r="783" spans="1:27" ht="15" x14ac:dyDescent="0.25">
      <c r="A783" s="28"/>
      <c r="B783" s="28"/>
      <c r="C783" s="59"/>
      <c r="D783" s="59"/>
      <c r="E783" s="60"/>
      <c r="F783" s="61"/>
      <c r="G783" s="61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</row>
    <row r="784" spans="1:27" ht="15" x14ac:dyDescent="0.25">
      <c r="A784" s="28"/>
      <c r="B784" s="28"/>
      <c r="C784" s="59"/>
      <c r="D784" s="59"/>
      <c r="E784" s="60"/>
      <c r="F784" s="61"/>
      <c r="G784" s="61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</row>
    <row r="785" spans="1:27" ht="15" x14ac:dyDescent="0.25">
      <c r="A785" s="28"/>
      <c r="B785" s="28"/>
      <c r="C785" s="59"/>
      <c r="D785" s="59"/>
      <c r="E785" s="60"/>
      <c r="F785" s="61"/>
      <c r="G785" s="61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</row>
    <row r="786" spans="1:27" ht="15" x14ac:dyDescent="0.25">
      <c r="A786" s="28"/>
      <c r="B786" s="28"/>
      <c r="C786" s="59"/>
      <c r="D786" s="59"/>
      <c r="E786" s="60"/>
      <c r="F786" s="61"/>
      <c r="G786" s="61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</row>
    <row r="787" spans="1:27" ht="15" x14ac:dyDescent="0.25">
      <c r="A787" s="28"/>
      <c r="B787" s="28"/>
      <c r="C787" s="59"/>
      <c r="D787" s="59"/>
      <c r="E787" s="60"/>
      <c r="F787" s="61"/>
      <c r="G787" s="61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</row>
    <row r="788" spans="1:27" ht="15" x14ac:dyDescent="0.25">
      <c r="A788" s="28"/>
      <c r="B788" s="28"/>
      <c r="C788" s="59"/>
      <c r="D788" s="59"/>
      <c r="E788" s="60"/>
      <c r="F788" s="61"/>
      <c r="G788" s="61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</row>
    <row r="789" spans="1:27" ht="15" x14ac:dyDescent="0.25">
      <c r="A789" s="28"/>
      <c r="B789" s="28"/>
      <c r="C789" s="59"/>
      <c r="D789" s="59"/>
      <c r="E789" s="60"/>
      <c r="F789" s="61"/>
      <c r="G789" s="61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</row>
    <row r="790" spans="1:27" ht="15" x14ac:dyDescent="0.25">
      <c r="A790" s="28"/>
      <c r="B790" s="28"/>
      <c r="C790" s="59"/>
      <c r="D790" s="59"/>
      <c r="E790" s="60"/>
      <c r="F790" s="61"/>
      <c r="G790" s="61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</row>
    <row r="791" spans="1:27" ht="15" x14ac:dyDescent="0.25">
      <c r="A791" s="28"/>
      <c r="B791" s="28"/>
      <c r="C791" s="59"/>
      <c r="D791" s="59"/>
      <c r="E791" s="60"/>
      <c r="F791" s="61"/>
      <c r="G791" s="61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</row>
    <row r="792" spans="1:27" ht="15" x14ac:dyDescent="0.25">
      <c r="A792" s="28"/>
      <c r="B792" s="28"/>
      <c r="C792" s="59"/>
      <c r="D792" s="59"/>
      <c r="E792" s="60"/>
      <c r="F792" s="61"/>
      <c r="G792" s="61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</row>
    <row r="793" spans="1:27" ht="15" x14ac:dyDescent="0.25">
      <c r="A793" s="28"/>
      <c r="B793" s="28"/>
      <c r="C793" s="59"/>
      <c r="D793" s="59"/>
      <c r="E793" s="60"/>
      <c r="F793" s="61"/>
      <c r="G793" s="61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</row>
    <row r="794" spans="1:27" ht="15" x14ac:dyDescent="0.25">
      <c r="A794" s="28"/>
      <c r="B794" s="28"/>
      <c r="C794" s="59"/>
      <c r="D794" s="59"/>
      <c r="E794" s="60"/>
      <c r="F794" s="61"/>
      <c r="G794" s="61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</row>
    <row r="795" spans="1:27" ht="15" x14ac:dyDescent="0.25">
      <c r="A795" s="28"/>
      <c r="B795" s="28"/>
      <c r="C795" s="59"/>
      <c r="D795" s="59"/>
      <c r="E795" s="60"/>
      <c r="F795" s="61"/>
      <c r="G795" s="61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</row>
    <row r="796" spans="1:27" ht="15" x14ac:dyDescent="0.25">
      <c r="A796" s="28"/>
      <c r="B796" s="28"/>
      <c r="C796" s="59"/>
      <c r="D796" s="59"/>
      <c r="E796" s="60"/>
      <c r="F796" s="61"/>
      <c r="G796" s="61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</row>
    <row r="797" spans="1:27" ht="15" x14ac:dyDescent="0.25">
      <c r="A797" s="28"/>
      <c r="B797" s="28"/>
      <c r="C797" s="59"/>
      <c r="D797" s="59"/>
      <c r="E797" s="60"/>
      <c r="F797" s="61"/>
      <c r="G797" s="61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</row>
    <row r="798" spans="1:27" ht="15" x14ac:dyDescent="0.25">
      <c r="A798" s="28"/>
      <c r="B798" s="28"/>
      <c r="C798" s="59"/>
      <c r="D798" s="59"/>
      <c r="E798" s="60"/>
      <c r="F798" s="61"/>
      <c r="G798" s="61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</row>
    <row r="799" spans="1:27" ht="15" x14ac:dyDescent="0.25">
      <c r="A799" s="28"/>
      <c r="B799" s="28"/>
      <c r="C799" s="59"/>
      <c r="D799" s="59"/>
      <c r="E799" s="60"/>
      <c r="F799" s="61"/>
      <c r="G799" s="61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</row>
    <row r="800" spans="1:27" ht="15" x14ac:dyDescent="0.25">
      <c r="A800" s="28"/>
      <c r="B800" s="28"/>
      <c r="C800" s="59"/>
      <c r="D800" s="59"/>
      <c r="E800" s="60"/>
      <c r="F800" s="61"/>
      <c r="G800" s="61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</row>
    <row r="801" spans="1:27" ht="15" x14ac:dyDescent="0.25">
      <c r="A801" s="28"/>
      <c r="B801" s="28"/>
      <c r="C801" s="59"/>
      <c r="D801" s="59"/>
      <c r="E801" s="60"/>
      <c r="F801" s="61"/>
      <c r="G801" s="61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</row>
    <row r="802" spans="1:27" ht="15" x14ac:dyDescent="0.25">
      <c r="A802" s="28"/>
      <c r="B802" s="28"/>
      <c r="C802" s="59"/>
      <c r="D802" s="59"/>
      <c r="E802" s="60"/>
      <c r="F802" s="61"/>
      <c r="G802" s="61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</row>
    <row r="803" spans="1:27" ht="15" x14ac:dyDescent="0.25">
      <c r="A803" s="28"/>
      <c r="B803" s="28"/>
      <c r="C803" s="59"/>
      <c r="D803" s="59"/>
      <c r="E803" s="60"/>
      <c r="F803" s="61"/>
      <c r="G803" s="61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</row>
    <row r="804" spans="1:27" ht="15" x14ac:dyDescent="0.25">
      <c r="A804" s="28"/>
      <c r="B804" s="28"/>
      <c r="C804" s="59"/>
      <c r="D804" s="59"/>
      <c r="E804" s="60"/>
      <c r="F804" s="61"/>
      <c r="G804" s="61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</row>
    <row r="805" spans="1:27" ht="15" x14ac:dyDescent="0.25">
      <c r="A805" s="28"/>
      <c r="B805" s="28"/>
      <c r="C805" s="59"/>
      <c r="D805" s="59"/>
      <c r="E805" s="60"/>
      <c r="F805" s="61"/>
      <c r="G805" s="61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</row>
    <row r="806" spans="1:27" ht="15" x14ac:dyDescent="0.25">
      <c r="A806" s="28"/>
      <c r="B806" s="28"/>
      <c r="C806" s="59"/>
      <c r="D806" s="59"/>
      <c r="E806" s="60"/>
      <c r="F806" s="61"/>
      <c r="G806" s="61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</row>
    <row r="807" spans="1:27" ht="15" x14ac:dyDescent="0.25">
      <c r="A807" s="28"/>
      <c r="B807" s="28"/>
      <c r="C807" s="59"/>
      <c r="D807" s="59"/>
      <c r="E807" s="60"/>
      <c r="F807" s="61"/>
      <c r="G807" s="61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</row>
    <row r="808" spans="1:27" ht="15" x14ac:dyDescent="0.25">
      <c r="A808" s="28"/>
      <c r="B808" s="28"/>
      <c r="C808" s="59"/>
      <c r="D808" s="59"/>
      <c r="E808" s="60"/>
      <c r="F808" s="61"/>
      <c r="G808" s="61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</row>
    <row r="809" spans="1:27" ht="15" x14ac:dyDescent="0.25">
      <c r="A809" s="28"/>
      <c r="B809" s="28"/>
      <c r="C809" s="59"/>
      <c r="D809" s="59"/>
      <c r="E809" s="60"/>
      <c r="F809" s="61"/>
      <c r="G809" s="61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</row>
    <row r="810" spans="1:27" ht="15" x14ac:dyDescent="0.25">
      <c r="A810" s="28"/>
      <c r="B810" s="28"/>
      <c r="C810" s="59"/>
      <c r="D810" s="59"/>
      <c r="E810" s="60"/>
      <c r="F810" s="61"/>
      <c r="G810" s="61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</row>
    <row r="811" spans="1:27" ht="15" x14ac:dyDescent="0.25">
      <c r="A811" s="28"/>
      <c r="B811" s="28"/>
      <c r="C811" s="59"/>
      <c r="D811" s="59"/>
      <c r="E811" s="60"/>
      <c r="F811" s="61"/>
      <c r="G811" s="61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</row>
    <row r="812" spans="1:27" ht="15" x14ac:dyDescent="0.25">
      <c r="A812" s="28"/>
      <c r="B812" s="28"/>
      <c r="C812" s="59"/>
      <c r="D812" s="59"/>
      <c r="E812" s="60"/>
      <c r="F812" s="61"/>
      <c r="G812" s="61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</row>
    <row r="813" spans="1:27" ht="15" x14ac:dyDescent="0.25">
      <c r="A813" s="28"/>
      <c r="B813" s="28"/>
      <c r="C813" s="59"/>
      <c r="D813" s="59"/>
      <c r="E813" s="60"/>
      <c r="F813" s="61"/>
      <c r="G813" s="61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</row>
    <row r="814" spans="1:27" ht="15" x14ac:dyDescent="0.25">
      <c r="A814" s="28"/>
      <c r="B814" s="28"/>
      <c r="C814" s="59"/>
      <c r="D814" s="59"/>
      <c r="E814" s="60"/>
      <c r="F814" s="61"/>
      <c r="G814" s="61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</row>
    <row r="815" spans="1:27" ht="15" x14ac:dyDescent="0.25">
      <c r="A815" s="28"/>
      <c r="B815" s="28"/>
      <c r="C815" s="59"/>
      <c r="D815" s="59"/>
      <c r="E815" s="60"/>
      <c r="F815" s="61"/>
      <c r="G815" s="61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</row>
    <row r="816" spans="1:27" ht="15" x14ac:dyDescent="0.25">
      <c r="A816" s="28"/>
      <c r="B816" s="28"/>
      <c r="C816" s="59"/>
      <c r="D816" s="59"/>
      <c r="E816" s="60"/>
      <c r="F816" s="61"/>
      <c r="G816" s="61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</row>
    <row r="817" spans="1:27" ht="15" x14ac:dyDescent="0.25">
      <c r="A817" s="28"/>
      <c r="B817" s="28"/>
      <c r="C817" s="59"/>
      <c r="D817" s="59"/>
      <c r="E817" s="60"/>
      <c r="F817" s="61"/>
      <c r="G817" s="61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</row>
    <row r="818" spans="1:27" ht="15" x14ac:dyDescent="0.25">
      <c r="A818" s="28"/>
      <c r="B818" s="28"/>
      <c r="C818" s="59"/>
      <c r="D818" s="59"/>
      <c r="E818" s="60"/>
      <c r="F818" s="61"/>
      <c r="G818" s="61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</row>
    <row r="819" spans="1:27" ht="15" x14ac:dyDescent="0.25">
      <c r="A819" s="28"/>
      <c r="B819" s="28"/>
      <c r="C819" s="59"/>
      <c r="D819" s="59"/>
      <c r="E819" s="60"/>
      <c r="F819" s="61"/>
      <c r="G819" s="61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</row>
    <row r="820" spans="1:27" ht="15" x14ac:dyDescent="0.25">
      <c r="A820" s="28"/>
      <c r="B820" s="28"/>
      <c r="C820" s="59"/>
      <c r="D820" s="59"/>
      <c r="E820" s="60"/>
      <c r="F820" s="61"/>
      <c r="G820" s="61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</row>
    <row r="821" spans="1:27" ht="15" x14ac:dyDescent="0.25">
      <c r="A821" s="28"/>
      <c r="B821" s="28"/>
      <c r="C821" s="59"/>
      <c r="D821" s="59"/>
      <c r="E821" s="60"/>
      <c r="F821" s="61"/>
      <c r="G821" s="61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</row>
    <row r="822" spans="1:27" ht="15" x14ac:dyDescent="0.25">
      <c r="A822" s="28"/>
      <c r="B822" s="28"/>
      <c r="C822" s="59"/>
      <c r="D822" s="59"/>
      <c r="E822" s="60"/>
      <c r="F822" s="61"/>
      <c r="G822" s="61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</row>
    <row r="823" spans="1:27" ht="15" x14ac:dyDescent="0.25">
      <c r="A823" s="28"/>
      <c r="B823" s="28"/>
      <c r="C823" s="59"/>
      <c r="D823" s="59"/>
      <c r="E823" s="60"/>
      <c r="F823" s="61"/>
      <c r="G823" s="61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</row>
    <row r="824" spans="1:27" ht="15" x14ac:dyDescent="0.25">
      <c r="A824" s="28"/>
      <c r="B824" s="28"/>
      <c r="C824" s="59"/>
      <c r="D824" s="59"/>
      <c r="E824" s="60"/>
      <c r="F824" s="61"/>
      <c r="G824" s="61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</row>
    <row r="825" spans="1:27" ht="15" x14ac:dyDescent="0.25">
      <c r="A825" s="28"/>
      <c r="B825" s="28"/>
      <c r="C825" s="59"/>
      <c r="D825" s="59"/>
      <c r="E825" s="60"/>
      <c r="F825" s="61"/>
      <c r="G825" s="61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</row>
    <row r="826" spans="1:27" ht="15" x14ac:dyDescent="0.25">
      <c r="A826" s="28"/>
      <c r="B826" s="28"/>
      <c r="C826" s="59"/>
      <c r="D826" s="59"/>
      <c r="E826" s="60"/>
      <c r="F826" s="61"/>
      <c r="G826" s="61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</row>
    <row r="827" spans="1:27" ht="15" x14ac:dyDescent="0.25">
      <c r="A827" s="28"/>
      <c r="B827" s="28"/>
      <c r="C827" s="59"/>
      <c r="D827" s="59"/>
      <c r="E827" s="60"/>
      <c r="F827" s="61"/>
      <c r="G827" s="61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</row>
    <row r="828" spans="1:27" ht="15" x14ac:dyDescent="0.25">
      <c r="A828" s="28"/>
      <c r="B828" s="28"/>
      <c r="C828" s="59"/>
      <c r="D828" s="59"/>
      <c r="E828" s="60"/>
      <c r="F828" s="61"/>
      <c r="G828" s="61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</row>
    <row r="829" spans="1:27" ht="15" x14ac:dyDescent="0.25">
      <c r="A829" s="28"/>
      <c r="B829" s="28"/>
      <c r="C829" s="59"/>
      <c r="D829" s="59"/>
      <c r="E829" s="60"/>
      <c r="F829" s="61"/>
      <c r="G829" s="61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</row>
    <row r="830" spans="1:27" ht="15" x14ac:dyDescent="0.25">
      <c r="A830" s="28"/>
      <c r="B830" s="28"/>
      <c r="C830" s="59"/>
      <c r="D830" s="59"/>
      <c r="E830" s="60"/>
      <c r="F830" s="61"/>
      <c r="G830" s="61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</row>
    <row r="831" spans="1:27" ht="15" x14ac:dyDescent="0.25">
      <c r="A831" s="28"/>
      <c r="B831" s="28"/>
      <c r="C831" s="59"/>
      <c r="D831" s="59"/>
      <c r="E831" s="60"/>
      <c r="F831" s="61"/>
      <c r="G831" s="61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</row>
    <row r="832" spans="1:27" ht="15" x14ac:dyDescent="0.25">
      <c r="A832" s="28"/>
      <c r="B832" s="28"/>
      <c r="C832" s="59"/>
      <c r="D832" s="59"/>
      <c r="E832" s="60"/>
      <c r="F832" s="61"/>
      <c r="G832" s="61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</row>
    <row r="833" spans="1:27" ht="15" x14ac:dyDescent="0.25">
      <c r="A833" s="28"/>
      <c r="B833" s="28"/>
      <c r="C833" s="59"/>
      <c r="D833" s="59"/>
      <c r="E833" s="60"/>
      <c r="F833" s="61"/>
      <c r="G833" s="61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</row>
    <row r="834" spans="1:27" ht="15" x14ac:dyDescent="0.25">
      <c r="A834" s="28"/>
      <c r="B834" s="28"/>
      <c r="C834" s="59"/>
      <c r="D834" s="59"/>
      <c r="E834" s="60"/>
      <c r="F834" s="61"/>
      <c r="G834" s="61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</row>
    <row r="835" spans="1:27" ht="15" x14ac:dyDescent="0.25">
      <c r="A835" s="28"/>
      <c r="B835" s="28"/>
      <c r="C835" s="59"/>
      <c r="D835" s="59"/>
      <c r="E835" s="60"/>
      <c r="F835" s="61"/>
      <c r="G835" s="61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</row>
    <row r="836" spans="1:27" ht="15" x14ac:dyDescent="0.25">
      <c r="A836" s="28"/>
      <c r="B836" s="28"/>
      <c r="C836" s="59"/>
      <c r="D836" s="59"/>
      <c r="E836" s="60"/>
      <c r="F836" s="61"/>
      <c r="G836" s="61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</row>
    <row r="837" spans="1:27" ht="15" x14ac:dyDescent="0.25">
      <c r="A837" s="28"/>
      <c r="B837" s="28"/>
      <c r="C837" s="59"/>
      <c r="D837" s="59"/>
      <c r="E837" s="60"/>
      <c r="F837" s="61"/>
      <c r="G837" s="61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</row>
    <row r="838" spans="1:27" ht="15" x14ac:dyDescent="0.25">
      <c r="A838" s="28"/>
      <c r="B838" s="28"/>
      <c r="C838" s="59"/>
      <c r="D838" s="59"/>
      <c r="E838" s="60"/>
      <c r="F838" s="61"/>
      <c r="G838" s="61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</row>
    <row r="839" spans="1:27" ht="15" x14ac:dyDescent="0.25">
      <c r="A839" s="28"/>
      <c r="B839" s="28"/>
      <c r="C839" s="59"/>
      <c r="D839" s="59"/>
      <c r="E839" s="60"/>
      <c r="F839" s="61"/>
      <c r="G839" s="61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</row>
    <row r="840" spans="1:27" ht="15" x14ac:dyDescent="0.25">
      <c r="A840" s="28"/>
      <c r="B840" s="28"/>
      <c r="C840" s="59"/>
      <c r="D840" s="59"/>
      <c r="E840" s="60"/>
      <c r="F840" s="61"/>
      <c r="G840" s="61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</row>
    <row r="841" spans="1:27" ht="15" x14ac:dyDescent="0.25">
      <c r="A841" s="28"/>
      <c r="B841" s="28"/>
      <c r="C841" s="59"/>
      <c r="D841" s="59"/>
      <c r="E841" s="60"/>
      <c r="F841" s="61"/>
      <c r="G841" s="61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</row>
    <row r="842" spans="1:27" ht="15" x14ac:dyDescent="0.25">
      <c r="A842" s="28"/>
      <c r="B842" s="28"/>
      <c r="C842" s="59"/>
      <c r="D842" s="59"/>
      <c r="E842" s="60"/>
      <c r="F842" s="61"/>
      <c r="G842" s="61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</row>
    <row r="843" spans="1:27" ht="15" x14ac:dyDescent="0.25">
      <c r="A843" s="28"/>
      <c r="B843" s="28"/>
      <c r="C843" s="59"/>
      <c r="D843" s="59"/>
      <c r="E843" s="60"/>
      <c r="F843" s="61"/>
      <c r="G843" s="61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</row>
    <row r="844" spans="1:27" ht="15" x14ac:dyDescent="0.25">
      <c r="A844" s="28"/>
      <c r="B844" s="28"/>
      <c r="C844" s="59"/>
      <c r="D844" s="59"/>
      <c r="E844" s="60"/>
      <c r="F844" s="61"/>
      <c r="G844" s="61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</row>
    <row r="845" spans="1:27" ht="15" x14ac:dyDescent="0.25">
      <c r="A845" s="28"/>
      <c r="B845" s="28"/>
      <c r="C845" s="59"/>
      <c r="D845" s="59"/>
      <c r="E845" s="60"/>
      <c r="F845" s="61"/>
      <c r="G845" s="61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</row>
    <row r="846" spans="1:27" ht="15" x14ac:dyDescent="0.25">
      <c r="A846" s="28"/>
      <c r="B846" s="28"/>
      <c r="C846" s="59"/>
      <c r="D846" s="59"/>
      <c r="E846" s="60"/>
      <c r="F846" s="61"/>
      <c r="G846" s="61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</row>
    <row r="847" spans="1:27" ht="15" x14ac:dyDescent="0.25">
      <c r="A847" s="28"/>
      <c r="B847" s="28"/>
      <c r="C847" s="59"/>
      <c r="D847" s="59"/>
      <c r="E847" s="60"/>
      <c r="F847" s="61"/>
      <c r="G847" s="61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</row>
    <row r="848" spans="1:27" ht="15" x14ac:dyDescent="0.25">
      <c r="A848" s="28"/>
      <c r="B848" s="28"/>
      <c r="C848" s="59"/>
      <c r="D848" s="59"/>
      <c r="E848" s="60"/>
      <c r="F848" s="61"/>
      <c r="G848" s="61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</row>
    <row r="849" spans="1:27" ht="15" x14ac:dyDescent="0.25">
      <c r="A849" s="28"/>
      <c r="B849" s="28"/>
      <c r="C849" s="59"/>
      <c r="D849" s="59"/>
      <c r="E849" s="60"/>
      <c r="F849" s="61"/>
      <c r="G849" s="61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</row>
    <row r="850" spans="1:27" ht="15" x14ac:dyDescent="0.25">
      <c r="A850" s="28"/>
      <c r="B850" s="28"/>
      <c r="C850" s="59"/>
      <c r="D850" s="59"/>
      <c r="E850" s="60"/>
      <c r="F850" s="61"/>
      <c r="G850" s="61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</row>
    <row r="851" spans="1:27" ht="15" x14ac:dyDescent="0.25">
      <c r="A851" s="28"/>
      <c r="B851" s="28"/>
      <c r="C851" s="59"/>
      <c r="D851" s="59"/>
      <c r="E851" s="60"/>
      <c r="F851" s="61"/>
      <c r="G851" s="61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</row>
    <row r="852" spans="1:27" ht="15" x14ac:dyDescent="0.25">
      <c r="A852" s="28"/>
      <c r="B852" s="28"/>
      <c r="C852" s="59"/>
      <c r="D852" s="59"/>
      <c r="E852" s="60"/>
      <c r="F852" s="61"/>
      <c r="G852" s="61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</row>
    <row r="853" spans="1:27" ht="15" x14ac:dyDescent="0.25">
      <c r="A853" s="28"/>
      <c r="B853" s="28"/>
      <c r="C853" s="59"/>
      <c r="D853" s="59"/>
      <c r="E853" s="60"/>
      <c r="F853" s="61"/>
      <c r="G853" s="61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</row>
    <row r="854" spans="1:27" ht="15" x14ac:dyDescent="0.25">
      <c r="A854" s="28"/>
      <c r="B854" s="28"/>
      <c r="C854" s="59"/>
      <c r="D854" s="59"/>
      <c r="E854" s="60"/>
      <c r="F854" s="61"/>
      <c r="G854" s="61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</row>
    <row r="855" spans="1:27" ht="15" x14ac:dyDescent="0.25">
      <c r="A855" s="28"/>
      <c r="B855" s="28"/>
      <c r="C855" s="59"/>
      <c r="D855" s="59"/>
      <c r="E855" s="60"/>
      <c r="F855" s="61"/>
      <c r="G855" s="61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</row>
    <row r="856" spans="1:27" ht="15" x14ac:dyDescent="0.25">
      <c r="A856" s="28"/>
      <c r="B856" s="28"/>
      <c r="C856" s="59"/>
      <c r="D856" s="59"/>
      <c r="E856" s="60"/>
      <c r="F856" s="61"/>
      <c r="G856" s="61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</row>
    <row r="857" spans="1:27" ht="15" x14ac:dyDescent="0.25">
      <c r="A857" s="28"/>
      <c r="B857" s="28"/>
      <c r="C857" s="59"/>
      <c r="D857" s="59"/>
      <c r="E857" s="60"/>
      <c r="F857" s="61"/>
      <c r="G857" s="61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</row>
    <row r="858" spans="1:27" ht="15" x14ac:dyDescent="0.25">
      <c r="A858" s="28"/>
      <c r="B858" s="28"/>
      <c r="C858" s="59"/>
      <c r="D858" s="59"/>
      <c r="E858" s="60"/>
      <c r="F858" s="61"/>
      <c r="G858" s="61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</row>
    <row r="859" spans="1:27" ht="15" x14ac:dyDescent="0.25">
      <c r="A859" s="28"/>
      <c r="B859" s="28"/>
      <c r="C859" s="59"/>
      <c r="D859" s="59"/>
      <c r="E859" s="60"/>
      <c r="F859" s="61"/>
      <c r="G859" s="61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</row>
    <row r="860" spans="1:27" ht="15" x14ac:dyDescent="0.25">
      <c r="A860" s="28"/>
      <c r="B860" s="28"/>
      <c r="C860" s="59"/>
      <c r="D860" s="59"/>
      <c r="E860" s="60"/>
      <c r="F860" s="61"/>
      <c r="G860" s="61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</row>
    <row r="861" spans="1:27" ht="15" x14ac:dyDescent="0.25">
      <c r="A861" s="28"/>
      <c r="B861" s="28"/>
      <c r="C861" s="59"/>
      <c r="D861" s="59"/>
      <c r="E861" s="60"/>
      <c r="F861" s="61"/>
      <c r="G861" s="61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</row>
    <row r="862" spans="1:27" ht="15" x14ac:dyDescent="0.25">
      <c r="A862" s="28"/>
      <c r="B862" s="28"/>
      <c r="C862" s="59"/>
      <c r="D862" s="59"/>
      <c r="E862" s="60"/>
      <c r="F862" s="61"/>
      <c r="G862" s="61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</row>
    <row r="863" spans="1:27" ht="15" x14ac:dyDescent="0.25">
      <c r="A863" s="28"/>
      <c r="B863" s="28"/>
      <c r="C863" s="59"/>
      <c r="D863" s="59"/>
      <c r="E863" s="60"/>
      <c r="F863" s="61"/>
      <c r="G863" s="61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</row>
    <row r="864" spans="1:27" ht="15" x14ac:dyDescent="0.25">
      <c r="A864" s="28"/>
      <c r="B864" s="28"/>
      <c r="C864" s="59"/>
      <c r="D864" s="59"/>
      <c r="E864" s="60"/>
      <c r="F864" s="61"/>
      <c r="G864" s="61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</row>
    <row r="865" spans="1:27" ht="15" x14ac:dyDescent="0.25">
      <c r="A865" s="28"/>
      <c r="B865" s="28"/>
      <c r="C865" s="59"/>
      <c r="D865" s="59"/>
      <c r="E865" s="60"/>
      <c r="F865" s="61"/>
      <c r="G865" s="61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</row>
    <row r="866" spans="1:27" ht="15" x14ac:dyDescent="0.25">
      <c r="A866" s="28"/>
      <c r="B866" s="28"/>
      <c r="C866" s="59"/>
      <c r="D866" s="59"/>
      <c r="E866" s="60"/>
      <c r="F866" s="61"/>
      <c r="G866" s="61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</row>
    <row r="867" spans="1:27" ht="15" x14ac:dyDescent="0.25">
      <c r="A867" s="28"/>
      <c r="B867" s="28"/>
      <c r="C867" s="59"/>
      <c r="D867" s="59"/>
      <c r="E867" s="60"/>
      <c r="F867" s="61"/>
      <c r="G867" s="61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</row>
    <row r="868" spans="1:27" ht="15" x14ac:dyDescent="0.25">
      <c r="A868" s="28"/>
      <c r="B868" s="28"/>
      <c r="C868" s="59"/>
      <c r="D868" s="59"/>
      <c r="E868" s="60"/>
      <c r="F868" s="61"/>
      <c r="G868" s="61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</row>
    <row r="869" spans="1:27" ht="15" x14ac:dyDescent="0.25">
      <c r="A869" s="28"/>
      <c r="B869" s="28"/>
      <c r="C869" s="59"/>
      <c r="D869" s="59"/>
      <c r="E869" s="60"/>
      <c r="F869" s="61"/>
      <c r="G869" s="61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</row>
    <row r="870" spans="1:27" ht="15" x14ac:dyDescent="0.25">
      <c r="A870" s="28"/>
      <c r="B870" s="28"/>
      <c r="C870" s="59"/>
      <c r="D870" s="59"/>
      <c r="E870" s="60"/>
      <c r="F870" s="61"/>
      <c r="G870" s="61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</row>
    <row r="871" spans="1:27" ht="15" x14ac:dyDescent="0.25">
      <c r="A871" s="28"/>
      <c r="B871" s="28"/>
      <c r="C871" s="59"/>
      <c r="D871" s="59"/>
      <c r="E871" s="60"/>
      <c r="F871" s="61"/>
      <c r="G871" s="61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</row>
    <row r="872" spans="1:27" ht="15" x14ac:dyDescent="0.25">
      <c r="A872" s="28"/>
      <c r="B872" s="28"/>
      <c r="C872" s="59"/>
      <c r="D872" s="59"/>
      <c r="E872" s="60"/>
      <c r="F872" s="61"/>
      <c r="G872" s="61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</row>
    <row r="873" spans="1:27" ht="15" x14ac:dyDescent="0.25">
      <c r="A873" s="28"/>
      <c r="B873" s="28"/>
      <c r="C873" s="59"/>
      <c r="D873" s="59"/>
      <c r="E873" s="60"/>
      <c r="F873" s="61"/>
      <c r="G873" s="61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</row>
    <row r="874" spans="1:27" ht="15" x14ac:dyDescent="0.25">
      <c r="A874" s="28"/>
      <c r="B874" s="28"/>
      <c r="C874" s="59"/>
      <c r="D874" s="59"/>
      <c r="E874" s="60"/>
      <c r="F874" s="61"/>
      <c r="G874" s="61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</row>
    <row r="875" spans="1:27" ht="15" x14ac:dyDescent="0.25">
      <c r="A875" s="28"/>
      <c r="B875" s="28"/>
      <c r="C875" s="59"/>
      <c r="D875" s="59"/>
      <c r="E875" s="60"/>
      <c r="F875" s="61"/>
      <c r="G875" s="61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</row>
    <row r="876" spans="1:27" ht="15" x14ac:dyDescent="0.25">
      <c r="A876" s="28"/>
      <c r="B876" s="28"/>
      <c r="C876" s="59"/>
      <c r="D876" s="59"/>
      <c r="E876" s="60"/>
      <c r="F876" s="61"/>
      <c r="G876" s="61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</row>
    <row r="877" spans="1:27" ht="15" x14ac:dyDescent="0.25">
      <c r="A877" s="28"/>
      <c r="B877" s="28"/>
      <c r="C877" s="59"/>
      <c r="D877" s="59"/>
      <c r="E877" s="60"/>
      <c r="F877" s="61"/>
      <c r="G877" s="61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</row>
    <row r="878" spans="1:27" ht="15" x14ac:dyDescent="0.25">
      <c r="A878" s="28"/>
      <c r="B878" s="28"/>
      <c r="C878" s="59"/>
      <c r="D878" s="59"/>
      <c r="E878" s="60"/>
      <c r="F878" s="61"/>
      <c r="G878" s="61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</row>
    <row r="879" spans="1:27" ht="15" x14ac:dyDescent="0.25">
      <c r="A879" s="28"/>
      <c r="B879" s="28"/>
      <c r="C879" s="59"/>
      <c r="D879" s="59"/>
      <c r="E879" s="60"/>
      <c r="F879" s="61"/>
      <c r="G879" s="61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</row>
    <row r="880" spans="1:27" ht="15" x14ac:dyDescent="0.25">
      <c r="A880" s="28"/>
      <c r="B880" s="28"/>
      <c r="C880" s="59"/>
      <c r="D880" s="59"/>
      <c r="E880" s="60"/>
      <c r="F880" s="61"/>
      <c r="G880" s="61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</row>
    <row r="881" spans="1:27" ht="15" x14ac:dyDescent="0.25">
      <c r="A881" s="28"/>
      <c r="B881" s="28"/>
      <c r="C881" s="59"/>
      <c r="D881" s="59"/>
      <c r="E881" s="60"/>
      <c r="F881" s="61"/>
      <c r="G881" s="61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</row>
    <row r="882" spans="1:27" ht="15" x14ac:dyDescent="0.25">
      <c r="A882" s="28"/>
      <c r="B882" s="28"/>
      <c r="C882" s="59"/>
      <c r="D882" s="59"/>
      <c r="E882" s="60"/>
      <c r="F882" s="61"/>
      <c r="G882" s="61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</row>
    <row r="883" spans="1:27" ht="15" x14ac:dyDescent="0.25">
      <c r="A883" s="28"/>
      <c r="B883" s="28"/>
      <c r="C883" s="59"/>
      <c r="D883" s="59"/>
      <c r="E883" s="60"/>
      <c r="F883" s="61"/>
      <c r="G883" s="61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</row>
    <row r="884" spans="1:27" ht="15" x14ac:dyDescent="0.25">
      <c r="A884" s="28"/>
      <c r="B884" s="28"/>
      <c r="C884" s="59"/>
      <c r="D884" s="59"/>
      <c r="E884" s="60"/>
      <c r="F884" s="61"/>
      <c r="G884" s="61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</row>
    <row r="885" spans="1:27" ht="15" x14ac:dyDescent="0.25">
      <c r="A885" s="28"/>
      <c r="B885" s="28"/>
      <c r="C885" s="59"/>
      <c r="D885" s="59"/>
      <c r="E885" s="60"/>
      <c r="F885" s="61"/>
      <c r="G885" s="61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</row>
    <row r="886" spans="1:27" ht="15" x14ac:dyDescent="0.25">
      <c r="A886" s="28"/>
      <c r="B886" s="28"/>
      <c r="C886" s="59"/>
      <c r="D886" s="59"/>
      <c r="E886" s="60"/>
      <c r="F886" s="61"/>
      <c r="G886" s="61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</row>
    <row r="887" spans="1:27" ht="15" x14ac:dyDescent="0.25">
      <c r="A887" s="28"/>
      <c r="B887" s="28"/>
      <c r="C887" s="59"/>
      <c r="D887" s="59"/>
      <c r="E887" s="60"/>
      <c r="F887" s="61"/>
      <c r="G887" s="61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</row>
    <row r="888" spans="1:27" ht="15" x14ac:dyDescent="0.25">
      <c r="A888" s="28"/>
      <c r="B888" s="28"/>
      <c r="C888" s="59"/>
      <c r="D888" s="59"/>
      <c r="E888" s="60"/>
      <c r="F888" s="61"/>
      <c r="G888" s="61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</row>
    <row r="889" spans="1:27" ht="15" x14ac:dyDescent="0.25">
      <c r="A889" s="28"/>
      <c r="B889" s="28"/>
      <c r="C889" s="59"/>
      <c r="D889" s="59"/>
      <c r="E889" s="60"/>
      <c r="F889" s="61"/>
      <c r="G889" s="61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</row>
    <row r="890" spans="1:27" ht="15" x14ac:dyDescent="0.25">
      <c r="A890" s="28"/>
      <c r="B890" s="28"/>
      <c r="C890" s="59"/>
      <c r="D890" s="59"/>
      <c r="E890" s="60"/>
      <c r="F890" s="61"/>
      <c r="G890" s="61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</row>
    <row r="891" spans="1:27" ht="15" x14ac:dyDescent="0.25">
      <c r="A891" s="28"/>
      <c r="B891" s="28"/>
      <c r="C891" s="59"/>
      <c r="D891" s="59"/>
      <c r="E891" s="60"/>
      <c r="F891" s="61"/>
      <c r="G891" s="61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</row>
    <row r="892" spans="1:27" ht="15" x14ac:dyDescent="0.25">
      <c r="A892" s="28"/>
      <c r="B892" s="28"/>
      <c r="C892" s="59"/>
      <c r="D892" s="59"/>
      <c r="E892" s="60"/>
      <c r="F892" s="61"/>
      <c r="G892" s="61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</row>
    <row r="893" spans="1:27" ht="15" x14ac:dyDescent="0.25">
      <c r="A893" s="28"/>
      <c r="B893" s="28"/>
      <c r="C893" s="59"/>
      <c r="D893" s="59"/>
      <c r="E893" s="60"/>
      <c r="F893" s="61"/>
      <c r="G893" s="61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</row>
    <row r="894" spans="1:27" ht="15" x14ac:dyDescent="0.25">
      <c r="A894" s="28"/>
      <c r="B894" s="28"/>
      <c r="C894" s="59"/>
      <c r="D894" s="59"/>
      <c r="E894" s="60"/>
      <c r="F894" s="61"/>
      <c r="G894" s="61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</row>
    <row r="895" spans="1:27" ht="15" x14ac:dyDescent="0.25">
      <c r="A895" s="28"/>
      <c r="B895" s="28"/>
      <c r="C895" s="59"/>
      <c r="D895" s="59"/>
      <c r="E895" s="60"/>
      <c r="F895" s="61"/>
      <c r="G895" s="61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</row>
    <row r="896" spans="1:27" ht="15" x14ac:dyDescent="0.25">
      <c r="A896" s="28"/>
      <c r="B896" s="28"/>
      <c r="C896" s="59"/>
      <c r="D896" s="59"/>
      <c r="E896" s="60"/>
      <c r="F896" s="61"/>
      <c r="G896" s="61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</row>
    <row r="897" spans="1:27" ht="15" x14ac:dyDescent="0.25">
      <c r="A897" s="28"/>
      <c r="B897" s="28"/>
      <c r="C897" s="59"/>
      <c r="D897" s="59"/>
      <c r="E897" s="60"/>
      <c r="F897" s="61"/>
      <c r="G897" s="61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</row>
    <row r="898" spans="1:27" ht="15" x14ac:dyDescent="0.25">
      <c r="A898" s="28"/>
      <c r="B898" s="28"/>
      <c r="C898" s="59"/>
      <c r="D898" s="59"/>
      <c r="E898" s="60"/>
      <c r="F898" s="61"/>
      <c r="G898" s="61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</row>
    <row r="899" spans="1:27" ht="15" x14ac:dyDescent="0.25">
      <c r="A899" s="28"/>
      <c r="B899" s="28"/>
      <c r="C899" s="59"/>
      <c r="D899" s="59"/>
      <c r="E899" s="60"/>
      <c r="F899" s="61"/>
      <c r="G899" s="61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</row>
    <row r="900" spans="1:27" ht="15" x14ac:dyDescent="0.25">
      <c r="A900" s="28"/>
      <c r="B900" s="28"/>
      <c r="C900" s="59"/>
      <c r="D900" s="59"/>
      <c r="E900" s="60"/>
      <c r="F900" s="61"/>
      <c r="G900" s="61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</row>
    <row r="901" spans="1:27" ht="15" x14ac:dyDescent="0.25">
      <c r="A901" s="28"/>
      <c r="B901" s="28"/>
      <c r="C901" s="59"/>
      <c r="D901" s="59"/>
      <c r="E901" s="60"/>
      <c r="F901" s="61"/>
      <c r="G901" s="61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</row>
    <row r="902" spans="1:27" ht="15" x14ac:dyDescent="0.25">
      <c r="A902" s="28"/>
      <c r="B902" s="28"/>
      <c r="C902" s="59"/>
      <c r="D902" s="59"/>
      <c r="E902" s="60"/>
      <c r="F902" s="61"/>
      <c r="G902" s="61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</row>
    <row r="903" spans="1:27" ht="15" x14ac:dyDescent="0.25">
      <c r="A903" s="28"/>
      <c r="B903" s="28"/>
      <c r="C903" s="59"/>
      <c r="D903" s="59"/>
      <c r="E903" s="60"/>
      <c r="F903" s="61"/>
      <c r="G903" s="61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</row>
    <row r="904" spans="1:27" ht="15" x14ac:dyDescent="0.25">
      <c r="A904" s="28"/>
      <c r="B904" s="28"/>
      <c r="C904" s="59"/>
      <c r="D904" s="59"/>
      <c r="E904" s="60"/>
      <c r="F904" s="61"/>
      <c r="G904" s="61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</row>
    <row r="905" spans="1:27" ht="15" x14ac:dyDescent="0.25">
      <c r="A905" s="28"/>
      <c r="B905" s="28"/>
      <c r="C905" s="59"/>
      <c r="D905" s="59"/>
      <c r="E905" s="60"/>
      <c r="F905" s="61"/>
      <c r="G905" s="61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</row>
    <row r="906" spans="1:27" ht="15" x14ac:dyDescent="0.25">
      <c r="A906" s="28"/>
      <c r="B906" s="28"/>
      <c r="C906" s="59"/>
      <c r="D906" s="59"/>
      <c r="E906" s="60"/>
      <c r="F906" s="61"/>
      <c r="G906" s="61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</row>
    <row r="907" spans="1:27" ht="15" x14ac:dyDescent="0.25">
      <c r="A907" s="28"/>
      <c r="B907" s="28"/>
      <c r="C907" s="59"/>
      <c r="D907" s="59"/>
      <c r="E907" s="60"/>
      <c r="F907" s="61"/>
      <c r="G907" s="61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</row>
    <row r="908" spans="1:27" ht="15" x14ac:dyDescent="0.25">
      <c r="A908" s="28"/>
      <c r="B908" s="28"/>
      <c r="C908" s="59"/>
      <c r="D908" s="59"/>
      <c r="E908" s="60"/>
      <c r="F908" s="61"/>
      <c r="G908" s="61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</row>
    <row r="909" spans="1:27" ht="15" x14ac:dyDescent="0.25">
      <c r="A909" s="28"/>
      <c r="B909" s="28"/>
      <c r="C909" s="59"/>
      <c r="D909" s="59"/>
      <c r="E909" s="60"/>
      <c r="F909" s="61"/>
      <c r="G909" s="61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</row>
    <row r="910" spans="1:27" ht="15" x14ac:dyDescent="0.25">
      <c r="A910" s="28"/>
      <c r="B910" s="28"/>
      <c r="C910" s="59"/>
      <c r="D910" s="59"/>
      <c r="E910" s="60"/>
      <c r="F910" s="61"/>
      <c r="G910" s="61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</row>
    <row r="911" spans="1:27" ht="15" x14ac:dyDescent="0.25">
      <c r="A911" s="28"/>
      <c r="B911" s="28"/>
      <c r="C911" s="59"/>
      <c r="D911" s="59"/>
      <c r="E911" s="60"/>
      <c r="F911" s="61"/>
      <c r="G911" s="61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</row>
    <row r="912" spans="1:27" ht="15" x14ac:dyDescent="0.25">
      <c r="A912" s="28"/>
      <c r="B912" s="28"/>
      <c r="C912" s="59"/>
      <c r="D912" s="59"/>
      <c r="E912" s="60"/>
      <c r="F912" s="61"/>
      <c r="G912" s="61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</row>
    <row r="913" spans="1:27" ht="15" x14ac:dyDescent="0.25">
      <c r="A913" s="28"/>
      <c r="B913" s="28"/>
      <c r="C913" s="59"/>
      <c r="D913" s="59"/>
      <c r="E913" s="60"/>
      <c r="F913" s="61"/>
      <c r="G913" s="61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</row>
    <row r="914" spans="1:27" ht="15" x14ac:dyDescent="0.25">
      <c r="A914" s="28"/>
      <c r="B914" s="28"/>
      <c r="C914" s="59"/>
      <c r="D914" s="59"/>
      <c r="E914" s="60"/>
      <c r="F914" s="61"/>
      <c r="G914" s="61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</row>
    <row r="915" spans="1:27" ht="15" x14ac:dyDescent="0.25">
      <c r="A915" s="28"/>
      <c r="B915" s="28"/>
      <c r="C915" s="59"/>
      <c r="D915" s="59"/>
      <c r="E915" s="60"/>
      <c r="F915" s="61"/>
      <c r="G915" s="61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</row>
    <row r="916" spans="1:27" ht="15" x14ac:dyDescent="0.25">
      <c r="A916" s="28"/>
      <c r="B916" s="28"/>
      <c r="C916" s="59"/>
      <c r="D916" s="59"/>
      <c r="E916" s="60"/>
      <c r="F916" s="61"/>
      <c r="G916" s="61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</row>
    <row r="917" spans="1:27" ht="15" x14ac:dyDescent="0.25">
      <c r="A917" s="28"/>
      <c r="B917" s="28"/>
      <c r="C917" s="59"/>
      <c r="D917" s="59"/>
      <c r="E917" s="60"/>
      <c r="F917" s="61"/>
      <c r="G917" s="61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</row>
    <row r="918" spans="1:27" ht="15" x14ac:dyDescent="0.25">
      <c r="A918" s="28"/>
      <c r="B918" s="28"/>
      <c r="C918" s="59"/>
      <c r="D918" s="59"/>
      <c r="E918" s="60"/>
      <c r="F918" s="61"/>
      <c r="G918" s="61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</row>
    <row r="919" spans="1:27" ht="15" x14ac:dyDescent="0.25">
      <c r="A919" s="28"/>
      <c r="B919" s="28"/>
      <c r="C919" s="59"/>
      <c r="D919" s="59"/>
      <c r="E919" s="60"/>
      <c r="F919" s="61"/>
      <c r="G919" s="61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</row>
    <row r="920" spans="1:27" ht="15" x14ac:dyDescent="0.25">
      <c r="A920" s="28"/>
      <c r="B920" s="28"/>
      <c r="C920" s="59"/>
      <c r="D920" s="59"/>
      <c r="E920" s="60"/>
      <c r="F920" s="61"/>
      <c r="G920" s="61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</row>
    <row r="921" spans="1:27" ht="15" x14ac:dyDescent="0.25">
      <c r="A921" s="28"/>
      <c r="B921" s="28"/>
      <c r="C921" s="59"/>
      <c r="D921" s="59"/>
      <c r="E921" s="60"/>
      <c r="F921" s="61"/>
      <c r="G921" s="61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</row>
    <row r="922" spans="1:27" ht="15" x14ac:dyDescent="0.25">
      <c r="A922" s="28"/>
      <c r="B922" s="28"/>
      <c r="C922" s="59"/>
      <c r="D922" s="59"/>
      <c r="E922" s="60"/>
      <c r="F922" s="61"/>
      <c r="G922" s="61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</row>
    <row r="923" spans="1:27" ht="15" x14ac:dyDescent="0.25">
      <c r="A923" s="28"/>
      <c r="B923" s="28"/>
      <c r="C923" s="59"/>
      <c r="D923" s="59"/>
      <c r="E923" s="60"/>
      <c r="F923" s="61"/>
      <c r="G923" s="61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</row>
    <row r="924" spans="1:27" ht="15" x14ac:dyDescent="0.25">
      <c r="A924" s="28"/>
      <c r="B924" s="28"/>
      <c r="C924" s="59"/>
      <c r="D924" s="59"/>
      <c r="E924" s="60"/>
      <c r="F924" s="61"/>
      <c r="G924" s="61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</row>
    <row r="925" spans="1:27" ht="15" x14ac:dyDescent="0.25">
      <c r="A925" s="28"/>
      <c r="B925" s="28"/>
      <c r="C925" s="59"/>
      <c r="D925" s="59"/>
      <c r="E925" s="60"/>
      <c r="F925" s="61"/>
      <c r="G925" s="61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</row>
    <row r="926" spans="1:27" ht="15" x14ac:dyDescent="0.25">
      <c r="A926" s="28"/>
      <c r="B926" s="28"/>
      <c r="C926" s="59"/>
      <c r="D926" s="59"/>
      <c r="E926" s="60"/>
      <c r="F926" s="61"/>
      <c r="G926" s="61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</row>
    <row r="927" spans="1:27" ht="15" x14ac:dyDescent="0.25">
      <c r="A927" s="28"/>
      <c r="B927" s="28"/>
      <c r="C927" s="59"/>
      <c r="D927" s="59"/>
      <c r="E927" s="60"/>
      <c r="F927" s="61"/>
      <c r="G927" s="61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</row>
    <row r="928" spans="1:27" ht="15" x14ac:dyDescent="0.25">
      <c r="A928" s="28"/>
      <c r="B928" s="28"/>
      <c r="C928" s="59"/>
      <c r="D928" s="59"/>
      <c r="E928" s="60"/>
      <c r="F928" s="61"/>
      <c r="G928" s="61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</row>
    <row r="929" spans="1:27" ht="15" x14ac:dyDescent="0.25">
      <c r="A929" s="28"/>
      <c r="B929" s="28"/>
      <c r="C929" s="59"/>
      <c r="D929" s="59"/>
      <c r="E929" s="60"/>
      <c r="F929" s="61"/>
      <c r="G929" s="61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</row>
    <row r="930" spans="1:27" ht="15" x14ac:dyDescent="0.25">
      <c r="A930" s="28"/>
      <c r="B930" s="28"/>
      <c r="C930" s="59"/>
      <c r="D930" s="59"/>
      <c r="E930" s="60"/>
      <c r="F930" s="61"/>
      <c r="G930" s="61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</row>
    <row r="931" spans="1:27" ht="15" x14ac:dyDescent="0.25">
      <c r="A931" s="28"/>
      <c r="B931" s="28"/>
      <c r="C931" s="59"/>
      <c r="D931" s="59"/>
      <c r="E931" s="60"/>
      <c r="F931" s="61"/>
      <c r="G931" s="61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</row>
    <row r="932" spans="1:27" ht="15" x14ac:dyDescent="0.25">
      <c r="A932" s="28"/>
      <c r="B932" s="28"/>
      <c r="C932" s="59"/>
      <c r="D932" s="59"/>
      <c r="E932" s="60"/>
      <c r="F932" s="61"/>
      <c r="G932" s="61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</row>
    <row r="933" spans="1:27" ht="15" x14ac:dyDescent="0.25">
      <c r="A933" s="28"/>
      <c r="B933" s="28"/>
      <c r="C933" s="59"/>
      <c r="D933" s="59"/>
      <c r="E933" s="60"/>
      <c r="F933" s="61"/>
      <c r="G933" s="61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</row>
    <row r="934" spans="1:27" ht="15" x14ac:dyDescent="0.25">
      <c r="A934" s="28"/>
      <c r="B934" s="28"/>
      <c r="C934" s="59"/>
      <c r="D934" s="59"/>
      <c r="E934" s="60"/>
      <c r="F934" s="61"/>
      <c r="G934" s="61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</row>
    <row r="935" spans="1:27" ht="15" x14ac:dyDescent="0.25">
      <c r="A935" s="28"/>
      <c r="B935" s="28"/>
      <c r="C935" s="59"/>
      <c r="D935" s="59"/>
      <c r="E935" s="60"/>
      <c r="F935" s="61"/>
      <c r="G935" s="61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</row>
    <row r="936" spans="1:27" ht="15" x14ac:dyDescent="0.25">
      <c r="A936" s="28"/>
      <c r="B936" s="28"/>
      <c r="C936" s="59"/>
      <c r="D936" s="59"/>
      <c r="E936" s="60"/>
      <c r="F936" s="61"/>
      <c r="G936" s="61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</row>
    <row r="937" spans="1:27" ht="15" x14ac:dyDescent="0.25">
      <c r="A937" s="28"/>
      <c r="B937" s="28"/>
      <c r="C937" s="59"/>
      <c r="D937" s="59"/>
      <c r="E937" s="60"/>
      <c r="F937" s="61"/>
      <c r="G937" s="61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</row>
    <row r="938" spans="1:27" ht="15" x14ac:dyDescent="0.25">
      <c r="A938" s="28"/>
      <c r="B938" s="28"/>
      <c r="C938" s="59"/>
      <c r="D938" s="59"/>
      <c r="E938" s="60"/>
      <c r="F938" s="61"/>
      <c r="G938" s="61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</row>
    <row r="939" spans="1:27" ht="15" x14ac:dyDescent="0.25">
      <c r="A939" s="28"/>
      <c r="B939" s="28"/>
      <c r="C939" s="59"/>
      <c r="D939" s="59"/>
      <c r="E939" s="60"/>
      <c r="F939" s="61"/>
      <c r="G939" s="61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</row>
    <row r="940" spans="1:27" ht="15" x14ac:dyDescent="0.25">
      <c r="A940" s="28"/>
      <c r="B940" s="28"/>
      <c r="C940" s="59"/>
      <c r="D940" s="59"/>
      <c r="E940" s="60"/>
      <c r="F940" s="61"/>
      <c r="G940" s="61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</row>
    <row r="941" spans="1:27" ht="15" x14ac:dyDescent="0.25">
      <c r="A941" s="28"/>
      <c r="B941" s="28"/>
      <c r="C941" s="59"/>
      <c r="D941" s="59"/>
      <c r="E941" s="60"/>
      <c r="F941" s="61"/>
      <c r="G941" s="61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</row>
    <row r="942" spans="1:27" ht="15" x14ac:dyDescent="0.25">
      <c r="A942" s="28"/>
      <c r="B942" s="28"/>
      <c r="C942" s="59"/>
      <c r="D942" s="59"/>
      <c r="E942" s="60"/>
      <c r="F942" s="61"/>
      <c r="G942" s="61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</row>
    <row r="943" spans="1:27" ht="15" x14ac:dyDescent="0.25">
      <c r="A943" s="28"/>
      <c r="B943" s="28"/>
      <c r="C943" s="59"/>
      <c r="D943" s="59"/>
      <c r="E943" s="60"/>
      <c r="F943" s="61"/>
      <c r="G943" s="61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</row>
    <row r="944" spans="1:27" ht="15" x14ac:dyDescent="0.25">
      <c r="A944" s="28"/>
      <c r="B944" s="28"/>
      <c r="C944" s="59"/>
      <c r="D944" s="59"/>
      <c r="E944" s="60"/>
      <c r="F944" s="61"/>
      <c r="G944" s="61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</row>
    <row r="945" spans="1:27" ht="15" x14ac:dyDescent="0.25">
      <c r="A945" s="28"/>
      <c r="B945" s="28"/>
      <c r="C945" s="59"/>
      <c r="D945" s="59"/>
      <c r="E945" s="60"/>
      <c r="F945" s="61"/>
      <c r="G945" s="61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</row>
    <row r="946" spans="1:27" ht="15" x14ac:dyDescent="0.25">
      <c r="A946" s="28"/>
      <c r="B946" s="28"/>
      <c r="C946" s="59"/>
      <c r="D946" s="59"/>
      <c r="E946" s="60"/>
      <c r="F946" s="61"/>
      <c r="G946" s="61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</row>
    <row r="947" spans="1:27" ht="15" x14ac:dyDescent="0.25">
      <c r="A947" s="28"/>
      <c r="B947" s="28"/>
      <c r="C947" s="59"/>
      <c r="D947" s="59"/>
      <c r="E947" s="60"/>
      <c r="F947" s="61"/>
      <c r="G947" s="61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</row>
    <row r="948" spans="1:27" ht="15" x14ac:dyDescent="0.25">
      <c r="A948" s="28"/>
      <c r="B948" s="28"/>
      <c r="C948" s="59"/>
      <c r="D948" s="59"/>
      <c r="E948" s="60"/>
      <c r="F948" s="61"/>
      <c r="G948" s="61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</row>
    <row r="949" spans="1:27" ht="15" x14ac:dyDescent="0.25">
      <c r="A949" s="28"/>
      <c r="B949" s="28"/>
      <c r="C949" s="59"/>
      <c r="D949" s="59"/>
      <c r="E949" s="60"/>
      <c r="F949" s="61"/>
      <c r="G949" s="61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</row>
    <row r="950" spans="1:27" ht="15" x14ac:dyDescent="0.25">
      <c r="A950" s="28"/>
      <c r="B950" s="28"/>
      <c r="C950" s="59"/>
      <c r="D950" s="59"/>
      <c r="E950" s="60"/>
      <c r="F950" s="61"/>
      <c r="G950" s="61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</row>
    <row r="951" spans="1:27" ht="15" x14ac:dyDescent="0.25">
      <c r="A951" s="28"/>
      <c r="B951" s="28"/>
      <c r="C951" s="59"/>
      <c r="D951" s="59"/>
      <c r="E951" s="60"/>
      <c r="F951" s="61"/>
      <c r="G951" s="61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</row>
    <row r="952" spans="1:27" ht="15" x14ac:dyDescent="0.25">
      <c r="A952" s="28"/>
      <c r="B952" s="28"/>
      <c r="C952" s="59"/>
      <c r="D952" s="59"/>
      <c r="E952" s="60"/>
      <c r="F952" s="61"/>
      <c r="G952" s="61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</row>
    <row r="953" spans="1:27" ht="15" x14ac:dyDescent="0.25">
      <c r="A953" s="28"/>
      <c r="B953" s="28"/>
      <c r="C953" s="59"/>
      <c r="D953" s="59"/>
      <c r="E953" s="60"/>
      <c r="F953" s="61"/>
      <c r="G953" s="61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</row>
    <row r="954" spans="1:27" ht="15" x14ac:dyDescent="0.25">
      <c r="A954" s="28"/>
      <c r="B954" s="28"/>
      <c r="C954" s="59"/>
      <c r="D954" s="59"/>
      <c r="E954" s="60"/>
      <c r="F954" s="61"/>
      <c r="G954" s="61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</row>
    <row r="955" spans="1:27" ht="15" x14ac:dyDescent="0.25">
      <c r="A955" s="28"/>
      <c r="B955" s="28"/>
      <c r="C955" s="59"/>
      <c r="D955" s="59"/>
      <c r="E955" s="60"/>
      <c r="F955" s="61"/>
      <c r="G955" s="61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</row>
    <row r="956" spans="1:27" ht="15" x14ac:dyDescent="0.25">
      <c r="A956" s="28"/>
      <c r="B956" s="28"/>
      <c r="C956" s="59"/>
      <c r="D956" s="59"/>
      <c r="E956" s="60"/>
      <c r="F956" s="61"/>
      <c r="G956" s="61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</row>
    <row r="957" spans="1:27" ht="15" x14ac:dyDescent="0.25">
      <c r="A957" s="28"/>
      <c r="B957" s="28"/>
      <c r="C957" s="59"/>
      <c r="D957" s="59"/>
      <c r="E957" s="60"/>
      <c r="F957" s="61"/>
      <c r="G957" s="61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</row>
    <row r="958" spans="1:27" ht="15" x14ac:dyDescent="0.25">
      <c r="A958" s="28"/>
      <c r="B958" s="28"/>
      <c r="C958" s="59"/>
      <c r="D958" s="59"/>
      <c r="E958" s="60"/>
      <c r="F958" s="61"/>
      <c r="G958" s="61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</row>
    <row r="959" spans="1:27" ht="15" x14ac:dyDescent="0.25">
      <c r="A959" s="28"/>
      <c r="B959" s="28"/>
      <c r="C959" s="59"/>
      <c r="D959" s="59"/>
      <c r="E959" s="60"/>
      <c r="F959" s="61"/>
      <c r="G959" s="61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</row>
    <row r="960" spans="1:27" ht="15" x14ac:dyDescent="0.25">
      <c r="A960" s="28"/>
      <c r="B960" s="28"/>
      <c r="C960" s="59"/>
      <c r="D960" s="59"/>
      <c r="E960" s="60"/>
      <c r="F960" s="61"/>
      <c r="G960" s="61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</row>
    <row r="961" spans="1:27" ht="15" x14ac:dyDescent="0.25">
      <c r="A961" s="28"/>
      <c r="B961" s="28"/>
      <c r="C961" s="59"/>
      <c r="D961" s="59"/>
      <c r="E961" s="60"/>
      <c r="F961" s="61"/>
      <c r="G961" s="61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</row>
    <row r="962" spans="1:27" ht="15" x14ac:dyDescent="0.25">
      <c r="A962" s="28"/>
      <c r="B962" s="28"/>
      <c r="C962" s="59"/>
      <c r="D962" s="59"/>
      <c r="E962" s="60"/>
      <c r="F962" s="61"/>
      <c r="G962" s="61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</row>
    <row r="963" spans="1:27" ht="15" x14ac:dyDescent="0.25">
      <c r="A963" s="28"/>
      <c r="B963" s="28"/>
      <c r="C963" s="59"/>
      <c r="D963" s="59"/>
      <c r="E963" s="60"/>
      <c r="F963" s="61"/>
      <c r="G963" s="61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</row>
    <row r="964" spans="1:27" ht="15" x14ac:dyDescent="0.25">
      <c r="A964" s="28"/>
      <c r="B964" s="28"/>
      <c r="C964" s="59"/>
      <c r="D964" s="59"/>
      <c r="E964" s="60"/>
      <c r="F964" s="61"/>
      <c r="G964" s="61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</row>
    <row r="965" spans="1:27" ht="15" x14ac:dyDescent="0.25">
      <c r="A965" s="28"/>
      <c r="B965" s="28"/>
      <c r="C965" s="59"/>
      <c r="D965" s="59"/>
      <c r="E965" s="60"/>
      <c r="F965" s="61"/>
      <c r="G965" s="61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</row>
    <row r="966" spans="1:27" ht="15" x14ac:dyDescent="0.25">
      <c r="A966" s="28"/>
      <c r="B966" s="28"/>
      <c r="C966" s="59"/>
      <c r="D966" s="59"/>
      <c r="E966" s="60"/>
      <c r="F966" s="61"/>
      <c r="G966" s="61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</row>
    <row r="967" spans="1:27" ht="15" x14ac:dyDescent="0.25">
      <c r="A967" s="28"/>
      <c r="B967" s="28"/>
      <c r="C967" s="59"/>
      <c r="D967" s="59"/>
      <c r="E967" s="60"/>
      <c r="F967" s="61"/>
      <c r="G967" s="61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</row>
    <row r="968" spans="1:27" ht="15" x14ac:dyDescent="0.25">
      <c r="A968" s="28"/>
      <c r="B968" s="28"/>
      <c r="C968" s="59"/>
      <c r="D968" s="59"/>
      <c r="E968" s="60"/>
      <c r="F968" s="61"/>
      <c r="G968" s="61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</row>
    <row r="969" spans="1:27" ht="15" x14ac:dyDescent="0.25">
      <c r="A969" s="28"/>
      <c r="B969" s="28"/>
      <c r="C969" s="59"/>
      <c r="D969" s="59"/>
      <c r="E969" s="60"/>
      <c r="F969" s="61"/>
      <c r="G969" s="61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</row>
    <row r="970" spans="1:27" ht="15" x14ac:dyDescent="0.25">
      <c r="A970" s="28"/>
      <c r="B970" s="28"/>
      <c r="C970" s="59"/>
      <c r="D970" s="59"/>
      <c r="E970" s="60"/>
      <c r="F970" s="61"/>
      <c r="G970" s="61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</row>
    <row r="971" spans="1:27" ht="15" x14ac:dyDescent="0.25">
      <c r="A971" s="28"/>
      <c r="B971" s="28"/>
      <c r="C971" s="59"/>
      <c r="D971" s="59"/>
      <c r="E971" s="60"/>
      <c r="F971" s="61"/>
      <c r="G971" s="61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</row>
    <row r="972" spans="1:27" ht="15" x14ac:dyDescent="0.25">
      <c r="A972" s="28"/>
      <c r="B972" s="28"/>
      <c r="C972" s="59"/>
      <c r="D972" s="59"/>
      <c r="E972" s="60"/>
      <c r="F972" s="61"/>
      <c r="G972" s="61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</row>
    <row r="973" spans="1:27" ht="15" x14ac:dyDescent="0.25">
      <c r="A973" s="28"/>
      <c r="B973" s="28"/>
      <c r="C973" s="59"/>
      <c r="D973" s="59"/>
      <c r="E973" s="60"/>
      <c r="F973" s="61"/>
      <c r="G973" s="61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</row>
    <row r="974" spans="1:27" ht="15" x14ac:dyDescent="0.25">
      <c r="A974" s="28"/>
      <c r="B974" s="28"/>
      <c r="C974" s="59"/>
      <c r="D974" s="59"/>
      <c r="E974" s="60"/>
      <c r="F974" s="61"/>
      <c r="G974" s="61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</row>
    <row r="975" spans="1:27" ht="15" x14ac:dyDescent="0.25">
      <c r="A975" s="28"/>
      <c r="B975" s="28"/>
      <c r="C975" s="59"/>
      <c r="D975" s="59"/>
      <c r="E975" s="60"/>
      <c r="F975" s="61"/>
      <c r="G975" s="61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</row>
    <row r="976" spans="1:27" ht="15" x14ac:dyDescent="0.25">
      <c r="A976" s="28"/>
      <c r="B976" s="28"/>
      <c r="C976" s="59"/>
      <c r="D976" s="59"/>
      <c r="E976" s="60"/>
      <c r="F976" s="61"/>
      <c r="G976" s="61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</row>
    <row r="977" spans="1:27" ht="15" x14ac:dyDescent="0.25">
      <c r="A977" s="28"/>
      <c r="B977" s="28"/>
      <c r="C977" s="59"/>
      <c r="D977" s="59"/>
      <c r="E977" s="60"/>
      <c r="F977" s="61"/>
      <c r="G977" s="61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</row>
    <row r="978" spans="1:27" ht="15" x14ac:dyDescent="0.25">
      <c r="A978" s="28"/>
      <c r="B978" s="28"/>
      <c r="C978" s="59"/>
      <c r="D978" s="59"/>
      <c r="E978" s="60"/>
      <c r="F978" s="61"/>
      <c r="G978" s="61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</row>
    <row r="979" spans="1:27" ht="15" x14ac:dyDescent="0.25">
      <c r="A979" s="28"/>
      <c r="B979" s="28"/>
      <c r="C979" s="59"/>
      <c r="D979" s="59"/>
      <c r="E979" s="60"/>
      <c r="F979" s="61"/>
      <c r="G979" s="61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</row>
    <row r="980" spans="1:27" ht="15" x14ac:dyDescent="0.25">
      <c r="A980" s="28"/>
      <c r="B980" s="28"/>
      <c r="C980" s="59"/>
      <c r="D980" s="59"/>
      <c r="E980" s="60"/>
      <c r="F980" s="61"/>
      <c r="G980" s="61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</row>
    <row r="981" spans="1:27" ht="15" x14ac:dyDescent="0.25">
      <c r="A981" s="28"/>
      <c r="B981" s="28"/>
      <c r="C981" s="59"/>
      <c r="D981" s="59"/>
      <c r="E981" s="60"/>
      <c r="F981" s="61"/>
      <c r="G981" s="61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</row>
    <row r="982" spans="1:27" ht="15" x14ac:dyDescent="0.25">
      <c r="A982" s="28"/>
      <c r="B982" s="28"/>
      <c r="C982" s="59"/>
      <c r="D982" s="59"/>
      <c r="E982" s="60"/>
      <c r="F982" s="61"/>
      <c r="G982" s="61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</row>
    <row r="983" spans="1:27" ht="15" x14ac:dyDescent="0.25">
      <c r="A983" s="28"/>
      <c r="B983" s="28"/>
      <c r="C983" s="59"/>
      <c r="D983" s="59"/>
      <c r="E983" s="60"/>
      <c r="F983" s="61"/>
      <c r="G983" s="61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</row>
    <row r="984" spans="1:27" ht="15" x14ac:dyDescent="0.25">
      <c r="A984" s="28"/>
      <c r="B984" s="28"/>
      <c r="C984" s="59"/>
      <c r="D984" s="59"/>
      <c r="E984" s="60"/>
      <c r="F984" s="61"/>
      <c r="G984" s="61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</row>
    <row r="985" spans="1:27" ht="15" x14ac:dyDescent="0.25">
      <c r="A985" s="28"/>
      <c r="B985" s="28"/>
      <c r="C985" s="59"/>
      <c r="D985" s="59"/>
      <c r="E985" s="60"/>
      <c r="F985" s="61"/>
      <c r="G985" s="61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</row>
    <row r="986" spans="1:27" ht="15" x14ac:dyDescent="0.25">
      <c r="A986" s="28"/>
      <c r="B986" s="28"/>
      <c r="C986" s="59"/>
      <c r="D986" s="59"/>
      <c r="E986" s="60"/>
      <c r="F986" s="61"/>
      <c r="G986" s="61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</row>
    <row r="987" spans="1:27" ht="15" x14ac:dyDescent="0.25">
      <c r="A987" s="28"/>
      <c r="B987" s="28"/>
      <c r="C987" s="59"/>
      <c r="D987" s="59"/>
      <c r="E987" s="60"/>
      <c r="F987" s="61"/>
      <c r="G987" s="61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</row>
    <row r="988" spans="1:27" ht="15" x14ac:dyDescent="0.25">
      <c r="A988" s="28"/>
      <c r="B988" s="28"/>
      <c r="C988" s="59"/>
      <c r="D988" s="59"/>
      <c r="E988" s="60"/>
      <c r="F988" s="61"/>
      <c r="G988" s="61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</row>
    <row r="989" spans="1:27" ht="15" x14ac:dyDescent="0.25">
      <c r="A989" s="28"/>
      <c r="B989" s="28"/>
      <c r="C989" s="59"/>
      <c r="D989" s="59"/>
      <c r="E989" s="60"/>
      <c r="F989" s="61"/>
      <c r="G989" s="61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</row>
    <row r="990" spans="1:27" ht="15" x14ac:dyDescent="0.25">
      <c r="A990" s="28"/>
      <c r="B990" s="28"/>
      <c r="C990" s="59"/>
      <c r="D990" s="59"/>
      <c r="E990" s="60"/>
      <c r="F990" s="61"/>
      <c r="G990" s="61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</row>
    <row r="991" spans="1:27" ht="15" x14ac:dyDescent="0.25">
      <c r="A991" s="28"/>
      <c r="B991" s="28"/>
      <c r="C991" s="59"/>
      <c r="D991" s="59"/>
      <c r="E991" s="60"/>
      <c r="F991" s="61"/>
      <c r="G991" s="61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</row>
    <row r="992" spans="1:27" ht="15" x14ac:dyDescent="0.25">
      <c r="A992" s="28"/>
      <c r="B992" s="28"/>
      <c r="C992" s="59"/>
      <c r="D992" s="59"/>
      <c r="E992" s="60"/>
      <c r="F992" s="61"/>
      <c r="G992" s="61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</row>
    <row r="993" spans="1:27" ht="15" x14ac:dyDescent="0.25">
      <c r="A993" s="28"/>
      <c r="B993" s="28"/>
      <c r="C993" s="59"/>
      <c r="D993" s="59"/>
      <c r="E993" s="60"/>
      <c r="F993" s="61"/>
      <c r="G993" s="61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</row>
    <row r="994" spans="1:27" ht="15" x14ac:dyDescent="0.25">
      <c r="A994" s="28"/>
      <c r="B994" s="28"/>
      <c r="C994" s="59"/>
      <c r="D994" s="59"/>
      <c r="E994" s="60"/>
      <c r="F994" s="61"/>
      <c r="G994" s="61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</row>
    <row r="995" spans="1:27" ht="15" x14ac:dyDescent="0.25">
      <c r="A995" s="28"/>
      <c r="B995" s="28"/>
      <c r="C995" s="59"/>
      <c r="D995" s="59"/>
      <c r="E995" s="60"/>
      <c r="F995" s="61"/>
      <c r="G995" s="61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</row>
    <row r="996" spans="1:27" ht="15" x14ac:dyDescent="0.25">
      <c r="A996" s="28"/>
      <c r="B996" s="28"/>
      <c r="C996" s="59"/>
      <c r="D996" s="59"/>
      <c r="E996" s="60"/>
      <c r="F996" s="61"/>
      <c r="G996" s="61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</row>
    <row r="997" spans="1:27" ht="15" x14ac:dyDescent="0.25">
      <c r="A997" s="28"/>
      <c r="B997" s="28"/>
      <c r="C997" s="59"/>
      <c r="D997" s="59"/>
      <c r="E997" s="60"/>
      <c r="F997" s="61"/>
      <c r="G997" s="61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</row>
    <row r="998" spans="1:27" ht="15" x14ac:dyDescent="0.25">
      <c r="A998" s="28"/>
      <c r="B998" s="28"/>
      <c r="C998" s="59"/>
      <c r="D998" s="59"/>
      <c r="E998" s="60"/>
      <c r="F998" s="61"/>
      <c r="G998" s="61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</row>
    <row r="999" spans="1:27" ht="15" x14ac:dyDescent="0.25">
      <c r="A999" s="28"/>
      <c r="B999" s="28"/>
      <c r="C999" s="59"/>
      <c r="D999" s="59"/>
      <c r="E999" s="60"/>
      <c r="F999" s="61"/>
      <c r="G999" s="61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</row>
    <row r="1000" spans="1:27" ht="15" x14ac:dyDescent="0.25">
      <c r="A1000" s="28"/>
      <c r="B1000" s="28"/>
      <c r="C1000" s="59"/>
      <c r="D1000" s="59"/>
      <c r="E1000" s="60"/>
      <c r="F1000" s="61"/>
      <c r="G1000" s="61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</row>
    <row r="1001" spans="1:27" ht="15" x14ac:dyDescent="0.25">
      <c r="A1001" s="28"/>
      <c r="B1001" s="28"/>
      <c r="C1001" s="59"/>
      <c r="D1001" s="59"/>
      <c r="E1001" s="60"/>
      <c r="F1001" s="61"/>
      <c r="G1001" s="61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</row>
    <row r="1002" spans="1:27" ht="15" x14ac:dyDescent="0.25">
      <c r="A1002" s="28"/>
      <c r="B1002" s="28"/>
      <c r="C1002" s="59"/>
      <c r="D1002" s="59"/>
      <c r="E1002" s="60"/>
      <c r="F1002" s="61"/>
      <c r="G1002" s="61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</row>
    <row r="1003" spans="1:27" ht="15" x14ac:dyDescent="0.25">
      <c r="A1003" s="28"/>
      <c r="B1003" s="28"/>
      <c r="C1003" s="59"/>
      <c r="D1003" s="59"/>
      <c r="E1003" s="60"/>
      <c r="F1003" s="61"/>
      <c r="G1003" s="61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</row>
    <row r="1004" spans="1:27" ht="15" x14ac:dyDescent="0.25">
      <c r="A1004" s="28"/>
      <c r="B1004" s="28"/>
      <c r="C1004" s="59"/>
      <c r="D1004" s="59"/>
      <c r="E1004" s="60"/>
      <c r="F1004" s="61"/>
      <c r="G1004" s="61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</row>
    <row r="1005" spans="1:27" ht="15" x14ac:dyDescent="0.25">
      <c r="A1005" s="28"/>
      <c r="B1005" s="28"/>
      <c r="C1005" s="59"/>
      <c r="D1005" s="59"/>
      <c r="E1005" s="60"/>
      <c r="F1005" s="61"/>
      <c r="G1005" s="61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</row>
    <row r="1006" spans="1:27" ht="15" x14ac:dyDescent="0.25">
      <c r="A1006" s="28"/>
      <c r="B1006" s="28"/>
      <c r="C1006" s="59"/>
      <c r="D1006" s="59"/>
      <c r="E1006" s="60"/>
      <c r="F1006" s="61"/>
      <c r="G1006" s="61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</row>
    <row r="1007" spans="1:27" ht="15" x14ac:dyDescent="0.25">
      <c r="A1007" s="28"/>
      <c r="B1007" s="28"/>
      <c r="C1007" s="59"/>
      <c r="D1007" s="59"/>
      <c r="E1007" s="60"/>
      <c r="F1007" s="61"/>
      <c r="G1007" s="61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</row>
    <row r="1008" spans="1:27" ht="15" x14ac:dyDescent="0.25">
      <c r="A1008" s="28"/>
      <c r="B1008" s="28"/>
      <c r="C1008" s="59"/>
      <c r="D1008" s="59"/>
      <c r="E1008" s="60"/>
      <c r="F1008" s="61"/>
      <c r="G1008" s="61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</row>
    <row r="1009" spans="1:27" ht="15" x14ac:dyDescent="0.25">
      <c r="A1009" s="28"/>
      <c r="B1009" s="28"/>
      <c r="C1009" s="59"/>
      <c r="D1009" s="59"/>
      <c r="E1009" s="60"/>
      <c r="F1009" s="61"/>
      <c r="G1009" s="61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</row>
    <row r="1010" spans="1:27" ht="15" x14ac:dyDescent="0.25">
      <c r="A1010" s="28"/>
      <c r="B1010" s="28"/>
      <c r="C1010" s="59"/>
      <c r="D1010" s="59"/>
      <c r="E1010" s="60"/>
      <c r="F1010" s="61"/>
      <c r="G1010" s="61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  <c r="AA1010" s="28"/>
    </row>
    <row r="1011" spans="1:27" ht="15" x14ac:dyDescent="0.25">
      <c r="A1011" s="28"/>
      <c r="B1011" s="28"/>
      <c r="C1011" s="59"/>
      <c r="D1011" s="59"/>
      <c r="E1011" s="60"/>
      <c r="F1011" s="61"/>
      <c r="G1011" s="61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  <c r="AA1011" s="28"/>
    </row>
    <row r="1012" spans="1:27" ht="15" x14ac:dyDescent="0.25">
      <c r="A1012" s="28"/>
      <c r="B1012" s="28"/>
      <c r="C1012" s="59"/>
      <c r="D1012" s="59"/>
      <c r="E1012" s="60"/>
      <c r="F1012" s="61"/>
      <c r="G1012" s="61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  <c r="AA1012" s="28"/>
    </row>
    <row r="1013" spans="1:27" ht="15" x14ac:dyDescent="0.25">
      <c r="A1013" s="28"/>
      <c r="B1013" s="28"/>
      <c r="C1013" s="59"/>
      <c r="D1013" s="59"/>
      <c r="E1013" s="60"/>
      <c r="F1013" s="61"/>
      <c r="G1013" s="61"/>
      <c r="H1013" s="28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  <c r="AA1013" s="28"/>
    </row>
    <row r="1014" spans="1:27" ht="15" x14ac:dyDescent="0.25">
      <c r="A1014" s="28"/>
      <c r="B1014" s="28"/>
      <c r="C1014" s="59"/>
      <c r="D1014" s="59"/>
      <c r="E1014" s="60"/>
      <c r="F1014" s="61"/>
      <c r="G1014" s="61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  <c r="AA1014" s="28"/>
    </row>
    <row r="1015" spans="1:27" ht="15" x14ac:dyDescent="0.25">
      <c r="A1015" s="28"/>
      <c r="B1015" s="28"/>
      <c r="C1015" s="59"/>
      <c r="D1015" s="59"/>
      <c r="E1015" s="60"/>
      <c r="F1015" s="61"/>
      <c r="G1015" s="61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  <c r="AA1015" s="28"/>
    </row>
    <row r="1016" spans="1:27" ht="15" x14ac:dyDescent="0.25">
      <c r="A1016" s="28"/>
      <c r="B1016" s="28"/>
      <c r="C1016" s="59"/>
      <c r="D1016" s="59"/>
      <c r="E1016" s="60"/>
      <c r="F1016" s="61"/>
      <c r="G1016" s="61"/>
      <c r="H1016" s="28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  <c r="AA1016" s="28"/>
    </row>
    <row r="1017" spans="1:27" ht="15" x14ac:dyDescent="0.25">
      <c r="A1017" s="28"/>
      <c r="B1017" s="28"/>
      <c r="C1017" s="59"/>
      <c r="D1017" s="59"/>
      <c r="E1017" s="60"/>
      <c r="F1017" s="61"/>
      <c r="G1017" s="61"/>
      <c r="H1017" s="28"/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  <c r="AA1017" s="28"/>
    </row>
    <row r="1018" spans="1:27" ht="15" x14ac:dyDescent="0.25">
      <c r="A1018" s="28"/>
      <c r="B1018" s="28"/>
      <c r="C1018" s="59"/>
      <c r="D1018" s="59"/>
      <c r="E1018" s="60"/>
      <c r="F1018" s="61"/>
      <c r="G1018" s="61"/>
      <c r="H1018" s="28"/>
      <c r="I1018" s="28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  <c r="AA1018" s="28"/>
    </row>
    <row r="1019" spans="1:27" ht="15" x14ac:dyDescent="0.25">
      <c r="A1019" s="28"/>
      <c r="B1019" s="28"/>
      <c r="C1019" s="59"/>
      <c r="D1019" s="59"/>
      <c r="E1019" s="60"/>
      <c r="F1019" s="61"/>
      <c r="G1019" s="61"/>
      <c r="H1019" s="28"/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  <c r="AA1019" s="28"/>
    </row>
    <row r="1020" spans="1:27" ht="15" x14ac:dyDescent="0.25">
      <c r="A1020" s="28"/>
      <c r="B1020" s="28"/>
      <c r="C1020" s="59"/>
      <c r="D1020" s="59"/>
      <c r="E1020" s="60"/>
      <c r="F1020" s="61"/>
      <c r="G1020" s="61"/>
      <c r="H1020" s="28"/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  <c r="AA1020" s="28"/>
    </row>
    <row r="1021" spans="1:27" ht="15" x14ac:dyDescent="0.25">
      <c r="A1021" s="28"/>
      <c r="B1021" s="28"/>
      <c r="C1021" s="59"/>
      <c r="D1021" s="59"/>
      <c r="E1021" s="60"/>
      <c r="F1021" s="61"/>
      <c r="G1021" s="61"/>
      <c r="H1021" s="28"/>
      <c r="I1021" s="28"/>
      <c r="J1021" s="28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  <c r="AA1021" s="28"/>
    </row>
    <row r="1022" spans="1:27" ht="15" x14ac:dyDescent="0.25">
      <c r="A1022" s="28"/>
      <c r="B1022" s="28"/>
      <c r="C1022" s="59"/>
      <c r="D1022" s="59"/>
      <c r="E1022" s="60"/>
      <c r="F1022" s="61"/>
      <c r="G1022" s="61"/>
      <c r="H1022" s="28"/>
      <c r="I1022" s="28"/>
      <c r="J1022" s="28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  <c r="AA1022" s="28"/>
    </row>
    <row r="1023" spans="1:27" ht="15" x14ac:dyDescent="0.25">
      <c r="A1023" s="28"/>
      <c r="B1023" s="28"/>
      <c r="C1023" s="59"/>
      <c r="D1023" s="59"/>
      <c r="E1023" s="60"/>
      <c r="F1023" s="61"/>
      <c r="G1023" s="61"/>
      <c r="H1023" s="28"/>
      <c r="I1023" s="28"/>
      <c r="J1023" s="28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  <c r="AA1023" s="28"/>
    </row>
    <row r="1024" spans="1:27" ht="15" x14ac:dyDescent="0.25">
      <c r="A1024" s="28"/>
      <c r="B1024" s="28"/>
      <c r="C1024" s="59"/>
      <c r="D1024" s="59"/>
      <c r="E1024" s="60"/>
      <c r="F1024" s="61"/>
      <c r="G1024" s="61"/>
      <c r="H1024" s="28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  <c r="AA1024" s="28"/>
    </row>
    <row r="1025" spans="1:27" ht="15" x14ac:dyDescent="0.25">
      <c r="A1025" s="28"/>
      <c r="B1025" s="28"/>
      <c r="C1025" s="59"/>
      <c r="D1025" s="59"/>
      <c r="E1025" s="60"/>
      <c r="F1025" s="61"/>
      <c r="G1025" s="61"/>
      <c r="H1025" s="28"/>
      <c r="I1025" s="28"/>
      <c r="J1025" s="28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  <c r="AA1025" s="28"/>
    </row>
    <row r="1026" spans="1:27" ht="15" x14ac:dyDescent="0.25">
      <c r="A1026" s="28"/>
      <c r="B1026" s="28"/>
      <c r="C1026" s="59"/>
      <c r="D1026" s="59"/>
      <c r="E1026" s="60"/>
      <c r="F1026" s="61"/>
      <c r="G1026" s="61"/>
      <c r="H1026" s="28"/>
      <c r="I1026" s="28"/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  <c r="AA1026" s="28"/>
    </row>
    <row r="1027" spans="1:27" ht="15" x14ac:dyDescent="0.25">
      <c r="A1027" s="28"/>
      <c r="B1027" s="28"/>
      <c r="C1027" s="59"/>
      <c r="D1027" s="59"/>
      <c r="E1027" s="60"/>
      <c r="F1027" s="61"/>
      <c r="G1027" s="61"/>
      <c r="H1027" s="28"/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  <c r="AA1027" s="28"/>
    </row>
    <row r="1028" spans="1:27" ht="15" x14ac:dyDescent="0.25">
      <c r="A1028" s="28"/>
      <c r="B1028" s="28"/>
      <c r="C1028" s="59"/>
      <c r="D1028" s="59"/>
      <c r="E1028" s="60"/>
      <c r="F1028" s="61"/>
      <c r="G1028" s="61"/>
      <c r="H1028" s="28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  <c r="AA1028" s="28"/>
    </row>
    <row r="1029" spans="1:27" ht="15" x14ac:dyDescent="0.25">
      <c r="A1029" s="28"/>
      <c r="B1029" s="28"/>
      <c r="C1029" s="59"/>
      <c r="D1029" s="59"/>
      <c r="E1029" s="60"/>
      <c r="F1029" s="61"/>
      <c r="G1029" s="61"/>
      <c r="H1029" s="28"/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  <c r="AA1029" s="28"/>
    </row>
    <row r="1030" spans="1:27" ht="15" x14ac:dyDescent="0.25">
      <c r="A1030" s="28"/>
      <c r="B1030" s="28"/>
      <c r="C1030" s="59"/>
      <c r="D1030" s="59"/>
      <c r="E1030" s="60"/>
      <c r="F1030" s="61"/>
      <c r="G1030" s="61"/>
      <c r="H1030" s="28"/>
      <c r="I1030" s="28"/>
      <c r="J1030" s="28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  <c r="AA1030" s="28"/>
    </row>
    <row r="1031" spans="1:27" ht="15" x14ac:dyDescent="0.25">
      <c r="A1031" s="28"/>
      <c r="B1031" s="28"/>
      <c r="C1031" s="59"/>
      <c r="D1031" s="59"/>
      <c r="E1031" s="60"/>
      <c r="F1031" s="61"/>
      <c r="G1031" s="61"/>
      <c r="H1031" s="28"/>
      <c r="I1031" s="28"/>
      <c r="J1031" s="28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  <c r="AA1031" s="28"/>
    </row>
    <row r="1032" spans="1:27" ht="15" x14ac:dyDescent="0.25">
      <c r="A1032" s="28"/>
      <c r="B1032" s="28"/>
      <c r="C1032" s="59"/>
      <c r="D1032" s="59"/>
      <c r="E1032" s="60"/>
      <c r="F1032" s="61"/>
      <c r="G1032" s="61"/>
      <c r="H1032" s="28"/>
      <c r="I1032" s="28"/>
      <c r="J1032" s="28"/>
      <c r="K1032" s="28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  <c r="W1032" s="28"/>
      <c r="X1032" s="28"/>
      <c r="Y1032" s="28"/>
      <c r="Z1032" s="28"/>
      <c r="AA1032" s="28"/>
    </row>
    <row r="1033" spans="1:27" ht="15" x14ac:dyDescent="0.25">
      <c r="A1033" s="28"/>
      <c r="B1033" s="28"/>
      <c r="C1033" s="59"/>
      <c r="D1033" s="59"/>
      <c r="E1033" s="60"/>
      <c r="F1033" s="61"/>
      <c r="G1033" s="61"/>
      <c r="H1033" s="28"/>
      <c r="I1033" s="28"/>
      <c r="J1033" s="28"/>
      <c r="K1033" s="28"/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  <c r="AA1033" s="28"/>
    </row>
    <row r="1034" spans="1:27" ht="15" x14ac:dyDescent="0.25">
      <c r="A1034" s="28"/>
      <c r="B1034" s="28"/>
      <c r="C1034" s="59"/>
      <c r="D1034" s="59"/>
      <c r="E1034" s="60"/>
      <c r="F1034" s="61"/>
      <c r="G1034" s="61"/>
      <c r="H1034" s="28"/>
      <c r="I1034" s="28"/>
      <c r="J1034" s="28"/>
      <c r="K1034" s="28"/>
      <c r="L1034" s="28"/>
      <c r="M1034" s="28"/>
      <c r="N1034" s="28"/>
      <c r="O1034" s="28"/>
      <c r="P1034" s="28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  <c r="AA1034" s="28"/>
    </row>
    <row r="1035" spans="1:27" ht="15" x14ac:dyDescent="0.25">
      <c r="A1035" s="28"/>
      <c r="B1035" s="28"/>
      <c r="C1035" s="59"/>
      <c r="D1035" s="59"/>
      <c r="E1035" s="60"/>
      <c r="F1035" s="61"/>
      <c r="G1035" s="61"/>
      <c r="H1035" s="28"/>
      <c r="I1035" s="28"/>
      <c r="J1035" s="28"/>
      <c r="K1035" s="28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  <c r="AA1035" s="28"/>
    </row>
    <row r="1036" spans="1:27" ht="15" x14ac:dyDescent="0.25">
      <c r="A1036" s="28"/>
      <c r="B1036" s="28"/>
      <c r="C1036" s="59"/>
      <c r="D1036" s="59"/>
      <c r="E1036" s="60"/>
      <c r="F1036" s="61"/>
      <c r="G1036" s="61"/>
      <c r="H1036" s="28"/>
      <c r="I1036" s="28"/>
      <c r="J1036" s="28"/>
      <c r="K1036" s="28"/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8"/>
      <c r="W1036" s="28"/>
      <c r="X1036" s="28"/>
      <c r="Y1036" s="28"/>
      <c r="Z1036" s="28"/>
      <c r="AA1036" s="28"/>
    </row>
    <row r="1037" spans="1:27" ht="15" x14ac:dyDescent="0.25">
      <c r="A1037" s="28"/>
      <c r="B1037" s="28"/>
      <c r="C1037" s="59"/>
      <c r="D1037" s="59"/>
      <c r="E1037" s="60"/>
      <c r="F1037" s="61"/>
      <c r="G1037" s="61"/>
      <c r="H1037" s="28"/>
      <c r="I1037" s="28"/>
      <c r="J1037" s="28"/>
      <c r="K1037" s="28"/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8"/>
      <c r="W1037" s="28"/>
      <c r="X1037" s="28"/>
      <c r="Y1037" s="28"/>
      <c r="Z1037" s="28"/>
      <c r="AA1037" s="28"/>
    </row>
    <row r="1038" spans="1:27" ht="15" x14ac:dyDescent="0.25">
      <c r="A1038" s="28"/>
      <c r="B1038" s="28"/>
      <c r="C1038" s="59"/>
      <c r="D1038" s="59"/>
      <c r="E1038" s="60"/>
      <c r="F1038" s="61"/>
      <c r="G1038" s="61"/>
      <c r="H1038" s="28"/>
      <c r="I1038" s="28"/>
      <c r="J1038" s="28"/>
      <c r="K1038" s="28"/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  <c r="W1038" s="28"/>
      <c r="X1038" s="28"/>
      <c r="Y1038" s="28"/>
      <c r="Z1038" s="28"/>
      <c r="AA1038" s="28"/>
    </row>
    <row r="1039" spans="1:27" ht="15" x14ac:dyDescent="0.25">
      <c r="A1039" s="28"/>
      <c r="B1039" s="28"/>
      <c r="C1039" s="59"/>
      <c r="D1039" s="59"/>
      <c r="E1039" s="60"/>
      <c r="F1039" s="61"/>
      <c r="G1039" s="61"/>
      <c r="H1039" s="28"/>
      <c r="I1039" s="28"/>
      <c r="J1039" s="28"/>
      <c r="K1039" s="28"/>
      <c r="L1039" s="28"/>
      <c r="M1039" s="28"/>
      <c r="N1039" s="28"/>
      <c r="O1039" s="28"/>
      <c r="P1039" s="28"/>
      <c r="Q1039" s="28"/>
      <c r="R1039" s="28"/>
      <c r="S1039" s="28"/>
      <c r="T1039" s="28"/>
      <c r="U1039" s="28"/>
      <c r="V1039" s="28"/>
      <c r="W1039" s="28"/>
      <c r="X1039" s="28"/>
      <c r="Y1039" s="28"/>
      <c r="Z1039" s="28"/>
      <c r="AA1039" s="28"/>
    </row>
    <row r="1040" spans="1:27" ht="15" x14ac:dyDescent="0.25">
      <c r="A1040" s="28"/>
      <c r="B1040" s="28"/>
      <c r="C1040" s="59"/>
      <c r="D1040" s="59"/>
      <c r="E1040" s="60"/>
      <c r="F1040" s="61"/>
      <c r="G1040" s="61"/>
      <c r="H1040" s="28"/>
      <c r="I1040" s="28"/>
      <c r="J1040" s="28"/>
      <c r="K1040" s="28"/>
      <c r="L1040" s="28"/>
      <c r="M1040" s="28"/>
      <c r="N1040" s="28"/>
      <c r="O1040" s="28"/>
      <c r="P1040" s="28"/>
      <c r="Q1040" s="28"/>
      <c r="R1040" s="28"/>
      <c r="S1040" s="28"/>
      <c r="T1040" s="28"/>
      <c r="U1040" s="28"/>
      <c r="V1040" s="28"/>
      <c r="W1040" s="28"/>
      <c r="X1040" s="28"/>
      <c r="Y1040" s="28"/>
      <c r="Z1040" s="28"/>
      <c r="AA1040" s="28"/>
    </row>
    <row r="1041" spans="1:27" ht="15" x14ac:dyDescent="0.25">
      <c r="A1041" s="28"/>
      <c r="B1041" s="28"/>
      <c r="C1041" s="59"/>
      <c r="D1041" s="59"/>
      <c r="E1041" s="60"/>
      <c r="F1041" s="61"/>
      <c r="G1041" s="61"/>
      <c r="H1041" s="28"/>
      <c r="I1041" s="28"/>
      <c r="J1041" s="28"/>
      <c r="K1041" s="28"/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  <c r="AA1041" s="28"/>
    </row>
    <row r="1042" spans="1:27" ht="15" x14ac:dyDescent="0.25">
      <c r="A1042" s="28"/>
      <c r="B1042" s="28"/>
      <c r="C1042" s="59"/>
      <c r="D1042" s="59"/>
      <c r="E1042" s="60"/>
      <c r="F1042" s="61"/>
      <c r="G1042" s="61"/>
      <c r="H1042" s="28"/>
      <c r="I1042" s="28"/>
      <c r="J1042" s="28"/>
      <c r="K1042" s="28"/>
      <c r="L1042" s="28"/>
      <c r="M1042" s="28"/>
      <c r="N1042" s="28"/>
      <c r="O1042" s="28"/>
      <c r="P1042" s="28"/>
      <c r="Q1042" s="28"/>
      <c r="R1042" s="28"/>
      <c r="S1042" s="28"/>
      <c r="T1042" s="28"/>
      <c r="U1042" s="28"/>
      <c r="V1042" s="28"/>
      <c r="W1042" s="28"/>
      <c r="X1042" s="28"/>
      <c r="Y1042" s="28"/>
      <c r="Z1042" s="28"/>
      <c r="AA1042" s="28"/>
    </row>
    <row r="1043" spans="1:27" ht="15" x14ac:dyDescent="0.25">
      <c r="A1043" s="28"/>
      <c r="B1043" s="28"/>
      <c r="C1043" s="59"/>
      <c r="D1043" s="59"/>
      <c r="E1043" s="60"/>
      <c r="F1043" s="61"/>
      <c r="G1043" s="61"/>
      <c r="H1043" s="28"/>
      <c r="I1043" s="28"/>
      <c r="J1043" s="28"/>
      <c r="K1043" s="28"/>
      <c r="L1043" s="28"/>
      <c r="M1043" s="28"/>
      <c r="N1043" s="28"/>
      <c r="O1043" s="28"/>
      <c r="P1043" s="28"/>
      <c r="Q1043" s="28"/>
      <c r="R1043" s="28"/>
      <c r="S1043" s="28"/>
      <c r="T1043" s="28"/>
      <c r="U1043" s="28"/>
      <c r="V1043" s="28"/>
      <c r="W1043" s="28"/>
      <c r="X1043" s="28"/>
      <c r="Y1043" s="28"/>
      <c r="Z1043" s="28"/>
      <c r="AA1043" s="28"/>
    </row>
    <row r="1044" spans="1:27" ht="15" x14ac:dyDescent="0.25">
      <c r="A1044" s="28"/>
      <c r="B1044" s="28"/>
      <c r="C1044" s="59"/>
      <c r="D1044" s="59"/>
      <c r="E1044" s="60"/>
      <c r="F1044" s="61"/>
      <c r="G1044" s="61"/>
      <c r="H1044" s="28"/>
      <c r="I1044" s="28"/>
      <c r="J1044" s="28"/>
      <c r="K1044" s="28"/>
      <c r="L1044" s="28"/>
      <c r="M1044" s="28"/>
      <c r="N1044" s="28"/>
      <c r="O1044" s="28"/>
      <c r="P1044" s="28"/>
      <c r="Q1044" s="28"/>
      <c r="R1044" s="28"/>
      <c r="S1044" s="28"/>
      <c r="T1044" s="28"/>
      <c r="U1044" s="28"/>
      <c r="V1044" s="28"/>
      <c r="W1044" s="28"/>
      <c r="X1044" s="28"/>
      <c r="Y1044" s="28"/>
      <c r="Z1044" s="28"/>
      <c r="AA1044" s="28"/>
    </row>
    <row r="1045" spans="1:27" ht="15" x14ac:dyDescent="0.25">
      <c r="A1045" s="28"/>
      <c r="B1045" s="28"/>
      <c r="C1045" s="59"/>
      <c r="D1045" s="59"/>
      <c r="E1045" s="60"/>
      <c r="F1045" s="61"/>
      <c r="G1045" s="61"/>
      <c r="H1045" s="28"/>
      <c r="I1045" s="28"/>
      <c r="J1045" s="28"/>
      <c r="K1045" s="28"/>
      <c r="L1045" s="28"/>
      <c r="M1045" s="28"/>
      <c r="N1045" s="28"/>
      <c r="O1045" s="28"/>
      <c r="P1045" s="28"/>
      <c r="Q1045" s="28"/>
      <c r="R1045" s="28"/>
      <c r="S1045" s="28"/>
      <c r="T1045" s="28"/>
      <c r="U1045" s="28"/>
      <c r="V1045" s="28"/>
      <c r="W1045" s="28"/>
      <c r="X1045" s="28"/>
      <c r="Y1045" s="28"/>
      <c r="Z1045" s="28"/>
      <c r="AA1045" s="28"/>
    </row>
    <row r="1046" spans="1:27" ht="15" x14ac:dyDescent="0.25">
      <c r="A1046" s="28"/>
      <c r="B1046" s="28"/>
      <c r="C1046" s="59"/>
      <c r="D1046" s="59"/>
      <c r="E1046" s="60"/>
      <c r="F1046" s="61"/>
      <c r="G1046" s="61"/>
      <c r="H1046" s="28"/>
      <c r="I1046" s="28"/>
      <c r="J1046" s="28"/>
      <c r="K1046" s="28"/>
      <c r="L1046" s="28"/>
      <c r="M1046" s="28"/>
      <c r="N1046" s="28"/>
      <c r="O1046" s="28"/>
      <c r="P1046" s="28"/>
      <c r="Q1046" s="28"/>
      <c r="R1046" s="28"/>
      <c r="S1046" s="28"/>
      <c r="T1046" s="28"/>
      <c r="U1046" s="28"/>
      <c r="V1046" s="28"/>
      <c r="W1046" s="28"/>
      <c r="X1046" s="28"/>
      <c r="Y1046" s="28"/>
      <c r="Z1046" s="28"/>
      <c r="AA1046" s="28"/>
    </row>
    <row r="1047" spans="1:27" ht="15" x14ac:dyDescent="0.25">
      <c r="A1047" s="28"/>
      <c r="B1047" s="28"/>
      <c r="C1047" s="59"/>
      <c r="D1047" s="59"/>
      <c r="E1047" s="60"/>
      <c r="F1047" s="61"/>
      <c r="G1047" s="61"/>
      <c r="H1047" s="28"/>
      <c r="I1047" s="28"/>
      <c r="J1047" s="28"/>
      <c r="K1047" s="28"/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  <c r="AA1047" s="28"/>
    </row>
    <row r="1048" spans="1:27" ht="15" x14ac:dyDescent="0.25">
      <c r="A1048" s="28"/>
      <c r="B1048" s="28"/>
      <c r="C1048" s="59"/>
      <c r="D1048" s="59"/>
      <c r="E1048" s="60"/>
      <c r="F1048" s="61"/>
      <c r="G1048" s="61"/>
      <c r="H1048" s="28"/>
      <c r="I1048" s="28"/>
      <c r="J1048" s="28"/>
      <c r="K1048" s="28"/>
      <c r="L1048" s="28"/>
      <c r="M1048" s="28"/>
      <c r="N1048" s="28"/>
      <c r="O1048" s="28"/>
      <c r="P1048" s="28"/>
      <c r="Q1048" s="28"/>
      <c r="R1048" s="28"/>
      <c r="S1048" s="28"/>
      <c r="T1048" s="28"/>
      <c r="U1048" s="28"/>
      <c r="V1048" s="28"/>
      <c r="W1048" s="28"/>
      <c r="X1048" s="28"/>
      <c r="Y1048" s="28"/>
      <c r="Z1048" s="28"/>
      <c r="AA1048" s="28"/>
    </row>
    <row r="1049" spans="1:27" ht="15" x14ac:dyDescent="0.25">
      <c r="A1049" s="28"/>
      <c r="B1049" s="28"/>
      <c r="C1049" s="59"/>
      <c r="D1049" s="59"/>
      <c r="E1049" s="60"/>
      <c r="F1049" s="61"/>
      <c r="G1049" s="61"/>
      <c r="H1049" s="28"/>
      <c r="I1049" s="28"/>
      <c r="J1049" s="28"/>
      <c r="K1049" s="28"/>
      <c r="L1049" s="28"/>
      <c r="M1049" s="28"/>
      <c r="N1049" s="28"/>
      <c r="O1049" s="28"/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28"/>
      <c r="AA1049" s="28"/>
    </row>
    <row r="1050" spans="1:27" ht="15" x14ac:dyDescent="0.25">
      <c r="A1050" s="28"/>
      <c r="B1050" s="28"/>
      <c r="C1050" s="59"/>
      <c r="D1050" s="59"/>
      <c r="E1050" s="60"/>
      <c r="F1050" s="61"/>
      <c r="G1050" s="61"/>
      <c r="H1050" s="28"/>
      <c r="I1050" s="28"/>
      <c r="J1050" s="28"/>
      <c r="K1050" s="28"/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  <c r="AA1050" s="28"/>
    </row>
    <row r="1051" spans="1:27" ht="15" x14ac:dyDescent="0.25">
      <c r="A1051" s="28"/>
      <c r="B1051" s="28"/>
      <c r="C1051" s="59"/>
      <c r="D1051" s="59"/>
      <c r="E1051" s="60"/>
      <c r="F1051" s="61"/>
      <c r="G1051" s="61"/>
      <c r="H1051" s="28"/>
      <c r="I1051" s="28"/>
      <c r="J1051" s="28"/>
      <c r="K1051" s="28"/>
      <c r="L1051" s="28"/>
      <c r="M1051" s="28"/>
      <c r="N1051" s="28"/>
      <c r="O1051" s="28"/>
      <c r="P1051" s="28"/>
      <c r="Q1051" s="28"/>
      <c r="R1051" s="28"/>
      <c r="S1051" s="28"/>
      <c r="T1051" s="28"/>
      <c r="U1051" s="28"/>
      <c r="V1051" s="28"/>
      <c r="W1051" s="28"/>
      <c r="X1051" s="28"/>
      <c r="Y1051" s="28"/>
      <c r="Z1051" s="28"/>
      <c r="AA1051" s="28"/>
    </row>
    <row r="1052" spans="1:27" ht="15" x14ac:dyDescent="0.25">
      <c r="A1052" s="28"/>
      <c r="B1052" s="28"/>
      <c r="C1052" s="59"/>
      <c r="D1052" s="59"/>
      <c r="E1052" s="60"/>
      <c r="F1052" s="61"/>
      <c r="G1052" s="61"/>
      <c r="H1052" s="28"/>
      <c r="I1052" s="28"/>
      <c r="J1052" s="28"/>
      <c r="K1052" s="28"/>
      <c r="L1052" s="28"/>
      <c r="M1052" s="28"/>
      <c r="N1052" s="28"/>
      <c r="O1052" s="28"/>
      <c r="P1052" s="28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  <c r="AA1052" s="28"/>
    </row>
    <row r="1053" spans="1:27" ht="15" x14ac:dyDescent="0.25">
      <c r="A1053" s="28"/>
      <c r="B1053" s="28"/>
      <c r="C1053" s="59"/>
      <c r="D1053" s="59"/>
      <c r="E1053" s="60"/>
      <c r="F1053" s="61"/>
      <c r="G1053" s="61"/>
      <c r="H1053" s="28"/>
      <c r="I1053" s="28"/>
      <c r="J1053" s="28"/>
      <c r="K1053" s="28"/>
      <c r="L1053" s="28"/>
      <c r="M1053" s="28"/>
      <c r="N1053" s="28"/>
      <c r="O1053" s="28"/>
      <c r="P1053" s="28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  <c r="AA1053" s="28"/>
    </row>
    <row r="1054" spans="1:27" ht="15" x14ac:dyDescent="0.25">
      <c r="A1054" s="28"/>
      <c r="B1054" s="28"/>
      <c r="C1054" s="59"/>
      <c r="D1054" s="59"/>
      <c r="E1054" s="60"/>
      <c r="F1054" s="61"/>
      <c r="G1054" s="61"/>
      <c r="H1054" s="28"/>
      <c r="I1054" s="28"/>
      <c r="J1054" s="28"/>
      <c r="K1054" s="28"/>
      <c r="L1054" s="28"/>
      <c r="M1054" s="28"/>
      <c r="N1054" s="28"/>
      <c r="O1054" s="28"/>
      <c r="P1054" s="28"/>
      <c r="Q1054" s="28"/>
      <c r="R1054" s="28"/>
      <c r="S1054" s="28"/>
      <c r="T1054" s="28"/>
      <c r="U1054" s="28"/>
      <c r="V1054" s="28"/>
      <c r="W1054" s="28"/>
      <c r="X1054" s="28"/>
      <c r="Y1054" s="28"/>
      <c r="Z1054" s="28"/>
      <c r="AA1054" s="28"/>
    </row>
    <row r="1055" spans="1:27" ht="15" x14ac:dyDescent="0.25">
      <c r="A1055" s="28"/>
      <c r="B1055" s="28"/>
      <c r="C1055" s="59"/>
      <c r="D1055" s="59"/>
      <c r="E1055" s="60"/>
      <c r="F1055" s="61"/>
      <c r="G1055" s="61"/>
      <c r="H1055" s="28"/>
      <c r="I1055" s="28"/>
      <c r="J1055" s="28"/>
      <c r="K1055" s="28"/>
      <c r="L1055" s="28"/>
      <c r="M1055" s="28"/>
      <c r="N1055" s="28"/>
      <c r="O1055" s="28"/>
      <c r="P1055" s="28"/>
      <c r="Q1055" s="28"/>
      <c r="R1055" s="28"/>
      <c r="S1055" s="28"/>
      <c r="T1055" s="28"/>
      <c r="U1055" s="28"/>
      <c r="V1055" s="28"/>
      <c r="W1055" s="28"/>
      <c r="X1055" s="28"/>
      <c r="Y1055" s="28"/>
      <c r="Z1055" s="28"/>
      <c r="AA1055" s="28"/>
    </row>
    <row r="1056" spans="1:27" ht="15" x14ac:dyDescent="0.25">
      <c r="A1056" s="28"/>
      <c r="B1056" s="28"/>
      <c r="C1056" s="59"/>
      <c r="D1056" s="59"/>
      <c r="E1056" s="60"/>
      <c r="F1056" s="61"/>
      <c r="G1056" s="61"/>
      <c r="H1056" s="28"/>
      <c r="I1056" s="28"/>
      <c r="J1056" s="28"/>
      <c r="K1056" s="28"/>
      <c r="L1056" s="28"/>
      <c r="M1056" s="28"/>
      <c r="N1056" s="28"/>
      <c r="O1056" s="28"/>
      <c r="P1056" s="28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/>
      <c r="AA1056" s="28"/>
    </row>
    <row r="1057" spans="1:27" ht="15" x14ac:dyDescent="0.25">
      <c r="A1057" s="28"/>
      <c r="B1057" s="28"/>
      <c r="C1057" s="59"/>
      <c r="D1057" s="59"/>
      <c r="E1057" s="60"/>
      <c r="F1057" s="61"/>
      <c r="G1057" s="61"/>
      <c r="H1057" s="28"/>
      <c r="I1057" s="28"/>
      <c r="J1057" s="28"/>
      <c r="K1057" s="28"/>
      <c r="L1057" s="28"/>
      <c r="M1057" s="28"/>
      <c r="N1057" s="28"/>
      <c r="O1057" s="28"/>
      <c r="P1057" s="28"/>
      <c r="Q1057" s="28"/>
      <c r="R1057" s="28"/>
      <c r="S1057" s="28"/>
      <c r="T1057" s="28"/>
      <c r="U1057" s="28"/>
      <c r="V1057" s="28"/>
      <c r="W1057" s="28"/>
      <c r="X1057" s="28"/>
      <c r="Y1057" s="28"/>
      <c r="Z1057" s="28"/>
      <c r="AA1057" s="28"/>
    </row>
    <row r="1058" spans="1:27" ht="15" x14ac:dyDescent="0.25">
      <c r="A1058" s="28"/>
      <c r="B1058" s="28"/>
      <c r="C1058" s="59"/>
      <c r="D1058" s="59"/>
      <c r="E1058" s="60"/>
      <c r="F1058" s="61"/>
      <c r="G1058" s="61"/>
      <c r="H1058" s="28"/>
      <c r="I1058" s="28"/>
      <c r="J1058" s="28"/>
      <c r="K1058" s="28"/>
      <c r="L1058" s="28"/>
      <c r="M1058" s="28"/>
      <c r="N1058" s="28"/>
      <c r="O1058" s="28"/>
      <c r="P1058" s="28"/>
      <c r="Q1058" s="28"/>
      <c r="R1058" s="28"/>
      <c r="S1058" s="28"/>
      <c r="T1058" s="28"/>
      <c r="U1058" s="28"/>
      <c r="V1058" s="28"/>
      <c r="W1058" s="28"/>
      <c r="X1058" s="28"/>
      <c r="Y1058" s="28"/>
      <c r="Z1058" s="28"/>
      <c r="AA1058" s="28"/>
    </row>
    <row r="1059" spans="1:27" ht="15" x14ac:dyDescent="0.25">
      <c r="A1059" s="28"/>
      <c r="B1059" s="28"/>
      <c r="C1059" s="59"/>
      <c r="D1059" s="59"/>
      <c r="E1059" s="60"/>
      <c r="F1059" s="61"/>
      <c r="G1059" s="61"/>
      <c r="H1059" s="28"/>
      <c r="I1059" s="28"/>
      <c r="J1059" s="28"/>
      <c r="K1059" s="28"/>
      <c r="L1059" s="28"/>
      <c r="M1059" s="28"/>
      <c r="N1059" s="28"/>
      <c r="O1059" s="28"/>
      <c r="P1059" s="28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  <c r="AA1059" s="28"/>
    </row>
    <row r="1060" spans="1:27" ht="15" x14ac:dyDescent="0.25">
      <c r="A1060" s="28"/>
      <c r="B1060" s="28"/>
      <c r="C1060" s="59"/>
      <c r="D1060" s="59"/>
      <c r="E1060" s="60"/>
      <c r="F1060" s="61"/>
      <c r="G1060" s="61"/>
      <c r="H1060" s="28"/>
      <c r="I1060" s="28"/>
      <c r="J1060" s="28"/>
      <c r="K1060" s="28"/>
      <c r="L1060" s="28"/>
      <c r="M1060" s="28"/>
      <c r="N1060" s="28"/>
      <c r="O1060" s="28"/>
      <c r="P1060" s="28"/>
      <c r="Q1060" s="28"/>
      <c r="R1060" s="28"/>
      <c r="S1060" s="28"/>
      <c r="T1060" s="28"/>
      <c r="U1060" s="28"/>
      <c r="V1060" s="28"/>
      <c r="W1060" s="28"/>
      <c r="X1060" s="28"/>
      <c r="Y1060" s="28"/>
      <c r="Z1060" s="28"/>
      <c r="AA1060" s="28"/>
    </row>
    <row r="1061" spans="1:27" ht="15" x14ac:dyDescent="0.25">
      <c r="A1061" s="28"/>
      <c r="B1061" s="28"/>
      <c r="C1061" s="59"/>
      <c r="D1061" s="59"/>
      <c r="E1061" s="60"/>
      <c r="F1061" s="61"/>
      <c r="G1061" s="61"/>
      <c r="H1061" s="28"/>
      <c r="I1061" s="28"/>
      <c r="J1061" s="28"/>
      <c r="K1061" s="28"/>
      <c r="L1061" s="28"/>
      <c r="M1061" s="28"/>
      <c r="N1061" s="28"/>
      <c r="O1061" s="28"/>
      <c r="P1061" s="28"/>
      <c r="Q1061" s="28"/>
      <c r="R1061" s="28"/>
      <c r="S1061" s="28"/>
      <c r="T1061" s="28"/>
      <c r="U1061" s="28"/>
      <c r="V1061" s="28"/>
      <c r="W1061" s="28"/>
      <c r="X1061" s="28"/>
      <c r="Y1061" s="28"/>
      <c r="Z1061" s="28"/>
      <c r="AA1061" s="28"/>
    </row>
    <row r="1062" spans="1:27" ht="15" x14ac:dyDescent="0.25">
      <c r="A1062" s="28"/>
      <c r="B1062" s="28"/>
      <c r="C1062" s="59"/>
      <c r="D1062" s="59"/>
      <c r="E1062" s="60"/>
      <c r="F1062" s="61"/>
      <c r="G1062" s="61"/>
      <c r="H1062" s="28"/>
      <c r="I1062" s="28"/>
      <c r="J1062" s="28"/>
      <c r="K1062" s="28"/>
      <c r="L1062" s="28"/>
      <c r="M1062" s="28"/>
      <c r="N1062" s="28"/>
      <c r="O1062" s="28"/>
      <c r="P1062" s="28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  <c r="AA1062" s="28"/>
    </row>
    <row r="1063" spans="1:27" ht="15" x14ac:dyDescent="0.25">
      <c r="A1063" s="28"/>
      <c r="B1063" s="28"/>
      <c r="C1063" s="59"/>
      <c r="D1063" s="59"/>
      <c r="E1063" s="60"/>
      <c r="F1063" s="61"/>
      <c r="G1063" s="61"/>
      <c r="H1063" s="28"/>
      <c r="I1063" s="28"/>
      <c r="J1063" s="28"/>
      <c r="K1063" s="28"/>
      <c r="L1063" s="28"/>
      <c r="M1063" s="28"/>
      <c r="N1063" s="28"/>
      <c r="O1063" s="28"/>
      <c r="P1063" s="28"/>
      <c r="Q1063" s="28"/>
      <c r="R1063" s="28"/>
      <c r="S1063" s="28"/>
      <c r="T1063" s="28"/>
      <c r="U1063" s="28"/>
      <c r="V1063" s="28"/>
      <c r="W1063" s="28"/>
      <c r="X1063" s="28"/>
      <c r="Y1063" s="28"/>
      <c r="Z1063" s="28"/>
      <c r="AA1063" s="28"/>
    </row>
    <row r="1064" spans="1:27" ht="15" x14ac:dyDescent="0.25">
      <c r="A1064" s="28"/>
      <c r="B1064" s="28"/>
      <c r="C1064" s="59"/>
      <c r="D1064" s="59"/>
      <c r="E1064" s="60"/>
      <c r="F1064" s="61"/>
      <c r="G1064" s="61"/>
      <c r="H1064" s="28"/>
      <c r="I1064" s="28"/>
      <c r="J1064" s="28"/>
      <c r="K1064" s="28"/>
      <c r="L1064" s="28"/>
      <c r="M1064" s="28"/>
      <c r="N1064" s="28"/>
      <c r="O1064" s="28"/>
      <c r="P1064" s="28"/>
      <c r="Q1064" s="28"/>
      <c r="R1064" s="28"/>
      <c r="S1064" s="28"/>
      <c r="T1064" s="28"/>
      <c r="U1064" s="28"/>
      <c r="V1064" s="28"/>
      <c r="W1064" s="28"/>
      <c r="X1064" s="28"/>
      <c r="Y1064" s="28"/>
      <c r="Z1064" s="28"/>
      <c r="AA1064" s="28"/>
    </row>
    <row r="1065" spans="1:27" ht="15" x14ac:dyDescent="0.25">
      <c r="A1065" s="28"/>
      <c r="B1065" s="28"/>
      <c r="C1065" s="59"/>
      <c r="D1065" s="59"/>
      <c r="E1065" s="60"/>
      <c r="F1065" s="61"/>
      <c r="G1065" s="61"/>
      <c r="H1065" s="28"/>
      <c r="I1065" s="28"/>
      <c r="J1065" s="28"/>
      <c r="K1065" s="28"/>
      <c r="L1065" s="28"/>
      <c r="M1065" s="28"/>
      <c r="N1065" s="28"/>
      <c r="O1065" s="28"/>
      <c r="P1065" s="28"/>
      <c r="Q1065" s="28"/>
      <c r="R1065" s="28"/>
      <c r="S1065" s="28"/>
      <c r="T1065" s="28"/>
      <c r="U1065" s="28"/>
      <c r="V1065" s="28"/>
      <c r="W1065" s="28"/>
      <c r="X1065" s="28"/>
      <c r="Y1065" s="28"/>
      <c r="Z1065" s="28"/>
      <c r="AA1065" s="28"/>
    </row>
    <row r="1066" spans="1:27" ht="15" x14ac:dyDescent="0.25">
      <c r="A1066" s="28"/>
      <c r="B1066" s="28"/>
      <c r="C1066" s="59"/>
      <c r="D1066" s="59"/>
      <c r="E1066" s="60"/>
      <c r="F1066" s="61"/>
      <c r="G1066" s="61"/>
      <c r="H1066" s="28"/>
      <c r="I1066" s="28"/>
      <c r="J1066" s="28"/>
      <c r="K1066" s="28"/>
      <c r="L1066" s="28"/>
      <c r="M1066" s="28"/>
      <c r="N1066" s="28"/>
      <c r="O1066" s="28"/>
      <c r="P1066" s="28"/>
      <c r="Q1066" s="28"/>
      <c r="R1066" s="28"/>
      <c r="S1066" s="28"/>
      <c r="T1066" s="28"/>
      <c r="U1066" s="28"/>
      <c r="V1066" s="28"/>
      <c r="W1066" s="28"/>
      <c r="X1066" s="28"/>
      <c r="Y1066" s="28"/>
      <c r="Z1066" s="28"/>
      <c r="AA1066" s="28"/>
    </row>
    <row r="1067" spans="1:27" ht="15" x14ac:dyDescent="0.25">
      <c r="A1067" s="28"/>
      <c r="B1067" s="28"/>
      <c r="C1067" s="59"/>
      <c r="D1067" s="59"/>
      <c r="E1067" s="60"/>
      <c r="F1067" s="61"/>
      <c r="G1067" s="61"/>
      <c r="H1067" s="28"/>
      <c r="I1067" s="28"/>
      <c r="J1067" s="28"/>
      <c r="K1067" s="28"/>
      <c r="L1067" s="28"/>
      <c r="M1067" s="28"/>
      <c r="N1067" s="28"/>
      <c r="O1067" s="28"/>
      <c r="P1067" s="28"/>
      <c r="Q1067" s="28"/>
      <c r="R1067" s="28"/>
      <c r="S1067" s="28"/>
      <c r="T1067" s="28"/>
      <c r="U1067" s="28"/>
      <c r="V1067" s="28"/>
      <c r="W1067" s="28"/>
      <c r="X1067" s="28"/>
      <c r="Y1067" s="28"/>
      <c r="Z1067" s="28"/>
      <c r="AA1067" s="28"/>
    </row>
    <row r="1068" spans="1:27" ht="15" x14ac:dyDescent="0.25">
      <c r="A1068" s="28"/>
      <c r="B1068" s="28"/>
      <c r="C1068" s="59"/>
      <c r="D1068" s="59"/>
      <c r="E1068" s="60"/>
      <c r="F1068" s="61"/>
      <c r="G1068" s="61"/>
      <c r="H1068" s="28"/>
      <c r="I1068" s="28"/>
      <c r="J1068" s="28"/>
      <c r="K1068" s="28"/>
      <c r="L1068" s="28"/>
      <c r="M1068" s="28"/>
      <c r="N1068" s="28"/>
      <c r="O1068" s="28"/>
      <c r="P1068" s="28"/>
      <c r="Q1068" s="28"/>
      <c r="R1068" s="28"/>
      <c r="S1068" s="28"/>
      <c r="T1068" s="28"/>
      <c r="U1068" s="28"/>
      <c r="V1068" s="28"/>
      <c r="W1068" s="28"/>
      <c r="X1068" s="28"/>
      <c r="Y1068" s="28"/>
      <c r="Z1068" s="28"/>
      <c r="AA1068" s="28"/>
    </row>
    <row r="1069" spans="1:27" ht="15" x14ac:dyDescent="0.25">
      <c r="A1069" s="28"/>
      <c r="B1069" s="28"/>
      <c r="C1069" s="59"/>
      <c r="D1069" s="59"/>
      <c r="E1069" s="60"/>
      <c r="F1069" s="61"/>
      <c r="G1069" s="61"/>
      <c r="H1069" s="28"/>
      <c r="I1069" s="28"/>
      <c r="J1069" s="28"/>
      <c r="K1069" s="28"/>
      <c r="L1069" s="28"/>
      <c r="M1069" s="28"/>
      <c r="N1069" s="28"/>
      <c r="O1069" s="28"/>
      <c r="P1069" s="28"/>
      <c r="Q1069" s="28"/>
      <c r="R1069" s="28"/>
      <c r="S1069" s="28"/>
      <c r="T1069" s="28"/>
      <c r="U1069" s="28"/>
      <c r="V1069" s="28"/>
      <c r="W1069" s="28"/>
      <c r="X1069" s="28"/>
      <c r="Y1069" s="28"/>
      <c r="Z1069" s="28"/>
      <c r="AA1069" s="28"/>
    </row>
    <row r="1070" spans="1:27" ht="15" x14ac:dyDescent="0.25">
      <c r="A1070" s="28"/>
      <c r="B1070" s="28"/>
      <c r="C1070" s="59"/>
      <c r="D1070" s="59"/>
      <c r="E1070" s="60"/>
      <c r="F1070" s="61"/>
      <c r="G1070" s="61"/>
      <c r="H1070" s="28"/>
      <c r="I1070" s="28"/>
      <c r="J1070" s="28"/>
      <c r="K1070" s="28"/>
      <c r="L1070" s="28"/>
      <c r="M1070" s="28"/>
      <c r="N1070" s="28"/>
      <c r="O1070" s="28"/>
      <c r="P1070" s="28"/>
      <c r="Q1070" s="28"/>
      <c r="R1070" s="28"/>
      <c r="S1070" s="28"/>
      <c r="T1070" s="28"/>
      <c r="U1070" s="28"/>
      <c r="V1070" s="28"/>
      <c r="W1070" s="28"/>
      <c r="X1070" s="28"/>
      <c r="Y1070" s="28"/>
      <c r="Z1070" s="28"/>
      <c r="AA1070" s="28"/>
    </row>
    <row r="1071" spans="1:27" ht="15" x14ac:dyDescent="0.25">
      <c r="A1071" s="28"/>
      <c r="B1071" s="28"/>
      <c r="C1071" s="59"/>
      <c r="D1071" s="59"/>
      <c r="E1071" s="60"/>
      <c r="F1071" s="61"/>
      <c r="G1071" s="61"/>
      <c r="H1071" s="28"/>
      <c r="I1071" s="28"/>
      <c r="J1071" s="28"/>
      <c r="K1071" s="28"/>
      <c r="L1071" s="28"/>
      <c r="M1071" s="28"/>
      <c r="N1071" s="28"/>
      <c r="O1071" s="28"/>
      <c r="P1071" s="28"/>
      <c r="Q1071" s="28"/>
      <c r="R1071" s="28"/>
      <c r="S1071" s="28"/>
      <c r="T1071" s="28"/>
      <c r="U1071" s="28"/>
      <c r="V1071" s="28"/>
      <c r="W1071" s="28"/>
      <c r="X1071" s="28"/>
      <c r="Y1071" s="28"/>
      <c r="Z1071" s="28"/>
      <c r="AA1071" s="28"/>
    </row>
    <row r="1072" spans="1:27" ht="15" x14ac:dyDescent="0.25">
      <c r="A1072" s="28"/>
      <c r="B1072" s="28"/>
      <c r="C1072" s="59"/>
      <c r="D1072" s="59"/>
      <c r="E1072" s="60"/>
      <c r="F1072" s="61"/>
      <c r="G1072" s="61"/>
      <c r="H1072" s="28"/>
      <c r="I1072" s="28"/>
      <c r="J1072" s="28"/>
      <c r="K1072" s="28"/>
      <c r="L1072" s="28"/>
      <c r="M1072" s="28"/>
      <c r="N1072" s="28"/>
      <c r="O1072" s="28"/>
      <c r="P1072" s="28"/>
      <c r="Q1072" s="28"/>
      <c r="R1072" s="28"/>
      <c r="S1072" s="28"/>
      <c r="T1072" s="28"/>
      <c r="U1072" s="28"/>
      <c r="V1072" s="28"/>
      <c r="W1072" s="28"/>
      <c r="X1072" s="28"/>
      <c r="Y1072" s="28"/>
      <c r="Z1072" s="28"/>
      <c r="AA1072" s="28"/>
    </row>
    <row r="1073" spans="1:27" ht="15" x14ac:dyDescent="0.25">
      <c r="A1073" s="28"/>
      <c r="B1073" s="28"/>
      <c r="C1073" s="59"/>
      <c r="D1073" s="59"/>
      <c r="E1073" s="60"/>
      <c r="F1073" s="61"/>
      <c r="G1073" s="61"/>
      <c r="H1073" s="28"/>
      <c r="I1073" s="28"/>
      <c r="J1073" s="28"/>
      <c r="K1073" s="28"/>
      <c r="L1073" s="28"/>
      <c r="M1073" s="28"/>
      <c r="N1073" s="28"/>
      <c r="O1073" s="28"/>
      <c r="P1073" s="28"/>
      <c r="Q1073" s="28"/>
      <c r="R1073" s="28"/>
      <c r="S1073" s="28"/>
      <c r="T1073" s="28"/>
      <c r="U1073" s="28"/>
      <c r="V1073" s="28"/>
      <c r="W1073" s="28"/>
      <c r="X1073" s="28"/>
      <c r="Y1073" s="28"/>
      <c r="Z1073" s="28"/>
      <c r="AA1073" s="28"/>
    </row>
    <row r="1074" spans="1:27" ht="15" x14ac:dyDescent="0.25">
      <c r="A1074" s="28"/>
      <c r="B1074" s="28"/>
      <c r="C1074" s="59"/>
      <c r="D1074" s="59"/>
      <c r="E1074" s="60"/>
      <c r="F1074" s="61"/>
      <c r="G1074" s="61"/>
      <c r="H1074" s="28"/>
      <c r="I1074" s="28"/>
      <c r="J1074" s="28"/>
      <c r="K1074" s="28"/>
      <c r="L1074" s="28"/>
      <c r="M1074" s="28"/>
      <c r="N1074" s="28"/>
      <c r="O1074" s="28"/>
      <c r="P1074" s="28"/>
      <c r="Q1074" s="28"/>
      <c r="R1074" s="28"/>
      <c r="S1074" s="28"/>
      <c r="T1074" s="28"/>
      <c r="U1074" s="28"/>
      <c r="V1074" s="28"/>
      <c r="W1074" s="28"/>
      <c r="X1074" s="28"/>
      <c r="Y1074" s="28"/>
      <c r="Z1074" s="28"/>
      <c r="AA1074" s="28"/>
    </row>
    <row r="1075" spans="1:27" ht="15" x14ac:dyDescent="0.25">
      <c r="A1075" s="28"/>
      <c r="B1075" s="28"/>
      <c r="C1075" s="59"/>
      <c r="D1075" s="59"/>
      <c r="E1075" s="60"/>
      <c r="F1075" s="61"/>
      <c r="G1075" s="61"/>
      <c r="H1075" s="28"/>
      <c r="I1075" s="28"/>
      <c r="J1075" s="28"/>
      <c r="K1075" s="28"/>
      <c r="L1075" s="28"/>
      <c r="M1075" s="28"/>
      <c r="N1075" s="28"/>
      <c r="O1075" s="28"/>
      <c r="P1075" s="28"/>
      <c r="Q1075" s="28"/>
      <c r="R1075" s="28"/>
      <c r="S1075" s="28"/>
      <c r="T1075" s="28"/>
      <c r="U1075" s="28"/>
      <c r="V1075" s="28"/>
      <c r="W1075" s="28"/>
      <c r="X1075" s="28"/>
      <c r="Y1075" s="28"/>
      <c r="Z1075" s="28"/>
      <c r="AA1075" s="28"/>
    </row>
    <row r="1076" spans="1:27" ht="15" x14ac:dyDescent="0.25">
      <c r="A1076" s="28"/>
      <c r="B1076" s="28"/>
      <c r="C1076" s="59"/>
      <c r="D1076" s="59"/>
      <c r="E1076" s="60"/>
      <c r="F1076" s="61"/>
      <c r="G1076" s="61"/>
      <c r="H1076" s="28"/>
      <c r="I1076" s="28"/>
      <c r="J1076" s="28"/>
      <c r="K1076" s="28"/>
      <c r="L1076" s="28"/>
      <c r="M1076" s="28"/>
      <c r="N1076" s="28"/>
      <c r="O1076" s="28"/>
      <c r="P1076" s="28"/>
      <c r="Q1076" s="28"/>
      <c r="R1076" s="28"/>
      <c r="S1076" s="28"/>
      <c r="T1076" s="28"/>
      <c r="U1076" s="28"/>
      <c r="V1076" s="28"/>
      <c r="W1076" s="28"/>
      <c r="X1076" s="28"/>
      <c r="Y1076" s="28"/>
      <c r="Z1076" s="28"/>
      <c r="AA1076" s="28"/>
    </row>
    <row r="1077" spans="1:27" ht="15" x14ac:dyDescent="0.25">
      <c r="A1077" s="28"/>
      <c r="B1077" s="28"/>
      <c r="C1077" s="59"/>
      <c r="D1077" s="59"/>
      <c r="E1077" s="60"/>
      <c r="F1077" s="61"/>
      <c r="G1077" s="61"/>
      <c r="H1077" s="28"/>
      <c r="I1077" s="28"/>
      <c r="J1077" s="28"/>
      <c r="K1077" s="28"/>
      <c r="L1077" s="28"/>
      <c r="M1077" s="28"/>
      <c r="N1077" s="28"/>
      <c r="O1077" s="28"/>
      <c r="P1077" s="28"/>
      <c r="Q1077" s="28"/>
      <c r="R1077" s="28"/>
      <c r="S1077" s="28"/>
      <c r="T1077" s="28"/>
      <c r="U1077" s="28"/>
      <c r="V1077" s="28"/>
      <c r="W1077" s="28"/>
      <c r="X1077" s="28"/>
      <c r="Y1077" s="28"/>
      <c r="Z1077" s="28"/>
      <c r="AA1077" s="28"/>
    </row>
  </sheetData>
  <autoFilter ref="A6:H249">
    <sortState ref="A6:H249">
      <sortCondition ref="A6:A249"/>
      <sortCondition ref="B6:B249"/>
    </sortState>
  </autoFilter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FCKT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FACTORY</dc:creator>
  <cp:lastModifiedBy>FACTORY</cp:lastModifiedBy>
  <dcterms:created xsi:type="dcterms:W3CDTF">2026-10-05T00:24:38Z</dcterms:created>
  <dcterms:modified xsi:type="dcterms:W3CDTF">2026-10-05T00:24:50Z</dcterms:modified>
</cp:coreProperties>
</file>