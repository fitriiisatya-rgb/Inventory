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CM\Downloads\"/>
    </mc:Choice>
  </mc:AlternateContent>
  <bookViews>
    <workbookView xWindow="0" yWindow="0" windowWidth="20490" windowHeight="7755" tabRatio="500" activeTab="1"/>
  </bookViews>
  <sheets>
    <sheet name="Ringkasan" sheetId="1" r:id="rId1"/>
    <sheet name="Perbandingan" sheetId="2" r:id="rId2"/>
    <sheet name="Data SO" sheetId="3" r:id="rId3"/>
    <sheet name="Data SCM" sheetId="4" r:id="rId4"/>
  </sheets>
  <definedNames>
    <definedName name="_xlnm._FilterDatabase" localSheetId="3" hidden="1">'Data SCM'!$A$1:$I$698</definedName>
    <definedName name="_xlnm._FilterDatabase" localSheetId="2" hidden="1">'Data SO'!$A$1:$H$1085</definedName>
    <definedName name="_xlnm._FilterDatabase" localSheetId="1" hidden="1">Perbandingan!$A$1:$I$453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2" i="2" l="1"/>
  <c r="K453" i="2"/>
  <c r="L453" i="2" s="1"/>
  <c r="D453" i="2" s="1"/>
  <c r="E453" i="2" s="1"/>
  <c r="I453" i="2" s="1"/>
  <c r="G453" i="2"/>
  <c r="H453" i="2" s="1"/>
  <c r="F453" i="2"/>
  <c r="C453" i="2"/>
  <c r="B453" i="2"/>
  <c r="A453" i="2"/>
  <c r="K452" i="2"/>
  <c r="L452" i="2" s="1"/>
  <c r="D452" i="2" s="1"/>
  <c r="E452" i="2" s="1"/>
  <c r="G452" i="2"/>
  <c r="H452" i="2" s="1"/>
  <c r="F452" i="2"/>
  <c r="C452" i="2"/>
  <c r="B452" i="2"/>
  <c r="A452" i="2"/>
  <c r="K451" i="2"/>
  <c r="L451" i="2" s="1"/>
  <c r="D451" i="2" s="1"/>
  <c r="E451" i="2" s="1"/>
  <c r="G451" i="2"/>
  <c r="F451" i="2"/>
  <c r="H451" i="2" s="1"/>
  <c r="C451" i="2"/>
  <c r="B451" i="2"/>
  <c r="A451" i="2"/>
  <c r="L450" i="2"/>
  <c r="D450" i="2" s="1"/>
  <c r="K450" i="2"/>
  <c r="G450" i="2"/>
  <c r="H450" i="2" s="1"/>
  <c r="F450" i="2"/>
  <c r="C450" i="2"/>
  <c r="B450" i="2"/>
  <c r="A450" i="2"/>
  <c r="K449" i="2"/>
  <c r="G449" i="2"/>
  <c r="F449" i="2"/>
  <c r="H449" i="2" s="1"/>
  <c r="C449" i="2"/>
  <c r="B449" i="2"/>
  <c r="A449" i="2"/>
  <c r="L448" i="2"/>
  <c r="D448" i="2" s="1"/>
  <c r="E448" i="2" s="1"/>
  <c r="I448" i="2" s="1"/>
  <c r="K448" i="2"/>
  <c r="G448" i="2"/>
  <c r="H448" i="2" s="1"/>
  <c r="F448" i="2"/>
  <c r="C448" i="2"/>
  <c r="B448" i="2"/>
  <c r="A448" i="2"/>
  <c r="K447" i="2"/>
  <c r="L447" i="2" s="1"/>
  <c r="H447" i="2"/>
  <c r="G447" i="2"/>
  <c r="F447" i="2"/>
  <c r="D447" i="2"/>
  <c r="E447" i="2" s="1"/>
  <c r="I447" i="2" s="1"/>
  <c r="C447" i="2"/>
  <c r="B447" i="2"/>
  <c r="A447" i="2"/>
  <c r="L446" i="2"/>
  <c r="D446" i="2" s="1"/>
  <c r="K446" i="2"/>
  <c r="G446" i="2"/>
  <c r="H446" i="2" s="1"/>
  <c r="F446" i="2"/>
  <c r="C446" i="2"/>
  <c r="B446" i="2"/>
  <c r="A446" i="2"/>
  <c r="K445" i="2"/>
  <c r="G445" i="2"/>
  <c r="F445" i="2"/>
  <c r="H445" i="2" s="1"/>
  <c r="C445" i="2"/>
  <c r="B445" i="2"/>
  <c r="A445" i="2"/>
  <c r="L444" i="2"/>
  <c r="D444" i="2" s="1"/>
  <c r="K444" i="2"/>
  <c r="I444" i="2"/>
  <c r="G444" i="2"/>
  <c r="H444" i="2" s="1"/>
  <c r="F444" i="2"/>
  <c r="E444" i="2"/>
  <c r="C444" i="2"/>
  <c r="B444" i="2"/>
  <c r="A444" i="2"/>
  <c r="K443" i="2"/>
  <c r="L443" i="2" s="1"/>
  <c r="H443" i="2"/>
  <c r="G443" i="2"/>
  <c r="F443" i="2"/>
  <c r="D443" i="2"/>
  <c r="E443" i="2" s="1"/>
  <c r="C443" i="2"/>
  <c r="B443" i="2"/>
  <c r="A443" i="2"/>
  <c r="L442" i="2"/>
  <c r="D442" i="2" s="1"/>
  <c r="K442" i="2"/>
  <c r="G442" i="2"/>
  <c r="H442" i="2" s="1"/>
  <c r="F442" i="2"/>
  <c r="C442" i="2"/>
  <c r="B442" i="2"/>
  <c r="A442" i="2"/>
  <c r="K441" i="2"/>
  <c r="G441" i="2"/>
  <c r="F441" i="2"/>
  <c r="H441" i="2" s="1"/>
  <c r="C441" i="2"/>
  <c r="B441" i="2"/>
  <c r="A441" i="2"/>
  <c r="L440" i="2"/>
  <c r="D440" i="2" s="1"/>
  <c r="E440" i="2" s="1"/>
  <c r="I440" i="2" s="1"/>
  <c r="K440" i="2"/>
  <c r="G440" i="2"/>
  <c r="H440" i="2" s="1"/>
  <c r="F440" i="2"/>
  <c r="C440" i="2"/>
  <c r="B440" i="2"/>
  <c r="A440" i="2"/>
  <c r="K439" i="2"/>
  <c r="G439" i="2"/>
  <c r="F439" i="2"/>
  <c r="H439" i="2" s="1"/>
  <c r="C439" i="2"/>
  <c r="B439" i="2"/>
  <c r="A439" i="2"/>
  <c r="L438" i="2"/>
  <c r="D438" i="2" s="1"/>
  <c r="E438" i="2" s="1"/>
  <c r="K438" i="2"/>
  <c r="G438" i="2"/>
  <c r="H438" i="2" s="1"/>
  <c r="F438" i="2"/>
  <c r="C438" i="2"/>
  <c r="B438" i="2"/>
  <c r="A438" i="2"/>
  <c r="K437" i="2"/>
  <c r="H437" i="2"/>
  <c r="G437" i="2"/>
  <c r="F437" i="2"/>
  <c r="C437" i="2"/>
  <c r="B437" i="2"/>
  <c r="A437" i="2"/>
  <c r="L436" i="2"/>
  <c r="D436" i="2" s="1"/>
  <c r="K436" i="2"/>
  <c r="G436" i="2"/>
  <c r="H436" i="2" s="1"/>
  <c r="F436" i="2"/>
  <c r="C436" i="2"/>
  <c r="E436" i="2" s="1"/>
  <c r="I436" i="2" s="1"/>
  <c r="B436" i="2"/>
  <c r="A436" i="2"/>
  <c r="K435" i="2"/>
  <c r="L435" i="2" s="1"/>
  <c r="H435" i="2"/>
  <c r="G435" i="2"/>
  <c r="F435" i="2"/>
  <c r="D435" i="2"/>
  <c r="E435" i="2" s="1"/>
  <c r="I435" i="2" s="1"/>
  <c r="C435" i="2"/>
  <c r="B435" i="2"/>
  <c r="A435" i="2"/>
  <c r="L434" i="2"/>
  <c r="D434" i="2" s="1"/>
  <c r="K434" i="2"/>
  <c r="G434" i="2"/>
  <c r="H434" i="2" s="1"/>
  <c r="F434" i="2"/>
  <c r="C434" i="2"/>
  <c r="B434" i="2"/>
  <c r="A434" i="2"/>
  <c r="K433" i="2"/>
  <c r="L433" i="2" s="1"/>
  <c r="G433" i="2"/>
  <c r="H433" i="2" s="1"/>
  <c r="F433" i="2"/>
  <c r="D433" i="2"/>
  <c r="E433" i="2" s="1"/>
  <c r="C433" i="2"/>
  <c r="B433" i="2"/>
  <c r="A433" i="2"/>
  <c r="L432" i="2"/>
  <c r="D432" i="2" s="1"/>
  <c r="E432" i="2" s="1"/>
  <c r="K432" i="2"/>
  <c r="G432" i="2"/>
  <c r="F432" i="2"/>
  <c r="C432" i="2"/>
  <c r="B432" i="2"/>
  <c r="A432" i="2"/>
  <c r="K431" i="2"/>
  <c r="H431" i="2"/>
  <c r="G431" i="2"/>
  <c r="F431" i="2"/>
  <c r="C431" i="2"/>
  <c r="B431" i="2"/>
  <c r="A431" i="2"/>
  <c r="L430" i="2"/>
  <c r="D430" i="2" s="1"/>
  <c r="E430" i="2" s="1"/>
  <c r="I430" i="2" s="1"/>
  <c r="K430" i="2"/>
  <c r="G430" i="2"/>
  <c r="H430" i="2" s="1"/>
  <c r="F430" i="2"/>
  <c r="C430" i="2"/>
  <c r="B430" i="2"/>
  <c r="A430" i="2"/>
  <c r="K429" i="2"/>
  <c r="L429" i="2" s="1"/>
  <c r="D429" i="2" s="1"/>
  <c r="H429" i="2"/>
  <c r="G429" i="2"/>
  <c r="F429" i="2"/>
  <c r="C429" i="2"/>
  <c r="B429" i="2"/>
  <c r="A429" i="2"/>
  <c r="K428" i="2"/>
  <c r="L428" i="2" s="1"/>
  <c r="D428" i="2" s="1"/>
  <c r="G428" i="2"/>
  <c r="F428" i="2"/>
  <c r="E428" i="2"/>
  <c r="C428" i="2"/>
  <c r="B428" i="2"/>
  <c r="A428" i="2"/>
  <c r="K427" i="2"/>
  <c r="G427" i="2"/>
  <c r="F427" i="2"/>
  <c r="H427" i="2" s="1"/>
  <c r="C427" i="2"/>
  <c r="B427" i="2"/>
  <c r="A427" i="2"/>
  <c r="L426" i="2"/>
  <c r="K426" i="2"/>
  <c r="H426" i="2"/>
  <c r="G426" i="2"/>
  <c r="F426" i="2"/>
  <c r="E426" i="2"/>
  <c r="I426" i="2" s="1"/>
  <c r="D426" i="2"/>
  <c r="C426" i="2"/>
  <c r="B426" i="2"/>
  <c r="A426" i="2"/>
  <c r="K425" i="2"/>
  <c r="G425" i="2"/>
  <c r="H425" i="2" s="1"/>
  <c r="F425" i="2"/>
  <c r="C425" i="2"/>
  <c r="B425" i="2"/>
  <c r="A425" i="2"/>
  <c r="K424" i="2"/>
  <c r="L424" i="2" s="1"/>
  <c r="D424" i="2" s="1"/>
  <c r="G424" i="2"/>
  <c r="H424" i="2" s="1"/>
  <c r="F424" i="2"/>
  <c r="E424" i="2"/>
  <c r="I424" i="2" s="1"/>
  <c r="C424" i="2"/>
  <c r="B424" i="2"/>
  <c r="A424" i="2"/>
  <c r="K423" i="2"/>
  <c r="L423" i="2" s="1"/>
  <c r="D423" i="2" s="1"/>
  <c r="G423" i="2"/>
  <c r="F423" i="2"/>
  <c r="H423" i="2" s="1"/>
  <c r="E423" i="2"/>
  <c r="I423" i="2" s="1"/>
  <c r="C423" i="2"/>
  <c r="B423" i="2"/>
  <c r="A423" i="2"/>
  <c r="L422" i="2"/>
  <c r="K422" i="2"/>
  <c r="H422" i="2"/>
  <c r="G422" i="2"/>
  <c r="F422" i="2"/>
  <c r="E422" i="2"/>
  <c r="I422" i="2" s="1"/>
  <c r="D422" i="2"/>
  <c r="C422" i="2"/>
  <c r="B422" i="2"/>
  <c r="A422" i="2"/>
  <c r="K421" i="2"/>
  <c r="G421" i="2"/>
  <c r="H421" i="2" s="1"/>
  <c r="F421" i="2"/>
  <c r="C421" i="2"/>
  <c r="B421" i="2"/>
  <c r="L421" i="2" s="1"/>
  <c r="D421" i="2" s="1"/>
  <c r="E421" i="2" s="1"/>
  <c r="I421" i="2" s="1"/>
  <c r="A421" i="2"/>
  <c r="K420" i="2"/>
  <c r="G420" i="2"/>
  <c r="H420" i="2" s="1"/>
  <c r="F420" i="2"/>
  <c r="C420" i="2"/>
  <c r="B420" i="2"/>
  <c r="L420" i="2" s="1"/>
  <c r="D420" i="2" s="1"/>
  <c r="A420" i="2"/>
  <c r="K419" i="2"/>
  <c r="H419" i="2"/>
  <c r="G419" i="2"/>
  <c r="F419" i="2"/>
  <c r="C419" i="2"/>
  <c r="B419" i="2"/>
  <c r="A419" i="2"/>
  <c r="L418" i="2"/>
  <c r="K418" i="2"/>
  <c r="H418" i="2"/>
  <c r="G418" i="2"/>
  <c r="F418" i="2"/>
  <c r="D418" i="2"/>
  <c r="E418" i="2" s="1"/>
  <c r="I418" i="2" s="1"/>
  <c r="C418" i="2"/>
  <c r="B418" i="2"/>
  <c r="A418" i="2"/>
  <c r="L417" i="2"/>
  <c r="K417" i="2"/>
  <c r="G417" i="2"/>
  <c r="H417" i="2" s="1"/>
  <c r="F417" i="2"/>
  <c r="D417" i="2"/>
  <c r="E417" i="2" s="1"/>
  <c r="I417" i="2" s="1"/>
  <c r="C417" i="2"/>
  <c r="B417" i="2"/>
  <c r="A417" i="2"/>
  <c r="L416" i="2"/>
  <c r="D416" i="2" s="1"/>
  <c r="E416" i="2" s="1"/>
  <c r="I416" i="2" s="1"/>
  <c r="K416" i="2"/>
  <c r="G416" i="2"/>
  <c r="H416" i="2" s="1"/>
  <c r="F416" i="2"/>
  <c r="C416" i="2"/>
  <c r="B416" i="2"/>
  <c r="A416" i="2"/>
  <c r="K415" i="2"/>
  <c r="H415" i="2"/>
  <c r="G415" i="2"/>
  <c r="F415" i="2"/>
  <c r="C415" i="2"/>
  <c r="B415" i="2"/>
  <c r="A415" i="2"/>
  <c r="L414" i="2"/>
  <c r="D414" i="2" s="1"/>
  <c r="K414" i="2"/>
  <c r="G414" i="2"/>
  <c r="H414" i="2" s="1"/>
  <c r="F414" i="2"/>
  <c r="C414" i="2"/>
  <c r="B414" i="2"/>
  <c r="A414" i="2"/>
  <c r="K413" i="2"/>
  <c r="L413" i="2" s="1"/>
  <c r="H413" i="2"/>
  <c r="G413" i="2"/>
  <c r="F413" i="2"/>
  <c r="D413" i="2"/>
  <c r="E413" i="2" s="1"/>
  <c r="I413" i="2" s="1"/>
  <c r="C413" i="2"/>
  <c r="B413" i="2"/>
  <c r="A413" i="2"/>
  <c r="L412" i="2"/>
  <c r="D412" i="2" s="1"/>
  <c r="K412" i="2"/>
  <c r="G412" i="2"/>
  <c r="F412" i="2"/>
  <c r="E412" i="2"/>
  <c r="C412" i="2"/>
  <c r="B412" i="2"/>
  <c r="A412" i="2"/>
  <c r="K411" i="2"/>
  <c r="G411" i="2"/>
  <c r="F411" i="2"/>
  <c r="H411" i="2" s="1"/>
  <c r="C411" i="2"/>
  <c r="B411" i="2"/>
  <c r="A411" i="2"/>
  <c r="L410" i="2"/>
  <c r="K410" i="2"/>
  <c r="H410" i="2"/>
  <c r="G410" i="2"/>
  <c r="F410" i="2"/>
  <c r="E410" i="2"/>
  <c r="I410" i="2" s="1"/>
  <c r="D410" i="2"/>
  <c r="C410" i="2"/>
  <c r="B410" i="2"/>
  <c r="A410" i="2"/>
  <c r="K409" i="2"/>
  <c r="H409" i="2"/>
  <c r="G409" i="2"/>
  <c r="F409" i="2"/>
  <c r="C409" i="2"/>
  <c r="B409" i="2"/>
  <c r="L409" i="2" s="1"/>
  <c r="D409" i="2" s="1"/>
  <c r="E409" i="2" s="1"/>
  <c r="I409" i="2" s="1"/>
  <c r="A409" i="2"/>
  <c r="K408" i="2"/>
  <c r="L408" i="2" s="1"/>
  <c r="D408" i="2" s="1"/>
  <c r="G408" i="2"/>
  <c r="H408" i="2" s="1"/>
  <c r="F408" i="2"/>
  <c r="E408" i="2"/>
  <c r="I408" i="2" s="1"/>
  <c r="C408" i="2"/>
  <c r="B408" i="2"/>
  <c r="A408" i="2"/>
  <c r="K407" i="2"/>
  <c r="G407" i="2"/>
  <c r="F407" i="2"/>
  <c r="H407" i="2" s="1"/>
  <c r="C407" i="2"/>
  <c r="B407" i="2"/>
  <c r="A407" i="2"/>
  <c r="L406" i="2"/>
  <c r="K406" i="2"/>
  <c r="H406" i="2"/>
  <c r="G406" i="2"/>
  <c r="F406" i="2"/>
  <c r="E406" i="2"/>
  <c r="I406" i="2" s="1"/>
  <c r="D406" i="2"/>
  <c r="C406" i="2"/>
  <c r="B406" i="2"/>
  <c r="A406" i="2"/>
  <c r="K405" i="2"/>
  <c r="G405" i="2"/>
  <c r="F405" i="2"/>
  <c r="C405" i="2"/>
  <c r="B405" i="2"/>
  <c r="L405" i="2" s="1"/>
  <c r="D405" i="2" s="1"/>
  <c r="E405" i="2" s="1"/>
  <c r="A405" i="2"/>
  <c r="K404" i="2"/>
  <c r="G404" i="2"/>
  <c r="H404" i="2" s="1"/>
  <c r="F404" i="2"/>
  <c r="C404" i="2"/>
  <c r="B404" i="2"/>
  <c r="L404" i="2" s="1"/>
  <c r="D404" i="2" s="1"/>
  <c r="A404" i="2"/>
  <c r="K403" i="2"/>
  <c r="H403" i="2"/>
  <c r="G403" i="2"/>
  <c r="F403" i="2"/>
  <c r="C403" i="2"/>
  <c r="B403" i="2"/>
  <c r="A403" i="2"/>
  <c r="L402" i="2"/>
  <c r="K402" i="2"/>
  <c r="G402" i="2"/>
  <c r="H402" i="2" s="1"/>
  <c r="F402" i="2"/>
  <c r="D402" i="2"/>
  <c r="E402" i="2" s="1"/>
  <c r="C402" i="2"/>
  <c r="B402" i="2"/>
  <c r="A402" i="2"/>
  <c r="L401" i="2"/>
  <c r="K401" i="2"/>
  <c r="G401" i="2"/>
  <c r="H401" i="2" s="1"/>
  <c r="F401" i="2"/>
  <c r="D401" i="2"/>
  <c r="E401" i="2" s="1"/>
  <c r="C401" i="2"/>
  <c r="B401" i="2"/>
  <c r="A401" i="2"/>
  <c r="L400" i="2"/>
  <c r="D400" i="2" s="1"/>
  <c r="E400" i="2" s="1"/>
  <c r="K400" i="2"/>
  <c r="G400" i="2"/>
  <c r="H400" i="2" s="1"/>
  <c r="F400" i="2"/>
  <c r="C400" i="2"/>
  <c r="B400" i="2"/>
  <c r="A400" i="2"/>
  <c r="K399" i="2"/>
  <c r="H399" i="2"/>
  <c r="G399" i="2"/>
  <c r="F399" i="2"/>
  <c r="C399" i="2"/>
  <c r="B399" i="2"/>
  <c r="A399" i="2"/>
  <c r="L398" i="2"/>
  <c r="D398" i="2" s="1"/>
  <c r="K398" i="2"/>
  <c r="G398" i="2"/>
  <c r="H398" i="2" s="1"/>
  <c r="F398" i="2"/>
  <c r="C398" i="2"/>
  <c r="B398" i="2"/>
  <c r="A398" i="2"/>
  <c r="K397" i="2"/>
  <c r="L397" i="2" s="1"/>
  <c r="H397" i="2"/>
  <c r="G397" i="2"/>
  <c r="F397" i="2"/>
  <c r="D397" i="2"/>
  <c r="E397" i="2" s="1"/>
  <c r="I397" i="2" s="1"/>
  <c r="C397" i="2"/>
  <c r="B397" i="2"/>
  <c r="A397" i="2"/>
  <c r="L396" i="2"/>
  <c r="D396" i="2" s="1"/>
  <c r="K396" i="2"/>
  <c r="G396" i="2"/>
  <c r="F396" i="2"/>
  <c r="E396" i="2"/>
  <c r="C396" i="2"/>
  <c r="B396" i="2"/>
  <c r="A396" i="2"/>
  <c r="K395" i="2"/>
  <c r="G395" i="2"/>
  <c r="F395" i="2"/>
  <c r="H395" i="2" s="1"/>
  <c r="C395" i="2"/>
  <c r="B395" i="2"/>
  <c r="A395" i="2"/>
  <c r="L394" i="2"/>
  <c r="K394" i="2"/>
  <c r="H394" i="2"/>
  <c r="G394" i="2"/>
  <c r="F394" i="2"/>
  <c r="E394" i="2"/>
  <c r="I394" i="2" s="1"/>
  <c r="D394" i="2"/>
  <c r="C394" i="2"/>
  <c r="B394" i="2"/>
  <c r="A394" i="2"/>
  <c r="K393" i="2"/>
  <c r="H393" i="2"/>
  <c r="G393" i="2"/>
  <c r="F393" i="2"/>
  <c r="C393" i="2"/>
  <c r="B393" i="2"/>
  <c r="L393" i="2" s="1"/>
  <c r="D393" i="2" s="1"/>
  <c r="E393" i="2" s="1"/>
  <c r="I393" i="2" s="1"/>
  <c r="A393" i="2"/>
  <c r="K392" i="2"/>
  <c r="L392" i="2" s="1"/>
  <c r="D392" i="2" s="1"/>
  <c r="E392" i="2" s="1"/>
  <c r="I392" i="2" s="1"/>
  <c r="G392" i="2"/>
  <c r="H392" i="2" s="1"/>
  <c r="F392" i="2"/>
  <c r="C392" i="2"/>
  <c r="B392" i="2"/>
  <c r="A392" i="2"/>
  <c r="K391" i="2"/>
  <c r="L391" i="2" s="1"/>
  <c r="D391" i="2" s="1"/>
  <c r="E391" i="2" s="1"/>
  <c r="I391" i="2" s="1"/>
  <c r="G391" i="2"/>
  <c r="F391" i="2"/>
  <c r="H391" i="2" s="1"/>
  <c r="C391" i="2"/>
  <c r="B391" i="2"/>
  <c r="A391" i="2"/>
  <c r="L390" i="2"/>
  <c r="K390" i="2"/>
  <c r="H390" i="2"/>
  <c r="G390" i="2"/>
  <c r="F390" i="2"/>
  <c r="E390" i="2"/>
  <c r="I390" i="2" s="1"/>
  <c r="D390" i="2"/>
  <c r="C390" i="2"/>
  <c r="B390" i="2"/>
  <c r="A390" i="2"/>
  <c r="K389" i="2"/>
  <c r="G389" i="2"/>
  <c r="F389" i="2"/>
  <c r="C389" i="2"/>
  <c r="B389" i="2"/>
  <c r="L389" i="2" s="1"/>
  <c r="D389" i="2" s="1"/>
  <c r="E389" i="2" s="1"/>
  <c r="A389" i="2"/>
  <c r="K388" i="2"/>
  <c r="G388" i="2"/>
  <c r="H388" i="2" s="1"/>
  <c r="F388" i="2"/>
  <c r="C388" i="2"/>
  <c r="B388" i="2"/>
  <c r="L388" i="2" s="1"/>
  <c r="D388" i="2" s="1"/>
  <c r="A388" i="2"/>
  <c r="K387" i="2"/>
  <c r="H387" i="2"/>
  <c r="G387" i="2"/>
  <c r="F387" i="2"/>
  <c r="C387" i="2"/>
  <c r="B387" i="2"/>
  <c r="A387" i="2"/>
  <c r="L386" i="2"/>
  <c r="K386" i="2"/>
  <c r="G386" i="2"/>
  <c r="H386" i="2" s="1"/>
  <c r="F386" i="2"/>
  <c r="D386" i="2"/>
  <c r="E386" i="2" s="1"/>
  <c r="I386" i="2" s="1"/>
  <c r="C386" i="2"/>
  <c r="B386" i="2"/>
  <c r="A386" i="2"/>
  <c r="L385" i="2"/>
  <c r="D385" i="2" s="1"/>
  <c r="K385" i="2"/>
  <c r="G385" i="2"/>
  <c r="H385" i="2" s="1"/>
  <c r="F385" i="2"/>
  <c r="C385" i="2"/>
  <c r="B385" i="2"/>
  <c r="A385" i="2"/>
  <c r="K384" i="2"/>
  <c r="G384" i="2"/>
  <c r="F384" i="2"/>
  <c r="H384" i="2" s="1"/>
  <c r="C384" i="2"/>
  <c r="B384" i="2"/>
  <c r="A384" i="2"/>
  <c r="L383" i="2"/>
  <c r="K383" i="2"/>
  <c r="H383" i="2"/>
  <c r="G383" i="2"/>
  <c r="F383" i="2"/>
  <c r="D383" i="2"/>
  <c r="E383" i="2" s="1"/>
  <c r="I383" i="2" s="1"/>
  <c r="C383" i="2"/>
  <c r="B383" i="2"/>
  <c r="A383" i="2"/>
  <c r="L382" i="2"/>
  <c r="D382" i="2" s="1"/>
  <c r="K382" i="2"/>
  <c r="H382" i="2"/>
  <c r="G382" i="2"/>
  <c r="F382" i="2"/>
  <c r="C382" i="2"/>
  <c r="B382" i="2"/>
  <c r="A382" i="2"/>
  <c r="K381" i="2"/>
  <c r="G381" i="2"/>
  <c r="F381" i="2"/>
  <c r="C381" i="2"/>
  <c r="B381" i="2"/>
  <c r="A381" i="2"/>
  <c r="K380" i="2"/>
  <c r="G380" i="2"/>
  <c r="F380" i="2"/>
  <c r="H380" i="2" s="1"/>
  <c r="C380" i="2"/>
  <c r="B380" i="2"/>
  <c r="A380" i="2"/>
  <c r="L379" i="2"/>
  <c r="K379" i="2"/>
  <c r="H379" i="2"/>
  <c r="G379" i="2"/>
  <c r="F379" i="2"/>
  <c r="E379" i="2"/>
  <c r="I379" i="2" s="1"/>
  <c r="D379" i="2"/>
  <c r="C379" i="2"/>
  <c r="B379" i="2"/>
  <c r="A379" i="2"/>
  <c r="L378" i="2"/>
  <c r="K378" i="2"/>
  <c r="G378" i="2"/>
  <c r="H378" i="2" s="1"/>
  <c r="F378" i="2"/>
  <c r="D378" i="2"/>
  <c r="E378" i="2" s="1"/>
  <c r="C378" i="2"/>
  <c r="B378" i="2"/>
  <c r="A378" i="2"/>
  <c r="L377" i="2"/>
  <c r="D377" i="2" s="1"/>
  <c r="K377" i="2"/>
  <c r="G377" i="2"/>
  <c r="H377" i="2" s="1"/>
  <c r="F377" i="2"/>
  <c r="C377" i="2"/>
  <c r="B377" i="2"/>
  <c r="A377" i="2"/>
  <c r="K376" i="2"/>
  <c r="L376" i="2" s="1"/>
  <c r="D376" i="2" s="1"/>
  <c r="G376" i="2"/>
  <c r="F376" i="2"/>
  <c r="H376" i="2" s="1"/>
  <c r="I376" i="2" s="1"/>
  <c r="E376" i="2"/>
  <c r="C376" i="2"/>
  <c r="B376" i="2"/>
  <c r="A376" i="2"/>
  <c r="L375" i="2"/>
  <c r="K375" i="2"/>
  <c r="H375" i="2"/>
  <c r="G375" i="2"/>
  <c r="F375" i="2"/>
  <c r="D375" i="2"/>
  <c r="E375" i="2" s="1"/>
  <c r="I375" i="2" s="1"/>
  <c r="C375" i="2"/>
  <c r="B375" i="2"/>
  <c r="A375" i="2"/>
  <c r="L374" i="2"/>
  <c r="D374" i="2" s="1"/>
  <c r="E374" i="2" s="1"/>
  <c r="I374" i="2" s="1"/>
  <c r="K374" i="2"/>
  <c r="H374" i="2"/>
  <c r="G374" i="2"/>
  <c r="F374" i="2"/>
  <c r="C374" i="2"/>
  <c r="B374" i="2"/>
  <c r="A374" i="2"/>
  <c r="K373" i="2"/>
  <c r="G373" i="2"/>
  <c r="F373" i="2"/>
  <c r="C373" i="2"/>
  <c r="B373" i="2"/>
  <c r="A373" i="2"/>
  <c r="K372" i="2"/>
  <c r="G372" i="2"/>
  <c r="F372" i="2"/>
  <c r="H372" i="2" s="1"/>
  <c r="C372" i="2"/>
  <c r="B372" i="2"/>
  <c r="A372" i="2"/>
  <c r="L371" i="2"/>
  <c r="K371" i="2"/>
  <c r="H371" i="2"/>
  <c r="G371" i="2"/>
  <c r="F371" i="2"/>
  <c r="E371" i="2"/>
  <c r="I371" i="2" s="1"/>
  <c r="D371" i="2"/>
  <c r="C371" i="2"/>
  <c r="B371" i="2"/>
  <c r="A371" i="2"/>
  <c r="L370" i="2"/>
  <c r="K370" i="2"/>
  <c r="G370" i="2"/>
  <c r="H370" i="2" s="1"/>
  <c r="F370" i="2"/>
  <c r="D370" i="2"/>
  <c r="E370" i="2" s="1"/>
  <c r="I370" i="2" s="1"/>
  <c r="C370" i="2"/>
  <c r="B370" i="2"/>
  <c r="A370" i="2"/>
  <c r="L369" i="2"/>
  <c r="D369" i="2" s="1"/>
  <c r="K369" i="2"/>
  <c r="G369" i="2"/>
  <c r="H369" i="2" s="1"/>
  <c r="F369" i="2"/>
  <c r="C369" i="2"/>
  <c r="B369" i="2"/>
  <c r="A369" i="2"/>
  <c r="K368" i="2"/>
  <c r="H368" i="2"/>
  <c r="G368" i="2"/>
  <c r="F368" i="2"/>
  <c r="C368" i="2"/>
  <c r="B368" i="2"/>
  <c r="A368" i="2"/>
  <c r="L367" i="2"/>
  <c r="K367" i="2"/>
  <c r="H367" i="2"/>
  <c r="G367" i="2"/>
  <c r="F367" i="2"/>
  <c r="D367" i="2"/>
  <c r="E367" i="2" s="1"/>
  <c r="C367" i="2"/>
  <c r="B367" i="2"/>
  <c r="A367" i="2"/>
  <c r="L366" i="2"/>
  <c r="D366" i="2" s="1"/>
  <c r="K366" i="2"/>
  <c r="H366" i="2"/>
  <c r="G366" i="2"/>
  <c r="F366" i="2"/>
  <c r="C366" i="2"/>
  <c r="B366" i="2"/>
  <c r="A366" i="2"/>
  <c r="K365" i="2"/>
  <c r="G365" i="2"/>
  <c r="H365" i="2" s="1"/>
  <c r="F365" i="2"/>
  <c r="C365" i="2"/>
  <c r="B365" i="2"/>
  <c r="A365" i="2"/>
  <c r="L364" i="2"/>
  <c r="D364" i="2" s="1"/>
  <c r="E364" i="2" s="1"/>
  <c r="I364" i="2" s="1"/>
  <c r="K364" i="2"/>
  <c r="G364" i="2"/>
  <c r="H364" i="2" s="1"/>
  <c r="F364" i="2"/>
  <c r="C364" i="2"/>
  <c r="B364" i="2"/>
  <c r="A364" i="2"/>
  <c r="K363" i="2"/>
  <c r="G363" i="2"/>
  <c r="F363" i="2"/>
  <c r="H363" i="2" s="1"/>
  <c r="C363" i="2"/>
  <c r="B363" i="2"/>
  <c r="A363" i="2"/>
  <c r="L362" i="2"/>
  <c r="D362" i="2" s="1"/>
  <c r="K362" i="2"/>
  <c r="G362" i="2"/>
  <c r="H362" i="2" s="1"/>
  <c r="F362" i="2"/>
  <c r="C362" i="2"/>
  <c r="E362" i="2" s="1"/>
  <c r="I362" i="2" s="1"/>
  <c r="B362" i="2"/>
  <c r="A362" i="2"/>
  <c r="K361" i="2"/>
  <c r="H361" i="2"/>
  <c r="G361" i="2"/>
  <c r="F361" i="2"/>
  <c r="C361" i="2"/>
  <c r="B361" i="2"/>
  <c r="A361" i="2"/>
  <c r="L360" i="2"/>
  <c r="D360" i="2" s="1"/>
  <c r="K360" i="2"/>
  <c r="G360" i="2"/>
  <c r="H360" i="2" s="1"/>
  <c r="F360" i="2"/>
  <c r="E360" i="2"/>
  <c r="I360" i="2" s="1"/>
  <c r="C360" i="2"/>
  <c r="B360" i="2"/>
  <c r="A360" i="2"/>
  <c r="K359" i="2"/>
  <c r="L359" i="2" s="1"/>
  <c r="H359" i="2"/>
  <c r="G359" i="2"/>
  <c r="F359" i="2"/>
  <c r="D359" i="2"/>
  <c r="E359" i="2" s="1"/>
  <c r="I359" i="2" s="1"/>
  <c r="C359" i="2"/>
  <c r="B359" i="2"/>
  <c r="A359" i="2"/>
  <c r="L358" i="2"/>
  <c r="D358" i="2" s="1"/>
  <c r="E358" i="2" s="1"/>
  <c r="I358" i="2" s="1"/>
  <c r="K358" i="2"/>
  <c r="G358" i="2"/>
  <c r="H358" i="2" s="1"/>
  <c r="F358" i="2"/>
  <c r="C358" i="2"/>
  <c r="B358" i="2"/>
  <c r="A358" i="2"/>
  <c r="K357" i="2"/>
  <c r="L357" i="2" s="1"/>
  <c r="G357" i="2"/>
  <c r="F357" i="2"/>
  <c r="H357" i="2" s="1"/>
  <c r="D357" i="2"/>
  <c r="E357" i="2" s="1"/>
  <c r="C357" i="2"/>
  <c r="B357" i="2"/>
  <c r="A357" i="2"/>
  <c r="L356" i="2"/>
  <c r="D356" i="2" s="1"/>
  <c r="E356" i="2" s="1"/>
  <c r="I356" i="2" s="1"/>
  <c r="K356" i="2"/>
  <c r="G356" i="2"/>
  <c r="H356" i="2" s="1"/>
  <c r="F356" i="2"/>
  <c r="C356" i="2"/>
  <c r="B356" i="2"/>
  <c r="A356" i="2"/>
  <c r="K355" i="2"/>
  <c r="G355" i="2"/>
  <c r="F355" i="2"/>
  <c r="H355" i="2" s="1"/>
  <c r="C355" i="2"/>
  <c r="B355" i="2"/>
  <c r="A355" i="2"/>
  <c r="L354" i="2"/>
  <c r="D354" i="2" s="1"/>
  <c r="K354" i="2"/>
  <c r="G354" i="2"/>
  <c r="H354" i="2" s="1"/>
  <c r="F354" i="2"/>
  <c r="C354" i="2"/>
  <c r="E354" i="2" s="1"/>
  <c r="I354" i="2" s="1"/>
  <c r="B354" i="2"/>
  <c r="A354" i="2"/>
  <c r="K353" i="2"/>
  <c r="H353" i="2"/>
  <c r="G353" i="2"/>
  <c r="F353" i="2"/>
  <c r="C353" i="2"/>
  <c r="B353" i="2"/>
  <c r="A353" i="2"/>
  <c r="L352" i="2"/>
  <c r="D352" i="2" s="1"/>
  <c r="K352" i="2"/>
  <c r="G352" i="2"/>
  <c r="H352" i="2" s="1"/>
  <c r="F352" i="2"/>
  <c r="E352" i="2"/>
  <c r="I352" i="2" s="1"/>
  <c r="C352" i="2"/>
  <c r="B352" i="2"/>
  <c r="A352" i="2"/>
  <c r="K351" i="2"/>
  <c r="L351" i="2" s="1"/>
  <c r="H351" i="2"/>
  <c r="G351" i="2"/>
  <c r="F351" i="2"/>
  <c r="D351" i="2"/>
  <c r="E351" i="2" s="1"/>
  <c r="I351" i="2" s="1"/>
  <c r="C351" i="2"/>
  <c r="B351" i="2"/>
  <c r="A351" i="2"/>
  <c r="L350" i="2"/>
  <c r="D350" i="2" s="1"/>
  <c r="E350" i="2" s="1"/>
  <c r="I350" i="2" s="1"/>
  <c r="K350" i="2"/>
  <c r="G350" i="2"/>
  <c r="H350" i="2" s="1"/>
  <c r="F350" i="2"/>
  <c r="C350" i="2"/>
  <c r="B350" i="2"/>
  <c r="A350" i="2"/>
  <c r="K349" i="2"/>
  <c r="L349" i="2" s="1"/>
  <c r="G349" i="2"/>
  <c r="F349" i="2"/>
  <c r="H349" i="2" s="1"/>
  <c r="D349" i="2"/>
  <c r="E349" i="2" s="1"/>
  <c r="C349" i="2"/>
  <c r="B349" i="2"/>
  <c r="A349" i="2"/>
  <c r="L348" i="2"/>
  <c r="D348" i="2" s="1"/>
  <c r="E348" i="2" s="1"/>
  <c r="I348" i="2" s="1"/>
  <c r="K348" i="2"/>
  <c r="G348" i="2"/>
  <c r="H348" i="2" s="1"/>
  <c r="F348" i="2"/>
  <c r="C348" i="2"/>
  <c r="B348" i="2"/>
  <c r="A348" i="2"/>
  <c r="K347" i="2"/>
  <c r="G347" i="2"/>
  <c r="F347" i="2"/>
  <c r="H347" i="2" s="1"/>
  <c r="C347" i="2"/>
  <c r="B347" i="2"/>
  <c r="A347" i="2"/>
  <c r="L346" i="2"/>
  <c r="D346" i="2" s="1"/>
  <c r="K346" i="2"/>
  <c r="G346" i="2"/>
  <c r="H346" i="2" s="1"/>
  <c r="F346" i="2"/>
  <c r="C346" i="2"/>
  <c r="E346" i="2" s="1"/>
  <c r="I346" i="2" s="1"/>
  <c r="B346" i="2"/>
  <c r="A346" i="2"/>
  <c r="K345" i="2"/>
  <c r="H345" i="2"/>
  <c r="G345" i="2"/>
  <c r="F345" i="2"/>
  <c r="C345" i="2"/>
  <c r="B345" i="2"/>
  <c r="A345" i="2"/>
  <c r="L344" i="2"/>
  <c r="D344" i="2" s="1"/>
  <c r="K344" i="2"/>
  <c r="G344" i="2"/>
  <c r="H344" i="2" s="1"/>
  <c r="F344" i="2"/>
  <c r="E344" i="2"/>
  <c r="I344" i="2" s="1"/>
  <c r="C344" i="2"/>
  <c r="B344" i="2"/>
  <c r="A344" i="2"/>
  <c r="K343" i="2"/>
  <c r="L343" i="2" s="1"/>
  <c r="H343" i="2"/>
  <c r="G343" i="2"/>
  <c r="F343" i="2"/>
  <c r="D343" i="2"/>
  <c r="E343" i="2" s="1"/>
  <c r="I343" i="2" s="1"/>
  <c r="C343" i="2"/>
  <c r="B343" i="2"/>
  <c r="A343" i="2"/>
  <c r="L342" i="2"/>
  <c r="D342" i="2" s="1"/>
  <c r="E342" i="2" s="1"/>
  <c r="I342" i="2" s="1"/>
  <c r="K342" i="2"/>
  <c r="G342" i="2"/>
  <c r="H342" i="2" s="1"/>
  <c r="F342" i="2"/>
  <c r="C342" i="2"/>
  <c r="B342" i="2"/>
  <c r="A342" i="2"/>
  <c r="K341" i="2"/>
  <c r="L341" i="2" s="1"/>
  <c r="G341" i="2"/>
  <c r="F341" i="2"/>
  <c r="H341" i="2" s="1"/>
  <c r="D341" i="2"/>
  <c r="E341" i="2" s="1"/>
  <c r="C341" i="2"/>
  <c r="B341" i="2"/>
  <c r="A341" i="2"/>
  <c r="L340" i="2"/>
  <c r="D340" i="2" s="1"/>
  <c r="E340" i="2" s="1"/>
  <c r="I340" i="2" s="1"/>
  <c r="K340" i="2"/>
  <c r="G340" i="2"/>
  <c r="H340" i="2" s="1"/>
  <c r="F340" i="2"/>
  <c r="C340" i="2"/>
  <c r="B340" i="2"/>
  <c r="A340" i="2"/>
  <c r="K339" i="2"/>
  <c r="G339" i="2"/>
  <c r="F339" i="2"/>
  <c r="H339" i="2" s="1"/>
  <c r="C339" i="2"/>
  <c r="B339" i="2"/>
  <c r="A339" i="2"/>
  <c r="K338" i="2"/>
  <c r="L338" i="2" s="1"/>
  <c r="D338" i="2" s="1"/>
  <c r="E338" i="2" s="1"/>
  <c r="I338" i="2" s="1"/>
  <c r="G338" i="2"/>
  <c r="H338" i="2" s="1"/>
  <c r="F338" i="2"/>
  <c r="C338" i="2"/>
  <c r="B338" i="2"/>
  <c r="A338" i="2"/>
  <c r="K337" i="2"/>
  <c r="H337" i="2"/>
  <c r="G337" i="2"/>
  <c r="F337" i="2"/>
  <c r="C337" i="2"/>
  <c r="B337" i="2"/>
  <c r="A337" i="2"/>
  <c r="L336" i="2"/>
  <c r="K336" i="2"/>
  <c r="H336" i="2"/>
  <c r="G336" i="2"/>
  <c r="F336" i="2"/>
  <c r="D336" i="2"/>
  <c r="E336" i="2" s="1"/>
  <c r="I336" i="2" s="1"/>
  <c r="C336" i="2"/>
  <c r="B336" i="2"/>
  <c r="A336" i="2"/>
  <c r="L335" i="2"/>
  <c r="D335" i="2" s="1"/>
  <c r="E335" i="2" s="1"/>
  <c r="K335" i="2"/>
  <c r="G335" i="2"/>
  <c r="H335" i="2" s="1"/>
  <c r="F335" i="2"/>
  <c r="C335" i="2"/>
  <c r="B335" i="2"/>
  <c r="A335" i="2"/>
  <c r="K334" i="2"/>
  <c r="G334" i="2"/>
  <c r="H334" i="2" s="1"/>
  <c r="F334" i="2"/>
  <c r="C334" i="2"/>
  <c r="B334" i="2"/>
  <c r="L334" i="2" s="1"/>
  <c r="D334" i="2" s="1"/>
  <c r="E334" i="2" s="1"/>
  <c r="I334" i="2" s="1"/>
  <c r="A334" i="2"/>
  <c r="K333" i="2"/>
  <c r="H333" i="2"/>
  <c r="G333" i="2"/>
  <c r="F333" i="2"/>
  <c r="C333" i="2"/>
  <c r="B333" i="2"/>
  <c r="A333" i="2"/>
  <c r="L332" i="2"/>
  <c r="D332" i="2" s="1"/>
  <c r="E332" i="2" s="1"/>
  <c r="K332" i="2"/>
  <c r="G332" i="2"/>
  <c r="H332" i="2" s="1"/>
  <c r="F332" i="2"/>
  <c r="C332" i="2"/>
  <c r="B332" i="2"/>
  <c r="A332" i="2"/>
  <c r="K331" i="2"/>
  <c r="L331" i="2" s="1"/>
  <c r="D331" i="2" s="1"/>
  <c r="E331" i="2" s="1"/>
  <c r="I331" i="2" s="1"/>
  <c r="H331" i="2"/>
  <c r="G331" i="2"/>
  <c r="F331" i="2"/>
  <c r="C331" i="2"/>
  <c r="B331" i="2"/>
  <c r="A331" i="2"/>
  <c r="L330" i="2"/>
  <c r="D330" i="2" s="1"/>
  <c r="E330" i="2" s="1"/>
  <c r="K330" i="2"/>
  <c r="G330" i="2"/>
  <c r="F330" i="2"/>
  <c r="C330" i="2"/>
  <c r="B330" i="2"/>
  <c r="A330" i="2"/>
  <c r="K329" i="2"/>
  <c r="G329" i="2"/>
  <c r="F329" i="2"/>
  <c r="H329" i="2" s="1"/>
  <c r="C329" i="2"/>
  <c r="B329" i="2"/>
  <c r="A329" i="2"/>
  <c r="L328" i="2"/>
  <c r="K328" i="2"/>
  <c r="H328" i="2"/>
  <c r="G328" i="2"/>
  <c r="F328" i="2"/>
  <c r="E328" i="2"/>
  <c r="I328" i="2" s="1"/>
  <c r="D328" i="2"/>
  <c r="C328" i="2"/>
  <c r="B328" i="2"/>
  <c r="A328" i="2"/>
  <c r="K327" i="2"/>
  <c r="G327" i="2"/>
  <c r="H327" i="2" s="1"/>
  <c r="F327" i="2"/>
  <c r="C327" i="2"/>
  <c r="B327" i="2"/>
  <c r="L327" i="2" s="1"/>
  <c r="D327" i="2" s="1"/>
  <c r="E327" i="2" s="1"/>
  <c r="A327" i="2"/>
  <c r="K326" i="2"/>
  <c r="L326" i="2" s="1"/>
  <c r="D326" i="2" s="1"/>
  <c r="E326" i="2" s="1"/>
  <c r="I326" i="2" s="1"/>
  <c r="G326" i="2"/>
  <c r="H326" i="2" s="1"/>
  <c r="F326" i="2"/>
  <c r="C326" i="2"/>
  <c r="B326" i="2"/>
  <c r="A326" i="2"/>
  <c r="K325" i="2"/>
  <c r="G325" i="2"/>
  <c r="F325" i="2"/>
  <c r="H325" i="2" s="1"/>
  <c r="C325" i="2"/>
  <c r="B325" i="2"/>
  <c r="A325" i="2"/>
  <c r="L324" i="2"/>
  <c r="K324" i="2"/>
  <c r="H324" i="2"/>
  <c r="G324" i="2"/>
  <c r="F324" i="2"/>
  <c r="D324" i="2"/>
  <c r="E324" i="2" s="1"/>
  <c r="I324" i="2" s="1"/>
  <c r="C324" i="2"/>
  <c r="B324" i="2"/>
  <c r="A324" i="2"/>
  <c r="L323" i="2"/>
  <c r="D323" i="2" s="1"/>
  <c r="E323" i="2" s="1"/>
  <c r="K323" i="2"/>
  <c r="G323" i="2"/>
  <c r="H323" i="2" s="1"/>
  <c r="F323" i="2"/>
  <c r="C323" i="2"/>
  <c r="B323" i="2"/>
  <c r="A323" i="2"/>
  <c r="K322" i="2"/>
  <c r="G322" i="2"/>
  <c r="H322" i="2" s="1"/>
  <c r="F322" i="2"/>
  <c r="C322" i="2"/>
  <c r="B322" i="2"/>
  <c r="L322" i="2" s="1"/>
  <c r="D322" i="2" s="1"/>
  <c r="E322" i="2" s="1"/>
  <c r="I322" i="2" s="1"/>
  <c r="A322" i="2"/>
  <c r="K321" i="2"/>
  <c r="H321" i="2"/>
  <c r="G321" i="2"/>
  <c r="F321" i="2"/>
  <c r="C321" i="2"/>
  <c r="B321" i="2"/>
  <c r="A321" i="2"/>
  <c r="L320" i="2"/>
  <c r="K320" i="2"/>
  <c r="H320" i="2"/>
  <c r="G320" i="2"/>
  <c r="F320" i="2"/>
  <c r="D320" i="2"/>
  <c r="E320" i="2" s="1"/>
  <c r="I320" i="2" s="1"/>
  <c r="C320" i="2"/>
  <c r="B320" i="2"/>
  <c r="A320" i="2"/>
  <c r="L319" i="2"/>
  <c r="D319" i="2" s="1"/>
  <c r="E319" i="2" s="1"/>
  <c r="K319" i="2"/>
  <c r="G319" i="2"/>
  <c r="F319" i="2"/>
  <c r="H319" i="2" s="1"/>
  <c r="C319" i="2"/>
  <c r="B319" i="2"/>
  <c r="A319" i="2"/>
  <c r="L318" i="2"/>
  <c r="K318" i="2"/>
  <c r="H318" i="2"/>
  <c r="G318" i="2"/>
  <c r="F318" i="2"/>
  <c r="D318" i="2"/>
  <c r="E318" i="2" s="1"/>
  <c r="I318" i="2" s="1"/>
  <c r="C318" i="2"/>
  <c r="B318" i="2"/>
  <c r="A318" i="2"/>
  <c r="L317" i="2"/>
  <c r="D317" i="2" s="1"/>
  <c r="E317" i="2" s="1"/>
  <c r="K317" i="2"/>
  <c r="G317" i="2"/>
  <c r="H317" i="2" s="1"/>
  <c r="F317" i="2"/>
  <c r="C317" i="2"/>
  <c r="B317" i="2"/>
  <c r="A317" i="2"/>
  <c r="K316" i="2"/>
  <c r="L316" i="2" s="1"/>
  <c r="D316" i="2" s="1"/>
  <c r="E316" i="2" s="1"/>
  <c r="I316" i="2" s="1"/>
  <c r="G316" i="2"/>
  <c r="F316" i="2"/>
  <c r="H316" i="2" s="1"/>
  <c r="C316" i="2"/>
  <c r="B316" i="2"/>
  <c r="A316" i="2"/>
  <c r="L315" i="2"/>
  <c r="K315" i="2"/>
  <c r="H315" i="2"/>
  <c r="G315" i="2"/>
  <c r="F315" i="2"/>
  <c r="E315" i="2"/>
  <c r="I315" i="2" s="1"/>
  <c r="D315" i="2"/>
  <c r="C315" i="2"/>
  <c r="B315" i="2"/>
  <c r="A315" i="2"/>
  <c r="L314" i="2"/>
  <c r="K314" i="2"/>
  <c r="H314" i="2"/>
  <c r="G314" i="2"/>
  <c r="F314" i="2"/>
  <c r="D314" i="2"/>
  <c r="E314" i="2" s="1"/>
  <c r="I314" i="2" s="1"/>
  <c r="C314" i="2"/>
  <c r="B314" i="2"/>
  <c r="A314" i="2"/>
  <c r="L313" i="2"/>
  <c r="D313" i="2" s="1"/>
  <c r="E313" i="2" s="1"/>
  <c r="K313" i="2"/>
  <c r="G313" i="2"/>
  <c r="H313" i="2" s="1"/>
  <c r="F313" i="2"/>
  <c r="C313" i="2"/>
  <c r="B313" i="2"/>
  <c r="A313" i="2"/>
  <c r="K312" i="2"/>
  <c r="L312" i="2" s="1"/>
  <c r="D312" i="2" s="1"/>
  <c r="E312" i="2" s="1"/>
  <c r="I312" i="2" s="1"/>
  <c r="G312" i="2"/>
  <c r="F312" i="2"/>
  <c r="H312" i="2" s="1"/>
  <c r="C312" i="2"/>
  <c r="B312" i="2"/>
  <c r="A312" i="2"/>
  <c r="L311" i="2"/>
  <c r="K311" i="2"/>
  <c r="H311" i="2"/>
  <c r="G311" i="2"/>
  <c r="F311" i="2"/>
  <c r="E311" i="2"/>
  <c r="I311" i="2" s="1"/>
  <c r="D311" i="2"/>
  <c r="C311" i="2"/>
  <c r="B311" i="2"/>
  <c r="A311" i="2"/>
  <c r="L310" i="2"/>
  <c r="K310" i="2"/>
  <c r="H310" i="2"/>
  <c r="G310" i="2"/>
  <c r="F310" i="2"/>
  <c r="D310" i="2"/>
  <c r="E310" i="2" s="1"/>
  <c r="I310" i="2" s="1"/>
  <c r="C310" i="2"/>
  <c r="B310" i="2"/>
  <c r="A310" i="2"/>
  <c r="L309" i="2"/>
  <c r="D309" i="2" s="1"/>
  <c r="E309" i="2" s="1"/>
  <c r="I309" i="2" s="1"/>
  <c r="K309" i="2"/>
  <c r="G309" i="2"/>
  <c r="H309" i="2" s="1"/>
  <c r="F309" i="2"/>
  <c r="C309" i="2"/>
  <c r="B309" i="2"/>
  <c r="A309" i="2"/>
  <c r="K308" i="2"/>
  <c r="L308" i="2" s="1"/>
  <c r="D308" i="2" s="1"/>
  <c r="E308" i="2" s="1"/>
  <c r="I308" i="2" s="1"/>
  <c r="G308" i="2"/>
  <c r="F308" i="2"/>
  <c r="H308" i="2" s="1"/>
  <c r="C308" i="2"/>
  <c r="B308" i="2"/>
  <c r="A308" i="2"/>
  <c r="L307" i="2"/>
  <c r="K307" i="2"/>
  <c r="H307" i="2"/>
  <c r="G307" i="2"/>
  <c r="F307" i="2"/>
  <c r="E307" i="2"/>
  <c r="I307" i="2" s="1"/>
  <c r="D307" i="2"/>
  <c r="C307" i="2"/>
  <c r="B307" i="2"/>
  <c r="A307" i="2"/>
  <c r="L306" i="2"/>
  <c r="K306" i="2"/>
  <c r="H306" i="2"/>
  <c r="G306" i="2"/>
  <c r="F306" i="2"/>
  <c r="D306" i="2"/>
  <c r="E306" i="2" s="1"/>
  <c r="I306" i="2" s="1"/>
  <c r="C306" i="2"/>
  <c r="B306" i="2"/>
  <c r="A306" i="2"/>
  <c r="L305" i="2"/>
  <c r="D305" i="2" s="1"/>
  <c r="E305" i="2" s="1"/>
  <c r="I305" i="2" s="1"/>
  <c r="K305" i="2"/>
  <c r="G305" i="2"/>
  <c r="H305" i="2" s="1"/>
  <c r="F305" i="2"/>
  <c r="C305" i="2"/>
  <c r="B305" i="2"/>
  <c r="A305" i="2"/>
  <c r="K304" i="2"/>
  <c r="G304" i="2"/>
  <c r="F304" i="2"/>
  <c r="H304" i="2" s="1"/>
  <c r="C304" i="2"/>
  <c r="B304" i="2"/>
  <c r="A304" i="2"/>
  <c r="L303" i="2"/>
  <c r="K303" i="2"/>
  <c r="H303" i="2"/>
  <c r="G303" i="2"/>
  <c r="F303" i="2"/>
  <c r="E303" i="2"/>
  <c r="I303" i="2" s="1"/>
  <c r="D303" i="2"/>
  <c r="C303" i="2"/>
  <c r="B303" i="2"/>
  <c r="A303" i="2"/>
  <c r="L302" i="2"/>
  <c r="K302" i="2"/>
  <c r="H302" i="2"/>
  <c r="G302" i="2"/>
  <c r="F302" i="2"/>
  <c r="D302" i="2"/>
  <c r="E302" i="2" s="1"/>
  <c r="I302" i="2" s="1"/>
  <c r="C302" i="2"/>
  <c r="B302" i="2"/>
  <c r="A302" i="2"/>
  <c r="L301" i="2"/>
  <c r="D301" i="2" s="1"/>
  <c r="K301" i="2"/>
  <c r="G301" i="2"/>
  <c r="H301" i="2" s="1"/>
  <c r="F301" i="2"/>
  <c r="C301" i="2"/>
  <c r="B301" i="2"/>
  <c r="A301" i="2"/>
  <c r="K300" i="2"/>
  <c r="G300" i="2"/>
  <c r="F300" i="2"/>
  <c r="H300" i="2" s="1"/>
  <c r="C300" i="2"/>
  <c r="B300" i="2"/>
  <c r="A300" i="2"/>
  <c r="L299" i="2"/>
  <c r="K299" i="2"/>
  <c r="H299" i="2"/>
  <c r="G299" i="2"/>
  <c r="F299" i="2"/>
  <c r="E299" i="2"/>
  <c r="I299" i="2" s="1"/>
  <c r="D299" i="2"/>
  <c r="C299" i="2"/>
  <c r="B299" i="2"/>
  <c r="A299" i="2"/>
  <c r="L298" i="2"/>
  <c r="K298" i="2"/>
  <c r="H298" i="2"/>
  <c r="G298" i="2"/>
  <c r="F298" i="2"/>
  <c r="D298" i="2"/>
  <c r="E298" i="2" s="1"/>
  <c r="C298" i="2"/>
  <c r="B298" i="2"/>
  <c r="A298" i="2"/>
  <c r="L297" i="2"/>
  <c r="D297" i="2" s="1"/>
  <c r="K297" i="2"/>
  <c r="G297" i="2"/>
  <c r="H297" i="2" s="1"/>
  <c r="F297" i="2"/>
  <c r="C297" i="2"/>
  <c r="B297" i="2"/>
  <c r="A297" i="2"/>
  <c r="K296" i="2"/>
  <c r="G296" i="2"/>
  <c r="F296" i="2"/>
  <c r="H296" i="2" s="1"/>
  <c r="C296" i="2"/>
  <c r="B296" i="2"/>
  <c r="A296" i="2"/>
  <c r="L295" i="2"/>
  <c r="K295" i="2"/>
  <c r="H295" i="2"/>
  <c r="G295" i="2"/>
  <c r="F295" i="2"/>
  <c r="E295" i="2"/>
  <c r="I295" i="2" s="1"/>
  <c r="D295" i="2"/>
  <c r="C295" i="2"/>
  <c r="B295" i="2"/>
  <c r="A295" i="2"/>
  <c r="L294" i="2"/>
  <c r="K294" i="2"/>
  <c r="H294" i="2"/>
  <c r="G294" i="2"/>
  <c r="F294" i="2"/>
  <c r="D294" i="2"/>
  <c r="E294" i="2" s="1"/>
  <c r="I294" i="2" s="1"/>
  <c r="C294" i="2"/>
  <c r="B294" i="2"/>
  <c r="A294" i="2"/>
  <c r="L293" i="2"/>
  <c r="D293" i="2" s="1"/>
  <c r="K293" i="2"/>
  <c r="G293" i="2"/>
  <c r="H293" i="2" s="1"/>
  <c r="F293" i="2"/>
  <c r="C293" i="2"/>
  <c r="B293" i="2"/>
  <c r="A293" i="2"/>
  <c r="K292" i="2"/>
  <c r="G292" i="2"/>
  <c r="F292" i="2"/>
  <c r="H292" i="2" s="1"/>
  <c r="C292" i="2"/>
  <c r="B292" i="2"/>
  <c r="A292" i="2"/>
  <c r="L291" i="2"/>
  <c r="K291" i="2"/>
  <c r="H291" i="2"/>
  <c r="G291" i="2"/>
  <c r="F291" i="2"/>
  <c r="E291" i="2"/>
  <c r="I291" i="2" s="1"/>
  <c r="D291" i="2"/>
  <c r="C291" i="2"/>
  <c r="B291" i="2"/>
  <c r="A291" i="2"/>
  <c r="L290" i="2"/>
  <c r="K290" i="2"/>
  <c r="H290" i="2"/>
  <c r="G290" i="2"/>
  <c r="F290" i="2"/>
  <c r="D290" i="2"/>
  <c r="E290" i="2" s="1"/>
  <c r="C290" i="2"/>
  <c r="B290" i="2"/>
  <c r="A290" i="2"/>
  <c r="L289" i="2"/>
  <c r="D289" i="2" s="1"/>
  <c r="K289" i="2"/>
  <c r="G289" i="2"/>
  <c r="H289" i="2" s="1"/>
  <c r="F289" i="2"/>
  <c r="C289" i="2"/>
  <c r="B289" i="2"/>
  <c r="A289" i="2"/>
  <c r="K288" i="2"/>
  <c r="G288" i="2"/>
  <c r="F288" i="2"/>
  <c r="H288" i="2" s="1"/>
  <c r="C288" i="2"/>
  <c r="B288" i="2"/>
  <c r="A288" i="2"/>
  <c r="L287" i="2"/>
  <c r="K287" i="2"/>
  <c r="H287" i="2"/>
  <c r="G287" i="2"/>
  <c r="F287" i="2"/>
  <c r="E287" i="2"/>
  <c r="I287" i="2" s="1"/>
  <c r="D287" i="2"/>
  <c r="C287" i="2"/>
  <c r="B287" i="2"/>
  <c r="A287" i="2"/>
  <c r="L286" i="2"/>
  <c r="K286" i="2"/>
  <c r="H286" i="2"/>
  <c r="G286" i="2"/>
  <c r="F286" i="2"/>
  <c r="D286" i="2"/>
  <c r="E286" i="2" s="1"/>
  <c r="I286" i="2" s="1"/>
  <c r="C286" i="2"/>
  <c r="B286" i="2"/>
  <c r="A286" i="2"/>
  <c r="L285" i="2"/>
  <c r="D285" i="2" s="1"/>
  <c r="K285" i="2"/>
  <c r="G285" i="2"/>
  <c r="H285" i="2" s="1"/>
  <c r="F285" i="2"/>
  <c r="C285" i="2"/>
  <c r="B285" i="2"/>
  <c r="A285" i="2"/>
  <c r="K284" i="2"/>
  <c r="G284" i="2"/>
  <c r="F284" i="2"/>
  <c r="H284" i="2" s="1"/>
  <c r="C284" i="2"/>
  <c r="B284" i="2"/>
  <c r="A284" i="2"/>
  <c r="L283" i="2"/>
  <c r="K283" i="2"/>
  <c r="H283" i="2"/>
  <c r="G283" i="2"/>
  <c r="F283" i="2"/>
  <c r="E283" i="2"/>
  <c r="I283" i="2" s="1"/>
  <c r="D283" i="2"/>
  <c r="C283" i="2"/>
  <c r="B283" i="2"/>
  <c r="A283" i="2"/>
  <c r="L282" i="2"/>
  <c r="K282" i="2"/>
  <c r="H282" i="2"/>
  <c r="G282" i="2"/>
  <c r="F282" i="2"/>
  <c r="D282" i="2"/>
  <c r="E282" i="2" s="1"/>
  <c r="C282" i="2"/>
  <c r="B282" i="2"/>
  <c r="A282" i="2"/>
  <c r="L281" i="2"/>
  <c r="D281" i="2" s="1"/>
  <c r="K281" i="2"/>
  <c r="G281" i="2"/>
  <c r="H281" i="2" s="1"/>
  <c r="F281" i="2"/>
  <c r="C281" i="2"/>
  <c r="B281" i="2"/>
  <c r="A281" i="2"/>
  <c r="K280" i="2"/>
  <c r="G280" i="2"/>
  <c r="F280" i="2"/>
  <c r="H280" i="2" s="1"/>
  <c r="C280" i="2"/>
  <c r="B280" i="2"/>
  <c r="A280" i="2"/>
  <c r="L279" i="2"/>
  <c r="K279" i="2"/>
  <c r="H279" i="2"/>
  <c r="G279" i="2"/>
  <c r="F279" i="2"/>
  <c r="E279" i="2"/>
  <c r="I279" i="2" s="1"/>
  <c r="D279" i="2"/>
  <c r="C279" i="2"/>
  <c r="B279" i="2"/>
  <c r="A279" i="2"/>
  <c r="L278" i="2"/>
  <c r="K278" i="2"/>
  <c r="H278" i="2"/>
  <c r="G278" i="2"/>
  <c r="F278" i="2"/>
  <c r="D278" i="2"/>
  <c r="E278" i="2" s="1"/>
  <c r="I278" i="2" s="1"/>
  <c r="C278" i="2"/>
  <c r="B278" i="2"/>
  <c r="A278" i="2"/>
  <c r="L277" i="2"/>
  <c r="D277" i="2" s="1"/>
  <c r="K277" i="2"/>
  <c r="G277" i="2"/>
  <c r="H277" i="2" s="1"/>
  <c r="F277" i="2"/>
  <c r="C277" i="2"/>
  <c r="B277" i="2"/>
  <c r="A277" i="2"/>
  <c r="K276" i="2"/>
  <c r="G276" i="2"/>
  <c r="F276" i="2"/>
  <c r="H276" i="2" s="1"/>
  <c r="C276" i="2"/>
  <c r="B276" i="2"/>
  <c r="A276" i="2"/>
  <c r="L275" i="2"/>
  <c r="K275" i="2"/>
  <c r="H275" i="2"/>
  <c r="G275" i="2"/>
  <c r="F275" i="2"/>
  <c r="D275" i="2"/>
  <c r="E275" i="2" s="1"/>
  <c r="I275" i="2" s="1"/>
  <c r="C275" i="2"/>
  <c r="B275" i="2"/>
  <c r="A275" i="2"/>
  <c r="L274" i="2"/>
  <c r="D274" i="2" s="1"/>
  <c r="E274" i="2" s="1"/>
  <c r="I274" i="2" s="1"/>
  <c r="K274" i="2"/>
  <c r="H274" i="2"/>
  <c r="G274" i="2"/>
  <c r="F274" i="2"/>
  <c r="C274" i="2"/>
  <c r="B274" i="2"/>
  <c r="A274" i="2"/>
  <c r="K273" i="2"/>
  <c r="L273" i="2" s="1"/>
  <c r="D273" i="2" s="1"/>
  <c r="E273" i="2" s="1"/>
  <c r="G273" i="2"/>
  <c r="F273" i="2"/>
  <c r="C273" i="2"/>
  <c r="B273" i="2"/>
  <c r="A273" i="2"/>
  <c r="K272" i="2"/>
  <c r="G272" i="2"/>
  <c r="F272" i="2"/>
  <c r="H272" i="2" s="1"/>
  <c r="C272" i="2"/>
  <c r="B272" i="2"/>
  <c r="A272" i="2"/>
  <c r="L271" i="2"/>
  <c r="K271" i="2"/>
  <c r="H271" i="2"/>
  <c r="G271" i="2"/>
  <c r="F271" i="2"/>
  <c r="E271" i="2"/>
  <c r="I271" i="2" s="1"/>
  <c r="D271" i="2"/>
  <c r="C271" i="2"/>
  <c r="B271" i="2"/>
  <c r="A271" i="2"/>
  <c r="L270" i="2"/>
  <c r="K270" i="2"/>
  <c r="G270" i="2"/>
  <c r="H270" i="2" s="1"/>
  <c r="F270" i="2"/>
  <c r="D270" i="2"/>
  <c r="E270" i="2" s="1"/>
  <c r="C270" i="2"/>
  <c r="B270" i="2"/>
  <c r="A270" i="2"/>
  <c r="L269" i="2"/>
  <c r="D269" i="2" s="1"/>
  <c r="K269" i="2"/>
  <c r="G269" i="2"/>
  <c r="H269" i="2" s="1"/>
  <c r="F269" i="2"/>
  <c r="C269" i="2"/>
  <c r="B269" i="2"/>
  <c r="A269" i="2"/>
  <c r="K268" i="2"/>
  <c r="L268" i="2" s="1"/>
  <c r="D268" i="2" s="1"/>
  <c r="G268" i="2"/>
  <c r="F268" i="2"/>
  <c r="H268" i="2" s="1"/>
  <c r="I268" i="2" s="1"/>
  <c r="E268" i="2"/>
  <c r="C268" i="2"/>
  <c r="B268" i="2"/>
  <c r="A268" i="2"/>
  <c r="L267" i="2"/>
  <c r="K267" i="2"/>
  <c r="H267" i="2"/>
  <c r="G267" i="2"/>
  <c r="F267" i="2"/>
  <c r="D267" i="2"/>
  <c r="E267" i="2" s="1"/>
  <c r="I267" i="2" s="1"/>
  <c r="C267" i="2"/>
  <c r="B267" i="2"/>
  <c r="A267" i="2"/>
  <c r="L266" i="2"/>
  <c r="D266" i="2" s="1"/>
  <c r="E266" i="2" s="1"/>
  <c r="I266" i="2" s="1"/>
  <c r="K266" i="2"/>
  <c r="H266" i="2"/>
  <c r="G266" i="2"/>
  <c r="F266" i="2"/>
  <c r="C266" i="2"/>
  <c r="B266" i="2"/>
  <c r="A266" i="2"/>
  <c r="K265" i="2"/>
  <c r="L265" i="2" s="1"/>
  <c r="D265" i="2" s="1"/>
  <c r="E265" i="2" s="1"/>
  <c r="G265" i="2"/>
  <c r="F265" i="2"/>
  <c r="C265" i="2"/>
  <c r="B265" i="2"/>
  <c r="A265" i="2"/>
  <c r="K264" i="2"/>
  <c r="L264" i="2" s="1"/>
  <c r="D264" i="2" s="1"/>
  <c r="G264" i="2"/>
  <c r="F264" i="2"/>
  <c r="H264" i="2" s="1"/>
  <c r="E264" i="2"/>
  <c r="I264" i="2" s="1"/>
  <c r="C264" i="2"/>
  <c r="B264" i="2"/>
  <c r="A264" i="2"/>
  <c r="L263" i="2"/>
  <c r="K263" i="2"/>
  <c r="H263" i="2"/>
  <c r="G263" i="2"/>
  <c r="F263" i="2"/>
  <c r="E263" i="2"/>
  <c r="I263" i="2" s="1"/>
  <c r="D263" i="2"/>
  <c r="C263" i="2"/>
  <c r="B263" i="2"/>
  <c r="A263" i="2"/>
  <c r="L262" i="2"/>
  <c r="K262" i="2"/>
  <c r="G262" i="2"/>
  <c r="H262" i="2" s="1"/>
  <c r="F262" i="2"/>
  <c r="D262" i="2"/>
  <c r="E262" i="2" s="1"/>
  <c r="C262" i="2"/>
  <c r="B262" i="2"/>
  <c r="A262" i="2"/>
  <c r="L261" i="2"/>
  <c r="D261" i="2" s="1"/>
  <c r="K261" i="2"/>
  <c r="G261" i="2"/>
  <c r="H261" i="2" s="1"/>
  <c r="F261" i="2"/>
  <c r="C261" i="2"/>
  <c r="B261" i="2"/>
  <c r="A261" i="2"/>
  <c r="K260" i="2"/>
  <c r="G260" i="2"/>
  <c r="F260" i="2"/>
  <c r="H260" i="2" s="1"/>
  <c r="C260" i="2"/>
  <c r="B260" i="2"/>
  <c r="A260" i="2"/>
  <c r="L259" i="2"/>
  <c r="K259" i="2"/>
  <c r="H259" i="2"/>
  <c r="G259" i="2"/>
  <c r="F259" i="2"/>
  <c r="D259" i="2"/>
  <c r="E259" i="2" s="1"/>
  <c r="I259" i="2" s="1"/>
  <c r="C259" i="2"/>
  <c r="B259" i="2"/>
  <c r="A259" i="2"/>
  <c r="L258" i="2"/>
  <c r="D258" i="2" s="1"/>
  <c r="E258" i="2" s="1"/>
  <c r="I258" i="2" s="1"/>
  <c r="K258" i="2"/>
  <c r="H258" i="2"/>
  <c r="G258" i="2"/>
  <c r="F258" i="2"/>
  <c r="C258" i="2"/>
  <c r="B258" i="2"/>
  <c r="A258" i="2"/>
  <c r="K257" i="2"/>
  <c r="L257" i="2" s="1"/>
  <c r="D257" i="2" s="1"/>
  <c r="E257" i="2" s="1"/>
  <c r="G257" i="2"/>
  <c r="F257" i="2"/>
  <c r="C257" i="2"/>
  <c r="B257" i="2"/>
  <c r="A257" i="2"/>
  <c r="K256" i="2"/>
  <c r="G256" i="2"/>
  <c r="F256" i="2"/>
  <c r="H256" i="2" s="1"/>
  <c r="C256" i="2"/>
  <c r="B256" i="2"/>
  <c r="A256" i="2"/>
  <c r="L255" i="2"/>
  <c r="K255" i="2"/>
  <c r="H255" i="2"/>
  <c r="G255" i="2"/>
  <c r="F255" i="2"/>
  <c r="E255" i="2"/>
  <c r="I255" i="2" s="1"/>
  <c r="D255" i="2"/>
  <c r="C255" i="2"/>
  <c r="B255" i="2"/>
  <c r="A255" i="2"/>
  <c r="L254" i="2"/>
  <c r="K254" i="2"/>
  <c r="G254" i="2"/>
  <c r="H254" i="2" s="1"/>
  <c r="F254" i="2"/>
  <c r="D254" i="2"/>
  <c r="E254" i="2" s="1"/>
  <c r="C254" i="2"/>
  <c r="B254" i="2"/>
  <c r="A254" i="2"/>
  <c r="K253" i="2"/>
  <c r="G253" i="2"/>
  <c r="H253" i="2" s="1"/>
  <c r="F253" i="2"/>
  <c r="C253" i="2"/>
  <c r="B253" i="2"/>
  <c r="L253" i="2" s="1"/>
  <c r="D253" i="2" s="1"/>
  <c r="E253" i="2" s="1"/>
  <c r="I253" i="2" s="1"/>
  <c r="A253" i="2"/>
  <c r="K252" i="2"/>
  <c r="H252" i="2"/>
  <c r="G252" i="2"/>
  <c r="F252" i="2"/>
  <c r="C252" i="2"/>
  <c r="B252" i="2"/>
  <c r="A252" i="2"/>
  <c r="L251" i="2"/>
  <c r="D251" i="2" s="1"/>
  <c r="E251" i="2" s="1"/>
  <c r="K251" i="2"/>
  <c r="G251" i="2"/>
  <c r="H251" i="2" s="1"/>
  <c r="F251" i="2"/>
  <c r="C251" i="2"/>
  <c r="B251" i="2"/>
  <c r="A251" i="2"/>
  <c r="K250" i="2"/>
  <c r="L250" i="2" s="1"/>
  <c r="D250" i="2" s="1"/>
  <c r="E250" i="2" s="1"/>
  <c r="I250" i="2" s="1"/>
  <c r="G250" i="2"/>
  <c r="H250" i="2" s="1"/>
  <c r="F250" i="2"/>
  <c r="C250" i="2"/>
  <c r="B250" i="2"/>
  <c r="A250" i="2"/>
  <c r="L249" i="2"/>
  <c r="D249" i="2" s="1"/>
  <c r="E249" i="2" s="1"/>
  <c r="K249" i="2"/>
  <c r="G249" i="2"/>
  <c r="F249" i="2"/>
  <c r="C249" i="2"/>
  <c r="B249" i="2"/>
  <c r="A249" i="2"/>
  <c r="K248" i="2"/>
  <c r="G248" i="2"/>
  <c r="F248" i="2"/>
  <c r="H248" i="2" s="1"/>
  <c r="C248" i="2"/>
  <c r="B248" i="2"/>
  <c r="A248" i="2"/>
  <c r="L247" i="2"/>
  <c r="K247" i="2"/>
  <c r="H247" i="2"/>
  <c r="G247" i="2"/>
  <c r="F247" i="2"/>
  <c r="D247" i="2"/>
  <c r="E247" i="2" s="1"/>
  <c r="I247" i="2" s="1"/>
  <c r="C247" i="2"/>
  <c r="B247" i="2"/>
  <c r="A247" i="2"/>
  <c r="L246" i="2"/>
  <c r="D246" i="2" s="1"/>
  <c r="E246" i="2" s="1"/>
  <c r="I246" i="2" s="1"/>
  <c r="K246" i="2"/>
  <c r="H246" i="2"/>
  <c r="G246" i="2"/>
  <c r="F246" i="2"/>
  <c r="C246" i="2"/>
  <c r="B246" i="2"/>
  <c r="A246" i="2"/>
  <c r="K245" i="2"/>
  <c r="L245" i="2" s="1"/>
  <c r="D245" i="2" s="1"/>
  <c r="E245" i="2" s="1"/>
  <c r="I245" i="2" s="1"/>
  <c r="G245" i="2"/>
  <c r="H245" i="2" s="1"/>
  <c r="F245" i="2"/>
  <c r="C245" i="2"/>
  <c r="B245" i="2"/>
  <c r="A245" i="2"/>
  <c r="K244" i="2"/>
  <c r="G244" i="2"/>
  <c r="F244" i="2"/>
  <c r="H244" i="2" s="1"/>
  <c r="C244" i="2"/>
  <c r="B244" i="2"/>
  <c r="A244" i="2"/>
  <c r="L243" i="2"/>
  <c r="D243" i="2" s="1"/>
  <c r="E243" i="2" s="1"/>
  <c r="I243" i="2" s="1"/>
  <c r="K243" i="2"/>
  <c r="G243" i="2"/>
  <c r="H243" i="2" s="1"/>
  <c r="F243" i="2"/>
  <c r="C243" i="2"/>
  <c r="B243" i="2"/>
  <c r="A243" i="2"/>
  <c r="K242" i="2"/>
  <c r="L242" i="2" s="1"/>
  <c r="D242" i="2" s="1"/>
  <c r="E242" i="2" s="1"/>
  <c r="G242" i="2"/>
  <c r="H242" i="2" s="1"/>
  <c r="F242" i="2"/>
  <c r="C242" i="2"/>
  <c r="B242" i="2"/>
  <c r="A242" i="2"/>
  <c r="L241" i="2"/>
  <c r="D241" i="2" s="1"/>
  <c r="E241" i="2" s="1"/>
  <c r="K241" i="2"/>
  <c r="G241" i="2"/>
  <c r="F241" i="2"/>
  <c r="C241" i="2"/>
  <c r="B241" i="2"/>
  <c r="A241" i="2"/>
  <c r="K240" i="2"/>
  <c r="H240" i="2"/>
  <c r="G240" i="2"/>
  <c r="F240" i="2"/>
  <c r="C240" i="2"/>
  <c r="B240" i="2"/>
  <c r="A240" i="2"/>
  <c r="L239" i="2"/>
  <c r="K239" i="2"/>
  <c r="H239" i="2"/>
  <c r="G239" i="2"/>
  <c r="F239" i="2"/>
  <c r="D239" i="2"/>
  <c r="E239" i="2" s="1"/>
  <c r="I239" i="2" s="1"/>
  <c r="C239" i="2"/>
  <c r="B239" i="2"/>
  <c r="A239" i="2"/>
  <c r="L238" i="2"/>
  <c r="D238" i="2" s="1"/>
  <c r="E238" i="2" s="1"/>
  <c r="I238" i="2" s="1"/>
  <c r="K238" i="2"/>
  <c r="G238" i="2"/>
  <c r="F238" i="2"/>
  <c r="H238" i="2" s="1"/>
  <c r="C238" i="2"/>
  <c r="B238" i="2"/>
  <c r="A238" i="2"/>
  <c r="K237" i="2"/>
  <c r="L237" i="2" s="1"/>
  <c r="D237" i="2" s="1"/>
  <c r="E237" i="2" s="1"/>
  <c r="I237" i="2" s="1"/>
  <c r="G237" i="2"/>
  <c r="H237" i="2" s="1"/>
  <c r="F237" i="2"/>
  <c r="C237" i="2"/>
  <c r="B237" i="2"/>
  <c r="A237" i="2"/>
  <c r="K236" i="2"/>
  <c r="H236" i="2"/>
  <c r="G236" i="2"/>
  <c r="F236" i="2"/>
  <c r="C236" i="2"/>
  <c r="B236" i="2"/>
  <c r="A236" i="2"/>
  <c r="L235" i="2"/>
  <c r="D235" i="2" s="1"/>
  <c r="E235" i="2" s="1"/>
  <c r="I235" i="2" s="1"/>
  <c r="K235" i="2"/>
  <c r="G235" i="2"/>
  <c r="H235" i="2" s="1"/>
  <c r="F235" i="2"/>
  <c r="C235" i="2"/>
  <c r="B235" i="2"/>
  <c r="A235" i="2"/>
  <c r="K234" i="2"/>
  <c r="L234" i="2" s="1"/>
  <c r="D234" i="2" s="1"/>
  <c r="E234" i="2" s="1"/>
  <c r="G234" i="2"/>
  <c r="H234" i="2" s="1"/>
  <c r="F234" i="2"/>
  <c r="C234" i="2"/>
  <c r="B234" i="2"/>
  <c r="A234" i="2"/>
  <c r="L233" i="2"/>
  <c r="D233" i="2" s="1"/>
  <c r="E233" i="2" s="1"/>
  <c r="K233" i="2"/>
  <c r="G233" i="2"/>
  <c r="F233" i="2"/>
  <c r="C233" i="2"/>
  <c r="B233" i="2"/>
  <c r="A233" i="2"/>
  <c r="K232" i="2"/>
  <c r="G232" i="2"/>
  <c r="F232" i="2"/>
  <c r="H232" i="2" s="1"/>
  <c r="C232" i="2"/>
  <c r="B232" i="2"/>
  <c r="A232" i="2"/>
  <c r="L231" i="2"/>
  <c r="K231" i="2"/>
  <c r="H231" i="2"/>
  <c r="G231" i="2"/>
  <c r="F231" i="2"/>
  <c r="D231" i="2"/>
  <c r="E231" i="2" s="1"/>
  <c r="I231" i="2" s="1"/>
  <c r="C231" i="2"/>
  <c r="B231" i="2"/>
  <c r="A231" i="2"/>
  <c r="K230" i="2"/>
  <c r="L230" i="2" s="1"/>
  <c r="D230" i="2" s="1"/>
  <c r="E230" i="2" s="1"/>
  <c r="I230" i="2" s="1"/>
  <c r="H230" i="2"/>
  <c r="G230" i="2"/>
  <c r="F230" i="2"/>
  <c r="C230" i="2"/>
  <c r="B230" i="2"/>
  <c r="A230" i="2"/>
  <c r="L229" i="2"/>
  <c r="D229" i="2" s="1"/>
  <c r="E229" i="2" s="1"/>
  <c r="K229" i="2"/>
  <c r="G229" i="2"/>
  <c r="F229" i="2"/>
  <c r="C229" i="2"/>
  <c r="B229" i="2"/>
  <c r="A229" i="2"/>
  <c r="K228" i="2"/>
  <c r="G228" i="2"/>
  <c r="F228" i="2"/>
  <c r="H228" i="2" s="1"/>
  <c r="C228" i="2"/>
  <c r="B228" i="2"/>
  <c r="A228" i="2"/>
  <c r="L227" i="2"/>
  <c r="D227" i="2" s="1"/>
  <c r="E227" i="2" s="1"/>
  <c r="I227" i="2" s="1"/>
  <c r="K227" i="2"/>
  <c r="G227" i="2"/>
  <c r="H227" i="2" s="1"/>
  <c r="F227" i="2"/>
  <c r="C227" i="2"/>
  <c r="B227" i="2"/>
  <c r="A227" i="2"/>
  <c r="K226" i="2"/>
  <c r="L226" i="2" s="1"/>
  <c r="D226" i="2" s="1"/>
  <c r="E226" i="2" s="1"/>
  <c r="I226" i="2" s="1"/>
  <c r="H226" i="2"/>
  <c r="G226" i="2"/>
  <c r="F226" i="2"/>
  <c r="C226" i="2"/>
  <c r="B226" i="2"/>
  <c r="A226" i="2"/>
  <c r="K225" i="2"/>
  <c r="L225" i="2" s="1"/>
  <c r="D225" i="2" s="1"/>
  <c r="E225" i="2" s="1"/>
  <c r="G225" i="2"/>
  <c r="F225" i="2"/>
  <c r="C225" i="2"/>
  <c r="B225" i="2"/>
  <c r="A225" i="2"/>
  <c r="K224" i="2"/>
  <c r="G224" i="2"/>
  <c r="F224" i="2"/>
  <c r="H224" i="2" s="1"/>
  <c r="C224" i="2"/>
  <c r="B224" i="2"/>
  <c r="A224" i="2"/>
  <c r="L223" i="2"/>
  <c r="K223" i="2"/>
  <c r="H223" i="2"/>
  <c r="G223" i="2"/>
  <c r="F223" i="2"/>
  <c r="E223" i="2"/>
  <c r="I223" i="2" s="1"/>
  <c r="D223" i="2"/>
  <c r="C223" i="2"/>
  <c r="B223" i="2"/>
  <c r="A223" i="2"/>
  <c r="K222" i="2"/>
  <c r="G222" i="2"/>
  <c r="H222" i="2" s="1"/>
  <c r="F222" i="2"/>
  <c r="C222" i="2"/>
  <c r="B222" i="2"/>
  <c r="L222" i="2" s="1"/>
  <c r="D222" i="2" s="1"/>
  <c r="E222" i="2" s="1"/>
  <c r="A222" i="2"/>
  <c r="K221" i="2"/>
  <c r="L221" i="2" s="1"/>
  <c r="D221" i="2" s="1"/>
  <c r="E221" i="2" s="1"/>
  <c r="I221" i="2" s="1"/>
  <c r="G221" i="2"/>
  <c r="H221" i="2" s="1"/>
  <c r="F221" i="2"/>
  <c r="C221" i="2"/>
  <c r="B221" i="2"/>
  <c r="A221" i="2"/>
  <c r="K220" i="2"/>
  <c r="H220" i="2"/>
  <c r="G220" i="2"/>
  <c r="F220" i="2"/>
  <c r="C220" i="2"/>
  <c r="B220" i="2"/>
  <c r="A220" i="2"/>
  <c r="L219" i="2"/>
  <c r="K219" i="2"/>
  <c r="H219" i="2"/>
  <c r="G219" i="2"/>
  <c r="F219" i="2"/>
  <c r="D219" i="2"/>
  <c r="E219" i="2" s="1"/>
  <c r="I219" i="2" s="1"/>
  <c r="C219" i="2"/>
  <c r="B219" i="2"/>
  <c r="A219" i="2"/>
  <c r="L218" i="2"/>
  <c r="D218" i="2" s="1"/>
  <c r="E218" i="2" s="1"/>
  <c r="I218" i="2" s="1"/>
  <c r="K218" i="2"/>
  <c r="G218" i="2"/>
  <c r="H218" i="2" s="1"/>
  <c r="F218" i="2"/>
  <c r="C218" i="2"/>
  <c r="B218" i="2"/>
  <c r="A218" i="2"/>
  <c r="K217" i="2"/>
  <c r="G217" i="2"/>
  <c r="H217" i="2" s="1"/>
  <c r="F217" i="2"/>
  <c r="C217" i="2"/>
  <c r="B217" i="2"/>
  <c r="L217" i="2" s="1"/>
  <c r="D217" i="2" s="1"/>
  <c r="E217" i="2" s="1"/>
  <c r="I217" i="2" s="1"/>
  <c r="A217" i="2"/>
  <c r="K216" i="2"/>
  <c r="L216" i="2" s="1"/>
  <c r="D216" i="2" s="1"/>
  <c r="E216" i="2" s="1"/>
  <c r="I216" i="2" s="1"/>
  <c r="G216" i="2"/>
  <c r="H216" i="2" s="1"/>
  <c r="F216" i="2"/>
  <c r="C216" i="2"/>
  <c r="B216" i="2"/>
  <c r="A216" i="2"/>
  <c r="K215" i="2"/>
  <c r="L215" i="2" s="1"/>
  <c r="D215" i="2" s="1"/>
  <c r="E215" i="2" s="1"/>
  <c r="I215" i="2" s="1"/>
  <c r="H215" i="2"/>
  <c r="G215" i="2"/>
  <c r="F215" i="2"/>
  <c r="C215" i="2"/>
  <c r="B215" i="2"/>
  <c r="A215" i="2"/>
  <c r="L214" i="2"/>
  <c r="K214" i="2"/>
  <c r="H214" i="2"/>
  <c r="G214" i="2"/>
  <c r="F214" i="2"/>
  <c r="D214" i="2"/>
  <c r="E214" i="2" s="1"/>
  <c r="I214" i="2" s="1"/>
  <c r="C214" i="2"/>
  <c r="B214" i="2"/>
  <c r="A214" i="2"/>
  <c r="L213" i="2"/>
  <c r="D213" i="2" s="1"/>
  <c r="E213" i="2" s="1"/>
  <c r="K213" i="2"/>
  <c r="G213" i="2"/>
  <c r="H213" i="2" s="1"/>
  <c r="F213" i="2"/>
  <c r="C213" i="2"/>
  <c r="B213" i="2"/>
  <c r="A213" i="2"/>
  <c r="K212" i="2"/>
  <c r="L212" i="2" s="1"/>
  <c r="D212" i="2" s="1"/>
  <c r="E212" i="2" s="1"/>
  <c r="G212" i="2"/>
  <c r="H212" i="2" s="1"/>
  <c r="F212" i="2"/>
  <c r="C212" i="2"/>
  <c r="B212" i="2"/>
  <c r="A212" i="2"/>
  <c r="K211" i="2"/>
  <c r="L211" i="2" s="1"/>
  <c r="D211" i="2" s="1"/>
  <c r="E211" i="2" s="1"/>
  <c r="I211" i="2" s="1"/>
  <c r="H211" i="2"/>
  <c r="G211" i="2"/>
  <c r="F211" i="2"/>
  <c r="C211" i="2"/>
  <c r="B211" i="2"/>
  <c r="A211" i="2"/>
  <c r="L210" i="2"/>
  <c r="K210" i="2"/>
  <c r="H210" i="2"/>
  <c r="G210" i="2"/>
  <c r="F210" i="2"/>
  <c r="D210" i="2"/>
  <c r="E210" i="2" s="1"/>
  <c r="I210" i="2" s="1"/>
  <c r="C210" i="2"/>
  <c r="B210" i="2"/>
  <c r="A210" i="2"/>
  <c r="L209" i="2"/>
  <c r="D209" i="2" s="1"/>
  <c r="E209" i="2" s="1"/>
  <c r="I209" i="2" s="1"/>
  <c r="K209" i="2"/>
  <c r="G209" i="2"/>
  <c r="H209" i="2" s="1"/>
  <c r="F209" i="2"/>
  <c r="C209" i="2"/>
  <c r="B209" i="2"/>
  <c r="A209" i="2"/>
  <c r="K208" i="2"/>
  <c r="L208" i="2" s="1"/>
  <c r="D208" i="2" s="1"/>
  <c r="E208" i="2" s="1"/>
  <c r="G208" i="2"/>
  <c r="H208" i="2" s="1"/>
  <c r="F208" i="2"/>
  <c r="C208" i="2"/>
  <c r="B208" i="2"/>
  <c r="A208" i="2"/>
  <c r="K207" i="2"/>
  <c r="L207" i="2" s="1"/>
  <c r="D207" i="2" s="1"/>
  <c r="E207" i="2" s="1"/>
  <c r="I207" i="2" s="1"/>
  <c r="H207" i="2"/>
  <c r="G207" i="2"/>
  <c r="F207" i="2"/>
  <c r="C207" i="2"/>
  <c r="B207" i="2"/>
  <c r="A207" i="2"/>
  <c r="L206" i="2"/>
  <c r="K206" i="2"/>
  <c r="H206" i="2"/>
  <c r="G206" i="2"/>
  <c r="F206" i="2"/>
  <c r="D206" i="2"/>
  <c r="E206" i="2" s="1"/>
  <c r="I206" i="2" s="1"/>
  <c r="C206" i="2"/>
  <c r="B206" i="2"/>
  <c r="A206" i="2"/>
  <c r="L205" i="2"/>
  <c r="D205" i="2" s="1"/>
  <c r="E205" i="2" s="1"/>
  <c r="I205" i="2" s="1"/>
  <c r="K205" i="2"/>
  <c r="G205" i="2"/>
  <c r="H205" i="2" s="1"/>
  <c r="F205" i="2"/>
  <c r="C205" i="2"/>
  <c r="B205" i="2"/>
  <c r="A205" i="2"/>
  <c r="K204" i="2"/>
  <c r="L204" i="2" s="1"/>
  <c r="D204" i="2" s="1"/>
  <c r="E204" i="2" s="1"/>
  <c r="I204" i="2" s="1"/>
  <c r="G204" i="2"/>
  <c r="H204" i="2" s="1"/>
  <c r="F204" i="2"/>
  <c r="C204" i="2"/>
  <c r="B204" i="2"/>
  <c r="A204" i="2"/>
  <c r="K203" i="2"/>
  <c r="L203" i="2" s="1"/>
  <c r="D203" i="2" s="1"/>
  <c r="E203" i="2" s="1"/>
  <c r="I203" i="2" s="1"/>
  <c r="H203" i="2"/>
  <c r="G203" i="2"/>
  <c r="F203" i="2"/>
  <c r="C203" i="2"/>
  <c r="B203" i="2"/>
  <c r="A203" i="2"/>
  <c r="L202" i="2"/>
  <c r="K202" i="2"/>
  <c r="H202" i="2"/>
  <c r="G202" i="2"/>
  <c r="F202" i="2"/>
  <c r="D202" i="2"/>
  <c r="E202" i="2" s="1"/>
  <c r="I202" i="2" s="1"/>
  <c r="C202" i="2"/>
  <c r="B202" i="2"/>
  <c r="A202" i="2"/>
  <c r="L201" i="2"/>
  <c r="D201" i="2" s="1"/>
  <c r="E201" i="2" s="1"/>
  <c r="K201" i="2"/>
  <c r="G201" i="2"/>
  <c r="H201" i="2" s="1"/>
  <c r="F201" i="2"/>
  <c r="C201" i="2"/>
  <c r="B201" i="2"/>
  <c r="A201" i="2"/>
  <c r="K200" i="2"/>
  <c r="L200" i="2" s="1"/>
  <c r="D200" i="2" s="1"/>
  <c r="E200" i="2" s="1"/>
  <c r="I200" i="2" s="1"/>
  <c r="G200" i="2"/>
  <c r="H200" i="2" s="1"/>
  <c r="F200" i="2"/>
  <c r="C200" i="2"/>
  <c r="B200" i="2"/>
  <c r="A200" i="2"/>
  <c r="K199" i="2"/>
  <c r="L199" i="2" s="1"/>
  <c r="D199" i="2" s="1"/>
  <c r="E199" i="2" s="1"/>
  <c r="I199" i="2" s="1"/>
  <c r="H199" i="2"/>
  <c r="G199" i="2"/>
  <c r="F199" i="2"/>
  <c r="C199" i="2"/>
  <c r="B199" i="2"/>
  <c r="A199" i="2"/>
  <c r="L198" i="2"/>
  <c r="K198" i="2"/>
  <c r="H198" i="2"/>
  <c r="G198" i="2"/>
  <c r="F198" i="2"/>
  <c r="D198" i="2"/>
  <c r="E198" i="2" s="1"/>
  <c r="I198" i="2" s="1"/>
  <c r="C198" i="2"/>
  <c r="B198" i="2"/>
  <c r="A198" i="2"/>
  <c r="L197" i="2"/>
  <c r="D197" i="2" s="1"/>
  <c r="E197" i="2" s="1"/>
  <c r="K197" i="2"/>
  <c r="G197" i="2"/>
  <c r="H197" i="2" s="1"/>
  <c r="F197" i="2"/>
  <c r="C197" i="2"/>
  <c r="B197" i="2"/>
  <c r="A197" i="2"/>
  <c r="K196" i="2"/>
  <c r="L196" i="2" s="1"/>
  <c r="D196" i="2" s="1"/>
  <c r="E196" i="2" s="1"/>
  <c r="G196" i="2"/>
  <c r="H196" i="2" s="1"/>
  <c r="F196" i="2"/>
  <c r="C196" i="2"/>
  <c r="B196" i="2"/>
  <c r="A196" i="2"/>
  <c r="K195" i="2"/>
  <c r="L195" i="2" s="1"/>
  <c r="D195" i="2" s="1"/>
  <c r="E195" i="2" s="1"/>
  <c r="I195" i="2" s="1"/>
  <c r="H195" i="2"/>
  <c r="G195" i="2"/>
  <c r="F195" i="2"/>
  <c r="C195" i="2"/>
  <c r="B195" i="2"/>
  <c r="A195" i="2"/>
  <c r="L194" i="2"/>
  <c r="K194" i="2"/>
  <c r="H194" i="2"/>
  <c r="G194" i="2"/>
  <c r="F194" i="2"/>
  <c r="D194" i="2"/>
  <c r="E194" i="2" s="1"/>
  <c r="I194" i="2" s="1"/>
  <c r="C194" i="2"/>
  <c r="B194" i="2"/>
  <c r="A194" i="2"/>
  <c r="L193" i="2"/>
  <c r="D193" i="2" s="1"/>
  <c r="E193" i="2" s="1"/>
  <c r="I193" i="2" s="1"/>
  <c r="K193" i="2"/>
  <c r="G193" i="2"/>
  <c r="H193" i="2" s="1"/>
  <c r="F193" i="2"/>
  <c r="C193" i="2"/>
  <c r="B193" i="2"/>
  <c r="A193" i="2"/>
  <c r="K192" i="2"/>
  <c r="L192" i="2" s="1"/>
  <c r="D192" i="2" s="1"/>
  <c r="E192" i="2" s="1"/>
  <c r="G192" i="2"/>
  <c r="H192" i="2" s="1"/>
  <c r="F192" i="2"/>
  <c r="C192" i="2"/>
  <c r="B192" i="2"/>
  <c r="A192" i="2"/>
  <c r="K191" i="2"/>
  <c r="L191" i="2" s="1"/>
  <c r="D191" i="2" s="1"/>
  <c r="E191" i="2" s="1"/>
  <c r="I191" i="2" s="1"/>
  <c r="H191" i="2"/>
  <c r="G191" i="2"/>
  <c r="F191" i="2"/>
  <c r="C191" i="2"/>
  <c r="B191" i="2"/>
  <c r="A191" i="2"/>
  <c r="L190" i="2"/>
  <c r="K190" i="2"/>
  <c r="H190" i="2"/>
  <c r="G190" i="2"/>
  <c r="F190" i="2"/>
  <c r="D190" i="2"/>
  <c r="E190" i="2" s="1"/>
  <c r="I190" i="2" s="1"/>
  <c r="C190" i="2"/>
  <c r="B190" i="2"/>
  <c r="A190" i="2"/>
  <c r="L189" i="2"/>
  <c r="D189" i="2" s="1"/>
  <c r="E189" i="2" s="1"/>
  <c r="I189" i="2" s="1"/>
  <c r="K189" i="2"/>
  <c r="G189" i="2"/>
  <c r="H189" i="2" s="1"/>
  <c r="F189" i="2"/>
  <c r="C189" i="2"/>
  <c r="B189" i="2"/>
  <c r="A189" i="2"/>
  <c r="K188" i="2"/>
  <c r="L188" i="2" s="1"/>
  <c r="D188" i="2" s="1"/>
  <c r="E188" i="2" s="1"/>
  <c r="G188" i="2"/>
  <c r="H188" i="2" s="1"/>
  <c r="F188" i="2"/>
  <c r="C188" i="2"/>
  <c r="B188" i="2"/>
  <c r="A188" i="2"/>
  <c r="K187" i="2"/>
  <c r="L187" i="2" s="1"/>
  <c r="D187" i="2" s="1"/>
  <c r="E187" i="2" s="1"/>
  <c r="I187" i="2" s="1"/>
  <c r="H187" i="2"/>
  <c r="G187" i="2"/>
  <c r="F187" i="2"/>
  <c r="C187" i="2"/>
  <c r="B187" i="2"/>
  <c r="A187" i="2"/>
  <c r="L186" i="2"/>
  <c r="K186" i="2"/>
  <c r="H186" i="2"/>
  <c r="G186" i="2"/>
  <c r="F186" i="2"/>
  <c r="D186" i="2"/>
  <c r="E186" i="2" s="1"/>
  <c r="I186" i="2" s="1"/>
  <c r="C186" i="2"/>
  <c r="B186" i="2"/>
  <c r="A186" i="2"/>
  <c r="L185" i="2"/>
  <c r="D185" i="2" s="1"/>
  <c r="E185" i="2" s="1"/>
  <c r="K185" i="2"/>
  <c r="G185" i="2"/>
  <c r="H185" i="2" s="1"/>
  <c r="F185" i="2"/>
  <c r="C185" i="2"/>
  <c r="B185" i="2"/>
  <c r="A185" i="2"/>
  <c r="K184" i="2"/>
  <c r="L184" i="2" s="1"/>
  <c r="D184" i="2" s="1"/>
  <c r="E184" i="2" s="1"/>
  <c r="I184" i="2" s="1"/>
  <c r="G184" i="2"/>
  <c r="H184" i="2" s="1"/>
  <c r="F184" i="2"/>
  <c r="C184" i="2"/>
  <c r="B184" i="2"/>
  <c r="A184" i="2"/>
  <c r="K183" i="2"/>
  <c r="L183" i="2" s="1"/>
  <c r="D183" i="2" s="1"/>
  <c r="E183" i="2" s="1"/>
  <c r="I183" i="2" s="1"/>
  <c r="H183" i="2"/>
  <c r="G183" i="2"/>
  <c r="F183" i="2"/>
  <c r="C183" i="2"/>
  <c r="B183" i="2"/>
  <c r="A183" i="2"/>
  <c r="L182" i="2"/>
  <c r="K182" i="2"/>
  <c r="H182" i="2"/>
  <c r="G182" i="2"/>
  <c r="F182" i="2"/>
  <c r="D182" i="2"/>
  <c r="E182" i="2" s="1"/>
  <c r="I182" i="2" s="1"/>
  <c r="C182" i="2"/>
  <c r="B182" i="2"/>
  <c r="A182" i="2"/>
  <c r="L181" i="2"/>
  <c r="D181" i="2" s="1"/>
  <c r="E181" i="2" s="1"/>
  <c r="K181" i="2"/>
  <c r="G181" i="2"/>
  <c r="H181" i="2" s="1"/>
  <c r="F181" i="2"/>
  <c r="C181" i="2"/>
  <c r="B181" i="2"/>
  <c r="A181" i="2"/>
  <c r="K180" i="2"/>
  <c r="L180" i="2" s="1"/>
  <c r="D180" i="2" s="1"/>
  <c r="E180" i="2" s="1"/>
  <c r="G180" i="2"/>
  <c r="H180" i="2" s="1"/>
  <c r="F180" i="2"/>
  <c r="C180" i="2"/>
  <c r="B180" i="2"/>
  <c r="A180" i="2"/>
  <c r="K179" i="2"/>
  <c r="L179" i="2" s="1"/>
  <c r="D179" i="2" s="1"/>
  <c r="E179" i="2" s="1"/>
  <c r="I179" i="2" s="1"/>
  <c r="H179" i="2"/>
  <c r="G179" i="2"/>
  <c r="F179" i="2"/>
  <c r="C179" i="2"/>
  <c r="B179" i="2"/>
  <c r="A179" i="2"/>
  <c r="L178" i="2"/>
  <c r="K178" i="2"/>
  <c r="H178" i="2"/>
  <c r="G178" i="2"/>
  <c r="F178" i="2"/>
  <c r="D178" i="2"/>
  <c r="E178" i="2" s="1"/>
  <c r="I178" i="2" s="1"/>
  <c r="C178" i="2"/>
  <c r="B178" i="2"/>
  <c r="A178" i="2"/>
  <c r="L177" i="2"/>
  <c r="D177" i="2" s="1"/>
  <c r="E177" i="2" s="1"/>
  <c r="I177" i="2" s="1"/>
  <c r="K177" i="2"/>
  <c r="G177" i="2"/>
  <c r="H177" i="2" s="1"/>
  <c r="F177" i="2"/>
  <c r="C177" i="2"/>
  <c r="B177" i="2"/>
  <c r="A177" i="2"/>
  <c r="K176" i="2"/>
  <c r="L176" i="2" s="1"/>
  <c r="D176" i="2" s="1"/>
  <c r="E176" i="2" s="1"/>
  <c r="G176" i="2"/>
  <c r="H176" i="2" s="1"/>
  <c r="F176" i="2"/>
  <c r="C176" i="2"/>
  <c r="B176" i="2"/>
  <c r="A176" i="2"/>
  <c r="K175" i="2"/>
  <c r="L175" i="2" s="1"/>
  <c r="D175" i="2" s="1"/>
  <c r="E175" i="2" s="1"/>
  <c r="I175" i="2" s="1"/>
  <c r="H175" i="2"/>
  <c r="G175" i="2"/>
  <c r="F175" i="2"/>
  <c r="C175" i="2"/>
  <c r="B175" i="2"/>
  <c r="A175" i="2"/>
  <c r="L174" i="2"/>
  <c r="K174" i="2"/>
  <c r="H174" i="2"/>
  <c r="G174" i="2"/>
  <c r="F174" i="2"/>
  <c r="D174" i="2"/>
  <c r="E174" i="2" s="1"/>
  <c r="I174" i="2" s="1"/>
  <c r="C174" i="2"/>
  <c r="B174" i="2"/>
  <c r="A174" i="2"/>
  <c r="L173" i="2"/>
  <c r="D173" i="2" s="1"/>
  <c r="E173" i="2" s="1"/>
  <c r="I173" i="2" s="1"/>
  <c r="K173" i="2"/>
  <c r="G173" i="2"/>
  <c r="H173" i="2" s="1"/>
  <c r="F173" i="2"/>
  <c r="C173" i="2"/>
  <c r="B173" i="2"/>
  <c r="A173" i="2"/>
  <c r="K172" i="2"/>
  <c r="L172" i="2" s="1"/>
  <c r="D172" i="2" s="1"/>
  <c r="E172" i="2" s="1"/>
  <c r="G172" i="2"/>
  <c r="H172" i="2" s="1"/>
  <c r="F172" i="2"/>
  <c r="C172" i="2"/>
  <c r="B172" i="2"/>
  <c r="A172" i="2"/>
  <c r="K171" i="2"/>
  <c r="L171" i="2" s="1"/>
  <c r="D171" i="2" s="1"/>
  <c r="E171" i="2" s="1"/>
  <c r="I171" i="2" s="1"/>
  <c r="H171" i="2"/>
  <c r="G171" i="2"/>
  <c r="F171" i="2"/>
  <c r="C171" i="2"/>
  <c r="B171" i="2"/>
  <c r="A171" i="2"/>
  <c r="L170" i="2"/>
  <c r="K170" i="2"/>
  <c r="H170" i="2"/>
  <c r="G170" i="2"/>
  <c r="F170" i="2"/>
  <c r="D170" i="2"/>
  <c r="E170" i="2" s="1"/>
  <c r="I170" i="2" s="1"/>
  <c r="C170" i="2"/>
  <c r="B170" i="2"/>
  <c r="A170" i="2"/>
  <c r="L169" i="2"/>
  <c r="D169" i="2" s="1"/>
  <c r="E169" i="2" s="1"/>
  <c r="K169" i="2"/>
  <c r="G169" i="2"/>
  <c r="H169" i="2" s="1"/>
  <c r="F169" i="2"/>
  <c r="C169" i="2"/>
  <c r="B169" i="2"/>
  <c r="A169" i="2"/>
  <c r="K168" i="2"/>
  <c r="L168" i="2" s="1"/>
  <c r="D168" i="2" s="1"/>
  <c r="E168" i="2" s="1"/>
  <c r="I168" i="2" s="1"/>
  <c r="G168" i="2"/>
  <c r="H168" i="2" s="1"/>
  <c r="F168" i="2"/>
  <c r="C168" i="2"/>
  <c r="B168" i="2"/>
  <c r="A168" i="2"/>
  <c r="K167" i="2"/>
  <c r="L167" i="2" s="1"/>
  <c r="D167" i="2" s="1"/>
  <c r="E167" i="2" s="1"/>
  <c r="I167" i="2" s="1"/>
  <c r="H167" i="2"/>
  <c r="G167" i="2"/>
  <c r="F167" i="2"/>
  <c r="C167" i="2"/>
  <c r="B167" i="2"/>
  <c r="A167" i="2"/>
  <c r="L166" i="2"/>
  <c r="K166" i="2"/>
  <c r="H166" i="2"/>
  <c r="G166" i="2"/>
  <c r="F166" i="2"/>
  <c r="D166" i="2"/>
  <c r="E166" i="2" s="1"/>
  <c r="I166" i="2" s="1"/>
  <c r="C166" i="2"/>
  <c r="B166" i="2"/>
  <c r="A166" i="2"/>
  <c r="L165" i="2"/>
  <c r="D165" i="2" s="1"/>
  <c r="E165" i="2" s="1"/>
  <c r="K165" i="2"/>
  <c r="G165" i="2"/>
  <c r="H165" i="2" s="1"/>
  <c r="F165" i="2"/>
  <c r="C165" i="2"/>
  <c r="B165" i="2"/>
  <c r="A165" i="2"/>
  <c r="K164" i="2"/>
  <c r="L164" i="2" s="1"/>
  <c r="D164" i="2" s="1"/>
  <c r="E164" i="2" s="1"/>
  <c r="G164" i="2"/>
  <c r="H164" i="2" s="1"/>
  <c r="F164" i="2"/>
  <c r="C164" i="2"/>
  <c r="B164" i="2"/>
  <c r="A164" i="2"/>
  <c r="K163" i="2"/>
  <c r="L163" i="2" s="1"/>
  <c r="D163" i="2" s="1"/>
  <c r="E163" i="2" s="1"/>
  <c r="I163" i="2" s="1"/>
  <c r="H163" i="2"/>
  <c r="G163" i="2"/>
  <c r="F163" i="2"/>
  <c r="C163" i="2"/>
  <c r="B163" i="2"/>
  <c r="A163" i="2"/>
  <c r="L162" i="2"/>
  <c r="K162" i="2"/>
  <c r="H162" i="2"/>
  <c r="G162" i="2"/>
  <c r="F162" i="2"/>
  <c r="D162" i="2"/>
  <c r="E162" i="2" s="1"/>
  <c r="I162" i="2" s="1"/>
  <c r="C162" i="2"/>
  <c r="B162" i="2"/>
  <c r="A162" i="2"/>
  <c r="L161" i="2"/>
  <c r="D161" i="2" s="1"/>
  <c r="E161" i="2" s="1"/>
  <c r="I161" i="2" s="1"/>
  <c r="K161" i="2"/>
  <c r="G161" i="2"/>
  <c r="H161" i="2" s="1"/>
  <c r="F161" i="2"/>
  <c r="C161" i="2"/>
  <c r="B161" i="2"/>
  <c r="A161" i="2"/>
  <c r="K160" i="2"/>
  <c r="L160" i="2" s="1"/>
  <c r="D160" i="2" s="1"/>
  <c r="E160" i="2" s="1"/>
  <c r="G160" i="2"/>
  <c r="H160" i="2" s="1"/>
  <c r="F160" i="2"/>
  <c r="C160" i="2"/>
  <c r="B160" i="2"/>
  <c r="A160" i="2"/>
  <c r="K159" i="2"/>
  <c r="L159" i="2" s="1"/>
  <c r="D159" i="2" s="1"/>
  <c r="E159" i="2" s="1"/>
  <c r="I159" i="2" s="1"/>
  <c r="H159" i="2"/>
  <c r="G159" i="2"/>
  <c r="F159" i="2"/>
  <c r="C159" i="2"/>
  <c r="B159" i="2"/>
  <c r="A159" i="2"/>
  <c r="L158" i="2"/>
  <c r="K158" i="2"/>
  <c r="H158" i="2"/>
  <c r="G158" i="2"/>
  <c r="F158" i="2"/>
  <c r="D158" i="2"/>
  <c r="E158" i="2" s="1"/>
  <c r="I158" i="2" s="1"/>
  <c r="C158" i="2"/>
  <c r="B158" i="2"/>
  <c r="A158" i="2"/>
  <c r="L157" i="2"/>
  <c r="D157" i="2" s="1"/>
  <c r="E157" i="2" s="1"/>
  <c r="I157" i="2" s="1"/>
  <c r="K157" i="2"/>
  <c r="G157" i="2"/>
  <c r="H157" i="2" s="1"/>
  <c r="F157" i="2"/>
  <c r="C157" i="2"/>
  <c r="B157" i="2"/>
  <c r="A157" i="2"/>
  <c r="K156" i="2"/>
  <c r="L156" i="2" s="1"/>
  <c r="D156" i="2" s="1"/>
  <c r="E156" i="2" s="1"/>
  <c r="G156" i="2"/>
  <c r="H156" i="2" s="1"/>
  <c r="F156" i="2"/>
  <c r="C156" i="2"/>
  <c r="B156" i="2"/>
  <c r="A156" i="2"/>
  <c r="K155" i="2"/>
  <c r="L155" i="2" s="1"/>
  <c r="D155" i="2" s="1"/>
  <c r="E155" i="2" s="1"/>
  <c r="I155" i="2" s="1"/>
  <c r="H155" i="2"/>
  <c r="G155" i="2"/>
  <c r="F155" i="2"/>
  <c r="C155" i="2"/>
  <c r="B155" i="2"/>
  <c r="A155" i="2"/>
  <c r="L154" i="2"/>
  <c r="K154" i="2"/>
  <c r="H154" i="2"/>
  <c r="G154" i="2"/>
  <c r="F154" i="2"/>
  <c r="D154" i="2"/>
  <c r="E154" i="2" s="1"/>
  <c r="I154" i="2" s="1"/>
  <c r="C154" i="2"/>
  <c r="B154" i="2"/>
  <c r="A154" i="2"/>
  <c r="L153" i="2"/>
  <c r="D153" i="2" s="1"/>
  <c r="E153" i="2" s="1"/>
  <c r="K153" i="2"/>
  <c r="G153" i="2"/>
  <c r="H153" i="2" s="1"/>
  <c r="F153" i="2"/>
  <c r="C153" i="2"/>
  <c r="B153" i="2"/>
  <c r="A153" i="2"/>
  <c r="K152" i="2"/>
  <c r="L152" i="2" s="1"/>
  <c r="D152" i="2" s="1"/>
  <c r="E152" i="2" s="1"/>
  <c r="I152" i="2" s="1"/>
  <c r="G152" i="2"/>
  <c r="H152" i="2" s="1"/>
  <c r="F152" i="2"/>
  <c r="C152" i="2"/>
  <c r="B152" i="2"/>
  <c r="A152" i="2"/>
  <c r="K151" i="2"/>
  <c r="L151" i="2" s="1"/>
  <c r="D151" i="2" s="1"/>
  <c r="H151" i="2"/>
  <c r="G151" i="2"/>
  <c r="F151" i="2"/>
  <c r="E151" i="2"/>
  <c r="I151" i="2" s="1"/>
  <c r="C151" i="2"/>
  <c r="B151" i="2"/>
  <c r="A151" i="2"/>
  <c r="K150" i="2"/>
  <c r="H150" i="2"/>
  <c r="G150" i="2"/>
  <c r="F150" i="2"/>
  <c r="C150" i="2"/>
  <c r="B150" i="2"/>
  <c r="L150" i="2" s="1"/>
  <c r="D150" i="2" s="1"/>
  <c r="E150" i="2" s="1"/>
  <c r="I150" i="2" s="1"/>
  <c r="A150" i="2"/>
  <c r="L149" i="2"/>
  <c r="D149" i="2" s="1"/>
  <c r="K149" i="2"/>
  <c r="G149" i="2"/>
  <c r="H149" i="2" s="1"/>
  <c r="F149" i="2"/>
  <c r="C149" i="2"/>
  <c r="E149" i="2" s="1"/>
  <c r="I149" i="2" s="1"/>
  <c r="B149" i="2"/>
  <c r="A149" i="2"/>
  <c r="K148" i="2"/>
  <c r="L148" i="2" s="1"/>
  <c r="H148" i="2"/>
  <c r="G148" i="2"/>
  <c r="F148" i="2"/>
  <c r="D148" i="2"/>
  <c r="E148" i="2" s="1"/>
  <c r="C148" i="2"/>
  <c r="B148" i="2"/>
  <c r="A148" i="2"/>
  <c r="L147" i="2"/>
  <c r="D147" i="2" s="1"/>
  <c r="K147" i="2"/>
  <c r="G147" i="2"/>
  <c r="H147" i="2" s="1"/>
  <c r="F147" i="2"/>
  <c r="E147" i="2"/>
  <c r="I147" i="2" s="1"/>
  <c r="C147" i="2"/>
  <c r="B147" i="2"/>
  <c r="A147" i="2"/>
  <c r="K146" i="2"/>
  <c r="L146" i="2" s="1"/>
  <c r="G146" i="2"/>
  <c r="F146" i="2"/>
  <c r="H146" i="2" s="1"/>
  <c r="D146" i="2"/>
  <c r="E146" i="2" s="1"/>
  <c r="C146" i="2"/>
  <c r="B146" i="2"/>
  <c r="A146" i="2"/>
  <c r="L145" i="2"/>
  <c r="D145" i="2" s="1"/>
  <c r="E145" i="2" s="1"/>
  <c r="I145" i="2" s="1"/>
  <c r="K145" i="2"/>
  <c r="G145" i="2"/>
  <c r="H145" i="2" s="1"/>
  <c r="F145" i="2"/>
  <c r="C145" i="2"/>
  <c r="B145" i="2"/>
  <c r="A145" i="2"/>
  <c r="K144" i="2"/>
  <c r="G144" i="2"/>
  <c r="F144" i="2"/>
  <c r="H144" i="2" s="1"/>
  <c r="C144" i="2"/>
  <c r="B144" i="2"/>
  <c r="A144" i="2"/>
  <c r="L143" i="2"/>
  <c r="D143" i="2" s="1"/>
  <c r="K143" i="2"/>
  <c r="G143" i="2"/>
  <c r="H143" i="2" s="1"/>
  <c r="F143" i="2"/>
  <c r="C143" i="2"/>
  <c r="E143" i="2" s="1"/>
  <c r="I143" i="2" s="1"/>
  <c r="B143" i="2"/>
  <c r="A143" i="2"/>
  <c r="K142" i="2"/>
  <c r="H142" i="2"/>
  <c r="G142" i="2"/>
  <c r="F142" i="2"/>
  <c r="C142" i="2"/>
  <c r="B142" i="2"/>
  <c r="A142" i="2"/>
  <c r="L141" i="2"/>
  <c r="D141" i="2" s="1"/>
  <c r="K141" i="2"/>
  <c r="G141" i="2"/>
  <c r="H141" i="2" s="1"/>
  <c r="F141" i="2"/>
  <c r="C141" i="2"/>
  <c r="E141" i="2" s="1"/>
  <c r="I141" i="2" s="1"/>
  <c r="B141" i="2"/>
  <c r="A141" i="2"/>
  <c r="K140" i="2"/>
  <c r="L140" i="2" s="1"/>
  <c r="H140" i="2"/>
  <c r="G140" i="2"/>
  <c r="F140" i="2"/>
  <c r="D140" i="2"/>
  <c r="E140" i="2" s="1"/>
  <c r="C140" i="2"/>
  <c r="B140" i="2"/>
  <c r="A140" i="2"/>
  <c r="L139" i="2"/>
  <c r="D139" i="2" s="1"/>
  <c r="K139" i="2"/>
  <c r="G139" i="2"/>
  <c r="H139" i="2" s="1"/>
  <c r="F139" i="2"/>
  <c r="E139" i="2"/>
  <c r="I139" i="2" s="1"/>
  <c r="C139" i="2"/>
  <c r="B139" i="2"/>
  <c r="A139" i="2"/>
  <c r="K138" i="2"/>
  <c r="L138" i="2" s="1"/>
  <c r="G138" i="2"/>
  <c r="F138" i="2"/>
  <c r="H138" i="2" s="1"/>
  <c r="D138" i="2"/>
  <c r="E138" i="2" s="1"/>
  <c r="C138" i="2"/>
  <c r="B138" i="2"/>
  <c r="A138" i="2"/>
  <c r="L137" i="2"/>
  <c r="D137" i="2" s="1"/>
  <c r="E137" i="2" s="1"/>
  <c r="I137" i="2" s="1"/>
  <c r="K137" i="2"/>
  <c r="G137" i="2"/>
  <c r="H137" i="2" s="1"/>
  <c r="F137" i="2"/>
  <c r="C137" i="2"/>
  <c r="B137" i="2"/>
  <c r="A137" i="2"/>
  <c r="K136" i="2"/>
  <c r="G136" i="2"/>
  <c r="F136" i="2"/>
  <c r="H136" i="2" s="1"/>
  <c r="C136" i="2"/>
  <c r="B136" i="2"/>
  <c r="A136" i="2"/>
  <c r="L135" i="2"/>
  <c r="D135" i="2" s="1"/>
  <c r="K135" i="2"/>
  <c r="G135" i="2"/>
  <c r="H135" i="2" s="1"/>
  <c r="F135" i="2"/>
  <c r="C135" i="2"/>
  <c r="E135" i="2" s="1"/>
  <c r="I135" i="2" s="1"/>
  <c r="B135" i="2"/>
  <c r="A135" i="2"/>
  <c r="K134" i="2"/>
  <c r="H134" i="2"/>
  <c r="G134" i="2"/>
  <c r="F134" i="2"/>
  <c r="C134" i="2"/>
  <c r="B134" i="2"/>
  <c r="A134" i="2"/>
  <c r="L133" i="2"/>
  <c r="D133" i="2" s="1"/>
  <c r="K133" i="2"/>
  <c r="G133" i="2"/>
  <c r="H133" i="2" s="1"/>
  <c r="F133" i="2"/>
  <c r="C133" i="2"/>
  <c r="E133" i="2" s="1"/>
  <c r="I133" i="2" s="1"/>
  <c r="B133" i="2"/>
  <c r="A133" i="2"/>
  <c r="K132" i="2"/>
  <c r="L132" i="2" s="1"/>
  <c r="H132" i="2"/>
  <c r="G132" i="2"/>
  <c r="F132" i="2"/>
  <c r="D132" i="2"/>
  <c r="E132" i="2" s="1"/>
  <c r="C132" i="2"/>
  <c r="B132" i="2"/>
  <c r="A132" i="2"/>
  <c r="L131" i="2"/>
  <c r="D131" i="2" s="1"/>
  <c r="K131" i="2"/>
  <c r="G131" i="2"/>
  <c r="H131" i="2" s="1"/>
  <c r="F131" i="2"/>
  <c r="E131" i="2"/>
  <c r="I131" i="2" s="1"/>
  <c r="C131" i="2"/>
  <c r="B131" i="2"/>
  <c r="A131" i="2"/>
  <c r="K130" i="2"/>
  <c r="L130" i="2" s="1"/>
  <c r="G130" i="2"/>
  <c r="F130" i="2"/>
  <c r="H130" i="2" s="1"/>
  <c r="D130" i="2"/>
  <c r="E130" i="2" s="1"/>
  <c r="C130" i="2"/>
  <c r="B130" i="2"/>
  <c r="A130" i="2"/>
  <c r="L129" i="2"/>
  <c r="D129" i="2" s="1"/>
  <c r="E129" i="2" s="1"/>
  <c r="I129" i="2" s="1"/>
  <c r="K129" i="2"/>
  <c r="G129" i="2"/>
  <c r="H129" i="2" s="1"/>
  <c r="F129" i="2"/>
  <c r="C129" i="2"/>
  <c r="B129" i="2"/>
  <c r="A129" i="2"/>
  <c r="K128" i="2"/>
  <c r="I128" i="2"/>
  <c r="H128" i="2"/>
  <c r="G128" i="2"/>
  <c r="F128" i="2"/>
  <c r="C128" i="2"/>
  <c r="B128" i="2"/>
  <c r="A128" i="2"/>
  <c r="L127" i="2"/>
  <c r="D127" i="2" s="1"/>
  <c r="E127" i="2" s="1"/>
  <c r="I127" i="2" s="1"/>
  <c r="K127" i="2"/>
  <c r="G127" i="2"/>
  <c r="H127" i="2" s="1"/>
  <c r="F127" i="2"/>
  <c r="C127" i="2"/>
  <c r="B127" i="2"/>
  <c r="A127" i="2"/>
  <c r="K126" i="2"/>
  <c r="L126" i="2" s="1"/>
  <c r="D126" i="2" s="1"/>
  <c r="E126" i="2" s="1"/>
  <c r="I126" i="2" s="1"/>
  <c r="H126" i="2"/>
  <c r="G126" i="2"/>
  <c r="F126" i="2"/>
  <c r="C126" i="2"/>
  <c r="B126" i="2"/>
  <c r="A126" i="2"/>
  <c r="K125" i="2"/>
  <c r="L125" i="2" s="1"/>
  <c r="D125" i="2" s="1"/>
  <c r="E125" i="2" s="1"/>
  <c r="G125" i="2"/>
  <c r="F125" i="2"/>
  <c r="C125" i="2"/>
  <c r="B125" i="2"/>
  <c r="A125" i="2"/>
  <c r="K124" i="2"/>
  <c r="G124" i="2"/>
  <c r="F124" i="2"/>
  <c r="H124" i="2" s="1"/>
  <c r="C124" i="2"/>
  <c r="B124" i="2"/>
  <c r="A124" i="2"/>
  <c r="L123" i="2"/>
  <c r="D123" i="2" s="1"/>
  <c r="E123" i="2" s="1"/>
  <c r="K123" i="2"/>
  <c r="I123" i="2"/>
  <c r="G123" i="2"/>
  <c r="H123" i="2" s="1"/>
  <c r="F123" i="2"/>
  <c r="C123" i="2"/>
  <c r="B123" i="2"/>
  <c r="A123" i="2"/>
  <c r="K122" i="2"/>
  <c r="L122" i="2" s="1"/>
  <c r="D122" i="2" s="1"/>
  <c r="E122" i="2" s="1"/>
  <c r="I122" i="2" s="1"/>
  <c r="H122" i="2"/>
  <c r="G122" i="2"/>
  <c r="F122" i="2"/>
  <c r="C122" i="2"/>
  <c r="B122" i="2"/>
  <c r="A122" i="2"/>
  <c r="L121" i="2"/>
  <c r="D121" i="2" s="1"/>
  <c r="E121" i="2" s="1"/>
  <c r="I121" i="2" s="1"/>
  <c r="K121" i="2"/>
  <c r="G121" i="2"/>
  <c r="H121" i="2" s="1"/>
  <c r="F121" i="2"/>
  <c r="C121" i="2"/>
  <c r="B121" i="2"/>
  <c r="A121" i="2"/>
  <c r="K120" i="2"/>
  <c r="L120" i="2" s="1"/>
  <c r="D120" i="2" s="1"/>
  <c r="E120" i="2" s="1"/>
  <c r="I120" i="2" s="1"/>
  <c r="G120" i="2"/>
  <c r="H120" i="2" s="1"/>
  <c r="F120" i="2"/>
  <c r="C120" i="2"/>
  <c r="B120" i="2"/>
  <c r="A120" i="2"/>
  <c r="K119" i="2"/>
  <c r="L119" i="2" s="1"/>
  <c r="D119" i="2" s="1"/>
  <c r="E119" i="2" s="1"/>
  <c r="I119" i="2" s="1"/>
  <c r="G119" i="2"/>
  <c r="H119" i="2" s="1"/>
  <c r="F119" i="2"/>
  <c r="C119" i="2"/>
  <c r="B119" i="2"/>
  <c r="A119" i="2"/>
  <c r="K118" i="2"/>
  <c r="L118" i="2" s="1"/>
  <c r="D118" i="2" s="1"/>
  <c r="E118" i="2" s="1"/>
  <c r="I118" i="2" s="1"/>
  <c r="H118" i="2"/>
  <c r="G118" i="2"/>
  <c r="F118" i="2"/>
  <c r="C118" i="2"/>
  <c r="B118" i="2"/>
  <c r="A118" i="2"/>
  <c r="L117" i="2"/>
  <c r="D117" i="2" s="1"/>
  <c r="E117" i="2" s="1"/>
  <c r="K117" i="2"/>
  <c r="I117" i="2"/>
  <c r="G117" i="2"/>
  <c r="H117" i="2" s="1"/>
  <c r="F117" i="2"/>
  <c r="C117" i="2"/>
  <c r="B117" i="2"/>
  <c r="A117" i="2"/>
  <c r="K116" i="2"/>
  <c r="L116" i="2" s="1"/>
  <c r="D116" i="2" s="1"/>
  <c r="E116" i="2" s="1"/>
  <c r="G116" i="2"/>
  <c r="H116" i="2" s="1"/>
  <c r="F116" i="2"/>
  <c r="C116" i="2"/>
  <c r="B116" i="2"/>
  <c r="A116" i="2"/>
  <c r="K115" i="2"/>
  <c r="L115" i="2" s="1"/>
  <c r="D115" i="2" s="1"/>
  <c r="E115" i="2" s="1"/>
  <c r="G115" i="2"/>
  <c r="F115" i="2"/>
  <c r="H115" i="2" s="1"/>
  <c r="C115" i="2"/>
  <c r="B115" i="2"/>
  <c r="A115" i="2"/>
  <c r="K114" i="2"/>
  <c r="L114" i="2" s="1"/>
  <c r="D114" i="2" s="1"/>
  <c r="E114" i="2" s="1"/>
  <c r="I114" i="2" s="1"/>
  <c r="H114" i="2"/>
  <c r="G114" i="2"/>
  <c r="F114" i="2"/>
  <c r="C114" i="2"/>
  <c r="B114" i="2"/>
  <c r="A114" i="2"/>
  <c r="L113" i="2"/>
  <c r="D113" i="2" s="1"/>
  <c r="E113" i="2" s="1"/>
  <c r="K113" i="2"/>
  <c r="I113" i="2"/>
  <c r="G113" i="2"/>
  <c r="H113" i="2" s="1"/>
  <c r="F113" i="2"/>
  <c r="C113" i="2"/>
  <c r="B113" i="2"/>
  <c r="A113" i="2"/>
  <c r="K112" i="2"/>
  <c r="L112" i="2" s="1"/>
  <c r="D112" i="2" s="1"/>
  <c r="E112" i="2" s="1"/>
  <c r="I112" i="2" s="1"/>
  <c r="G112" i="2"/>
  <c r="H112" i="2" s="1"/>
  <c r="F112" i="2"/>
  <c r="C112" i="2"/>
  <c r="B112" i="2"/>
  <c r="A112" i="2"/>
  <c r="K111" i="2"/>
  <c r="L111" i="2" s="1"/>
  <c r="D111" i="2" s="1"/>
  <c r="E111" i="2" s="1"/>
  <c r="I111" i="2" s="1"/>
  <c r="G111" i="2"/>
  <c r="F111" i="2"/>
  <c r="H111" i="2" s="1"/>
  <c r="C111" i="2"/>
  <c r="B111" i="2"/>
  <c r="A111" i="2"/>
  <c r="K110" i="2"/>
  <c r="L110" i="2" s="1"/>
  <c r="D110" i="2" s="1"/>
  <c r="E110" i="2" s="1"/>
  <c r="I110" i="2" s="1"/>
  <c r="H110" i="2"/>
  <c r="G110" i="2"/>
  <c r="F110" i="2"/>
  <c r="C110" i="2"/>
  <c r="B110" i="2"/>
  <c r="A110" i="2"/>
  <c r="L109" i="2"/>
  <c r="D109" i="2" s="1"/>
  <c r="E109" i="2" s="1"/>
  <c r="K109" i="2"/>
  <c r="G109" i="2"/>
  <c r="H109" i="2" s="1"/>
  <c r="F109" i="2"/>
  <c r="C109" i="2"/>
  <c r="B109" i="2"/>
  <c r="A109" i="2"/>
  <c r="K108" i="2"/>
  <c r="L108" i="2" s="1"/>
  <c r="D108" i="2" s="1"/>
  <c r="E108" i="2" s="1"/>
  <c r="I108" i="2" s="1"/>
  <c r="G108" i="2"/>
  <c r="H108" i="2" s="1"/>
  <c r="F108" i="2"/>
  <c r="C108" i="2"/>
  <c r="B108" i="2"/>
  <c r="A108" i="2"/>
  <c r="K107" i="2"/>
  <c r="L107" i="2" s="1"/>
  <c r="D107" i="2" s="1"/>
  <c r="E107" i="2" s="1"/>
  <c r="G107" i="2"/>
  <c r="F107" i="2"/>
  <c r="H107" i="2" s="1"/>
  <c r="C107" i="2"/>
  <c r="B107" i="2"/>
  <c r="A107" i="2"/>
  <c r="K106" i="2"/>
  <c r="L106" i="2" s="1"/>
  <c r="D106" i="2" s="1"/>
  <c r="E106" i="2" s="1"/>
  <c r="I106" i="2" s="1"/>
  <c r="H106" i="2"/>
  <c r="G106" i="2"/>
  <c r="F106" i="2"/>
  <c r="C106" i="2"/>
  <c r="B106" i="2"/>
  <c r="A106" i="2"/>
  <c r="L105" i="2"/>
  <c r="D105" i="2" s="1"/>
  <c r="E105" i="2" s="1"/>
  <c r="K105" i="2"/>
  <c r="I105" i="2"/>
  <c r="G105" i="2"/>
  <c r="H105" i="2" s="1"/>
  <c r="F105" i="2"/>
  <c r="C105" i="2"/>
  <c r="B105" i="2"/>
  <c r="A105" i="2"/>
  <c r="K104" i="2"/>
  <c r="L104" i="2" s="1"/>
  <c r="D104" i="2" s="1"/>
  <c r="E104" i="2" s="1"/>
  <c r="G104" i="2"/>
  <c r="H104" i="2" s="1"/>
  <c r="F104" i="2"/>
  <c r="C104" i="2"/>
  <c r="B104" i="2"/>
  <c r="A104" i="2"/>
  <c r="K103" i="2"/>
  <c r="L103" i="2" s="1"/>
  <c r="D103" i="2" s="1"/>
  <c r="E103" i="2" s="1"/>
  <c r="G103" i="2"/>
  <c r="F103" i="2"/>
  <c r="H103" i="2" s="1"/>
  <c r="C103" i="2"/>
  <c r="B103" i="2"/>
  <c r="A103" i="2"/>
  <c r="K102" i="2"/>
  <c r="I102" i="2"/>
  <c r="H102" i="2"/>
  <c r="G102" i="2"/>
  <c r="F102" i="2"/>
  <c r="C102" i="2"/>
  <c r="B102" i="2"/>
  <c r="L102" i="2" s="1"/>
  <c r="D102" i="2" s="1"/>
  <c r="E102" i="2" s="1"/>
  <c r="A102" i="2"/>
  <c r="L101" i="2"/>
  <c r="D101" i="2" s="1"/>
  <c r="E101" i="2" s="1"/>
  <c r="I101" i="2" s="1"/>
  <c r="K101" i="2"/>
  <c r="G101" i="2"/>
  <c r="H101" i="2" s="1"/>
  <c r="F101" i="2"/>
  <c r="C101" i="2"/>
  <c r="B101" i="2"/>
  <c r="A101" i="2"/>
  <c r="K100" i="2"/>
  <c r="L100" i="2" s="1"/>
  <c r="D100" i="2" s="1"/>
  <c r="E100" i="2" s="1"/>
  <c r="I100" i="2" s="1"/>
  <c r="G100" i="2"/>
  <c r="H100" i="2" s="1"/>
  <c r="F100" i="2"/>
  <c r="C100" i="2"/>
  <c r="B100" i="2"/>
  <c r="A100" i="2"/>
  <c r="K99" i="2"/>
  <c r="L99" i="2" s="1"/>
  <c r="D99" i="2" s="1"/>
  <c r="E99" i="2" s="1"/>
  <c r="I99" i="2" s="1"/>
  <c r="G99" i="2"/>
  <c r="F99" i="2"/>
  <c r="H99" i="2" s="1"/>
  <c r="C99" i="2"/>
  <c r="B99" i="2"/>
  <c r="A99" i="2"/>
  <c r="K98" i="2"/>
  <c r="I98" i="2"/>
  <c r="H98" i="2"/>
  <c r="G98" i="2"/>
  <c r="F98" i="2"/>
  <c r="C98" i="2"/>
  <c r="B98" i="2"/>
  <c r="L98" i="2" s="1"/>
  <c r="D98" i="2" s="1"/>
  <c r="E98" i="2" s="1"/>
  <c r="A98" i="2"/>
  <c r="L97" i="2"/>
  <c r="D97" i="2" s="1"/>
  <c r="E97" i="2" s="1"/>
  <c r="K97" i="2"/>
  <c r="G97" i="2"/>
  <c r="H97" i="2" s="1"/>
  <c r="F97" i="2"/>
  <c r="C97" i="2"/>
  <c r="B97" i="2"/>
  <c r="A97" i="2"/>
  <c r="K96" i="2"/>
  <c r="L96" i="2" s="1"/>
  <c r="D96" i="2" s="1"/>
  <c r="E96" i="2" s="1"/>
  <c r="I96" i="2"/>
  <c r="G96" i="2"/>
  <c r="H96" i="2" s="1"/>
  <c r="F96" i="2"/>
  <c r="C96" i="2"/>
  <c r="B96" i="2"/>
  <c r="A96" i="2"/>
  <c r="K95" i="2"/>
  <c r="L95" i="2" s="1"/>
  <c r="D95" i="2" s="1"/>
  <c r="E95" i="2" s="1"/>
  <c r="I95" i="2"/>
  <c r="G95" i="2"/>
  <c r="F95" i="2"/>
  <c r="H95" i="2" s="1"/>
  <c r="C95" i="2"/>
  <c r="B95" i="2"/>
  <c r="A95" i="2"/>
  <c r="K94" i="2"/>
  <c r="L94" i="2" s="1"/>
  <c r="D94" i="2" s="1"/>
  <c r="E94" i="2" s="1"/>
  <c r="I94" i="2" s="1"/>
  <c r="H94" i="2"/>
  <c r="G94" i="2"/>
  <c r="F94" i="2"/>
  <c r="C94" i="2"/>
  <c r="B94" i="2"/>
  <c r="A94" i="2"/>
  <c r="L93" i="2"/>
  <c r="D93" i="2" s="1"/>
  <c r="E93" i="2" s="1"/>
  <c r="K93" i="2"/>
  <c r="I93" i="2"/>
  <c r="G93" i="2"/>
  <c r="H93" i="2" s="1"/>
  <c r="F93" i="2"/>
  <c r="C93" i="2"/>
  <c r="B93" i="2"/>
  <c r="A93" i="2"/>
  <c r="K92" i="2"/>
  <c r="L92" i="2" s="1"/>
  <c r="D92" i="2" s="1"/>
  <c r="E92" i="2" s="1"/>
  <c r="I92" i="2"/>
  <c r="G92" i="2"/>
  <c r="H92" i="2" s="1"/>
  <c r="F92" i="2"/>
  <c r="C92" i="2"/>
  <c r="B92" i="2"/>
  <c r="A92" i="2"/>
  <c r="K91" i="2"/>
  <c r="L91" i="2" s="1"/>
  <c r="D91" i="2" s="1"/>
  <c r="E91" i="2" s="1"/>
  <c r="G91" i="2"/>
  <c r="F91" i="2"/>
  <c r="H91" i="2" s="1"/>
  <c r="C91" i="2"/>
  <c r="B91" i="2"/>
  <c r="A91" i="2"/>
  <c r="K90" i="2"/>
  <c r="L90" i="2" s="1"/>
  <c r="D90" i="2" s="1"/>
  <c r="E90" i="2" s="1"/>
  <c r="I90" i="2"/>
  <c r="H90" i="2"/>
  <c r="G90" i="2"/>
  <c r="F90" i="2"/>
  <c r="C90" i="2"/>
  <c r="B90" i="2"/>
  <c r="A90" i="2"/>
  <c r="L89" i="2"/>
  <c r="D89" i="2" s="1"/>
  <c r="E89" i="2" s="1"/>
  <c r="I89" i="2" s="1"/>
  <c r="K89" i="2"/>
  <c r="G89" i="2"/>
  <c r="H89" i="2" s="1"/>
  <c r="F89" i="2"/>
  <c r="C89" i="2"/>
  <c r="B89" i="2"/>
  <c r="A89" i="2"/>
  <c r="K88" i="2"/>
  <c r="L88" i="2" s="1"/>
  <c r="D88" i="2" s="1"/>
  <c r="E88" i="2" s="1"/>
  <c r="I88" i="2"/>
  <c r="G88" i="2"/>
  <c r="H88" i="2" s="1"/>
  <c r="F88" i="2"/>
  <c r="C88" i="2"/>
  <c r="B88" i="2"/>
  <c r="A88" i="2"/>
  <c r="K87" i="2"/>
  <c r="L87" i="2" s="1"/>
  <c r="D87" i="2" s="1"/>
  <c r="E87" i="2" s="1"/>
  <c r="G87" i="2"/>
  <c r="H87" i="2" s="1"/>
  <c r="F87" i="2"/>
  <c r="C87" i="2"/>
  <c r="B87" i="2"/>
  <c r="A87" i="2"/>
  <c r="K86" i="2"/>
  <c r="L86" i="2" s="1"/>
  <c r="D86" i="2" s="1"/>
  <c r="E86" i="2" s="1"/>
  <c r="I86" i="2" s="1"/>
  <c r="H86" i="2"/>
  <c r="G86" i="2"/>
  <c r="F86" i="2"/>
  <c r="C86" i="2"/>
  <c r="B86" i="2"/>
  <c r="A86" i="2"/>
  <c r="L85" i="2"/>
  <c r="D85" i="2" s="1"/>
  <c r="E85" i="2" s="1"/>
  <c r="K85" i="2"/>
  <c r="I85" i="2"/>
  <c r="G85" i="2"/>
  <c r="H85" i="2" s="1"/>
  <c r="F85" i="2"/>
  <c r="C85" i="2"/>
  <c r="B85" i="2"/>
  <c r="A85" i="2"/>
  <c r="K84" i="2"/>
  <c r="L84" i="2" s="1"/>
  <c r="D84" i="2" s="1"/>
  <c r="E84" i="2" s="1"/>
  <c r="I84" i="2" s="1"/>
  <c r="G84" i="2"/>
  <c r="H84" i="2" s="1"/>
  <c r="F84" i="2"/>
  <c r="C84" i="2"/>
  <c r="B84" i="2"/>
  <c r="A84" i="2"/>
  <c r="K83" i="2"/>
  <c r="L83" i="2" s="1"/>
  <c r="D83" i="2" s="1"/>
  <c r="E83" i="2" s="1"/>
  <c r="I83" i="2"/>
  <c r="G83" i="2"/>
  <c r="F83" i="2"/>
  <c r="H83" i="2" s="1"/>
  <c r="C83" i="2"/>
  <c r="B83" i="2"/>
  <c r="A83" i="2"/>
  <c r="K82" i="2"/>
  <c r="L82" i="2" s="1"/>
  <c r="D82" i="2" s="1"/>
  <c r="E82" i="2" s="1"/>
  <c r="I82" i="2" s="1"/>
  <c r="H82" i="2"/>
  <c r="G82" i="2"/>
  <c r="F82" i="2"/>
  <c r="C82" i="2"/>
  <c r="B82" i="2"/>
  <c r="A82" i="2"/>
  <c r="L81" i="2"/>
  <c r="D81" i="2" s="1"/>
  <c r="E81" i="2" s="1"/>
  <c r="I81" i="2" s="1"/>
  <c r="K81" i="2"/>
  <c r="G81" i="2"/>
  <c r="H81" i="2" s="1"/>
  <c r="F81" i="2"/>
  <c r="C81" i="2"/>
  <c r="B81" i="2"/>
  <c r="A81" i="2"/>
  <c r="K80" i="2"/>
  <c r="L80" i="2" s="1"/>
  <c r="D80" i="2" s="1"/>
  <c r="E80" i="2" s="1"/>
  <c r="I80" i="2"/>
  <c r="G80" i="2"/>
  <c r="H80" i="2" s="1"/>
  <c r="F80" i="2"/>
  <c r="C80" i="2"/>
  <c r="B80" i="2"/>
  <c r="A80" i="2"/>
  <c r="K79" i="2"/>
  <c r="L79" i="2" s="1"/>
  <c r="D79" i="2" s="1"/>
  <c r="E79" i="2" s="1"/>
  <c r="I79" i="2"/>
  <c r="G79" i="2"/>
  <c r="F79" i="2"/>
  <c r="H79" i="2" s="1"/>
  <c r="C79" i="2"/>
  <c r="B79" i="2"/>
  <c r="A79" i="2"/>
  <c r="K78" i="2"/>
  <c r="L78" i="2" s="1"/>
  <c r="D78" i="2" s="1"/>
  <c r="E78" i="2" s="1"/>
  <c r="I78" i="2"/>
  <c r="H78" i="2"/>
  <c r="G78" i="2"/>
  <c r="F78" i="2"/>
  <c r="C78" i="2"/>
  <c r="B78" i="2"/>
  <c r="A78" i="2"/>
  <c r="L77" i="2"/>
  <c r="D77" i="2" s="1"/>
  <c r="E77" i="2" s="1"/>
  <c r="I77" i="2" s="1"/>
  <c r="K77" i="2"/>
  <c r="G77" i="2"/>
  <c r="H77" i="2" s="1"/>
  <c r="F77" i="2"/>
  <c r="C77" i="2"/>
  <c r="B77" i="2"/>
  <c r="A77" i="2"/>
  <c r="K76" i="2"/>
  <c r="L76" i="2" s="1"/>
  <c r="D76" i="2" s="1"/>
  <c r="E76" i="2" s="1"/>
  <c r="I76" i="2" s="1"/>
  <c r="G76" i="2"/>
  <c r="H76" i="2" s="1"/>
  <c r="F76" i="2"/>
  <c r="C76" i="2"/>
  <c r="B76" i="2"/>
  <c r="A76" i="2"/>
  <c r="K75" i="2"/>
  <c r="L75" i="2" s="1"/>
  <c r="D75" i="2" s="1"/>
  <c r="E75" i="2" s="1"/>
  <c r="I75" i="2"/>
  <c r="G75" i="2"/>
  <c r="F75" i="2"/>
  <c r="H75" i="2" s="1"/>
  <c r="C75" i="2"/>
  <c r="B75" i="2"/>
  <c r="A75" i="2"/>
  <c r="K74" i="2"/>
  <c r="L74" i="2" s="1"/>
  <c r="D74" i="2" s="1"/>
  <c r="E74" i="2" s="1"/>
  <c r="I74" i="2" s="1"/>
  <c r="H74" i="2"/>
  <c r="G74" i="2"/>
  <c r="F74" i="2"/>
  <c r="C74" i="2"/>
  <c r="B74" i="2"/>
  <c r="A74" i="2"/>
  <c r="L73" i="2"/>
  <c r="D73" i="2" s="1"/>
  <c r="E73" i="2" s="1"/>
  <c r="I73" i="2" s="1"/>
  <c r="K73" i="2"/>
  <c r="G73" i="2"/>
  <c r="H73" i="2" s="1"/>
  <c r="F73" i="2"/>
  <c r="C73" i="2"/>
  <c r="B73" i="2"/>
  <c r="A73" i="2"/>
  <c r="K72" i="2"/>
  <c r="L72" i="2" s="1"/>
  <c r="D72" i="2" s="1"/>
  <c r="E72" i="2" s="1"/>
  <c r="G72" i="2"/>
  <c r="H72" i="2" s="1"/>
  <c r="F72" i="2"/>
  <c r="C72" i="2"/>
  <c r="B72" i="2"/>
  <c r="A72" i="2"/>
  <c r="K71" i="2"/>
  <c r="L71" i="2" s="1"/>
  <c r="D71" i="2" s="1"/>
  <c r="E71" i="2" s="1"/>
  <c r="I71" i="2"/>
  <c r="G71" i="2"/>
  <c r="F71" i="2"/>
  <c r="H71" i="2" s="1"/>
  <c r="C71" i="2"/>
  <c r="B71" i="2"/>
  <c r="A71" i="2"/>
  <c r="K70" i="2"/>
  <c r="L70" i="2" s="1"/>
  <c r="D70" i="2" s="1"/>
  <c r="E70" i="2" s="1"/>
  <c r="I70" i="2"/>
  <c r="H70" i="2"/>
  <c r="G70" i="2"/>
  <c r="F70" i="2"/>
  <c r="C70" i="2"/>
  <c r="B70" i="2"/>
  <c r="A70" i="2"/>
  <c r="L69" i="2"/>
  <c r="D69" i="2" s="1"/>
  <c r="E69" i="2" s="1"/>
  <c r="I69" i="2" s="1"/>
  <c r="K69" i="2"/>
  <c r="G69" i="2"/>
  <c r="H69" i="2" s="1"/>
  <c r="F69" i="2"/>
  <c r="C69" i="2"/>
  <c r="B69" i="2"/>
  <c r="A69" i="2"/>
  <c r="K68" i="2"/>
  <c r="L68" i="2" s="1"/>
  <c r="D68" i="2" s="1"/>
  <c r="E68" i="2" s="1"/>
  <c r="I68" i="2"/>
  <c r="G68" i="2"/>
  <c r="H68" i="2" s="1"/>
  <c r="F68" i="2"/>
  <c r="C68" i="2"/>
  <c r="B68" i="2"/>
  <c r="A68" i="2"/>
  <c r="K67" i="2"/>
  <c r="L67" i="2" s="1"/>
  <c r="D67" i="2" s="1"/>
  <c r="E67" i="2" s="1"/>
  <c r="I67" i="2" s="1"/>
  <c r="G67" i="2"/>
  <c r="H67" i="2" s="1"/>
  <c r="F67" i="2"/>
  <c r="C67" i="2"/>
  <c r="B67" i="2"/>
  <c r="A67" i="2"/>
  <c r="K66" i="2"/>
  <c r="L66" i="2" s="1"/>
  <c r="D66" i="2" s="1"/>
  <c r="E66" i="2" s="1"/>
  <c r="I66" i="2" s="1"/>
  <c r="H66" i="2"/>
  <c r="G66" i="2"/>
  <c r="F66" i="2"/>
  <c r="C66" i="2"/>
  <c r="B66" i="2"/>
  <c r="A66" i="2"/>
  <c r="L65" i="2"/>
  <c r="D65" i="2" s="1"/>
  <c r="E65" i="2" s="1"/>
  <c r="K65" i="2"/>
  <c r="G65" i="2"/>
  <c r="H65" i="2" s="1"/>
  <c r="F65" i="2"/>
  <c r="C65" i="2"/>
  <c r="B65" i="2"/>
  <c r="A65" i="2"/>
  <c r="K64" i="2"/>
  <c r="L64" i="2" s="1"/>
  <c r="D64" i="2" s="1"/>
  <c r="E64" i="2" s="1"/>
  <c r="I64" i="2" s="1"/>
  <c r="G64" i="2"/>
  <c r="H64" i="2" s="1"/>
  <c r="F64" i="2"/>
  <c r="C64" i="2"/>
  <c r="B64" i="2"/>
  <c r="A64" i="2"/>
  <c r="K63" i="2"/>
  <c r="L63" i="2" s="1"/>
  <c r="D63" i="2" s="1"/>
  <c r="E63" i="2" s="1"/>
  <c r="I63" i="2"/>
  <c r="H63" i="2"/>
  <c r="G63" i="2"/>
  <c r="F63" i="2"/>
  <c r="C63" i="2"/>
  <c r="B63" i="2"/>
  <c r="A63" i="2"/>
  <c r="L62" i="2"/>
  <c r="K62" i="2"/>
  <c r="I62" i="2"/>
  <c r="H62" i="2"/>
  <c r="G62" i="2"/>
  <c r="F62" i="2"/>
  <c r="D62" i="2"/>
  <c r="E62" i="2" s="1"/>
  <c r="C62" i="2"/>
  <c r="B62" i="2"/>
  <c r="A62" i="2"/>
  <c r="K61" i="2"/>
  <c r="I61" i="2"/>
  <c r="G61" i="2"/>
  <c r="H61" i="2" s="1"/>
  <c r="F61" i="2"/>
  <c r="C61" i="2"/>
  <c r="B61" i="2"/>
  <c r="L61" i="2" s="1"/>
  <c r="D61" i="2" s="1"/>
  <c r="E61" i="2" s="1"/>
  <c r="A61" i="2"/>
  <c r="K60" i="2"/>
  <c r="L60" i="2" s="1"/>
  <c r="D60" i="2" s="1"/>
  <c r="E60" i="2" s="1"/>
  <c r="I60" i="2" s="1"/>
  <c r="G60" i="2"/>
  <c r="H60" i="2" s="1"/>
  <c r="F60" i="2"/>
  <c r="C60" i="2"/>
  <c r="B60" i="2"/>
  <c r="A60" i="2"/>
  <c r="K59" i="2"/>
  <c r="L59" i="2" s="1"/>
  <c r="D59" i="2" s="1"/>
  <c r="E59" i="2" s="1"/>
  <c r="I59" i="2" s="1"/>
  <c r="H59" i="2"/>
  <c r="G59" i="2"/>
  <c r="F59" i="2"/>
  <c r="C59" i="2"/>
  <c r="B59" i="2"/>
  <c r="A59" i="2"/>
  <c r="L58" i="2"/>
  <c r="K58" i="2"/>
  <c r="H58" i="2"/>
  <c r="G58" i="2"/>
  <c r="F58" i="2"/>
  <c r="D58" i="2"/>
  <c r="E58" i="2" s="1"/>
  <c r="I58" i="2" s="1"/>
  <c r="C58" i="2"/>
  <c r="B58" i="2"/>
  <c r="A58" i="2"/>
  <c r="K57" i="2"/>
  <c r="I57" i="2"/>
  <c r="G57" i="2"/>
  <c r="H57" i="2" s="1"/>
  <c r="F57" i="2"/>
  <c r="C57" i="2"/>
  <c r="B57" i="2"/>
  <c r="L57" i="2" s="1"/>
  <c r="D57" i="2" s="1"/>
  <c r="E57" i="2" s="1"/>
  <c r="A57" i="2"/>
  <c r="K56" i="2"/>
  <c r="L56" i="2" s="1"/>
  <c r="D56" i="2" s="1"/>
  <c r="E56" i="2" s="1"/>
  <c r="I56" i="2" s="1"/>
  <c r="G56" i="2"/>
  <c r="H56" i="2" s="1"/>
  <c r="F56" i="2"/>
  <c r="C56" i="2"/>
  <c r="B56" i="2"/>
  <c r="A56" i="2"/>
  <c r="K55" i="2"/>
  <c r="L55" i="2" s="1"/>
  <c r="D55" i="2" s="1"/>
  <c r="E55" i="2" s="1"/>
  <c r="I55" i="2"/>
  <c r="H55" i="2"/>
  <c r="G55" i="2"/>
  <c r="F55" i="2"/>
  <c r="C55" i="2"/>
  <c r="B55" i="2"/>
  <c r="A55" i="2"/>
  <c r="L54" i="2"/>
  <c r="K54" i="2"/>
  <c r="H54" i="2"/>
  <c r="G54" i="2"/>
  <c r="F54" i="2"/>
  <c r="D54" i="2"/>
  <c r="E54" i="2" s="1"/>
  <c r="I54" i="2" s="1"/>
  <c r="C54" i="2"/>
  <c r="B54" i="2"/>
  <c r="A54" i="2"/>
  <c r="K53" i="2"/>
  <c r="G53" i="2"/>
  <c r="H53" i="2" s="1"/>
  <c r="F53" i="2"/>
  <c r="C53" i="2"/>
  <c r="B53" i="2"/>
  <c r="L53" i="2" s="1"/>
  <c r="D53" i="2" s="1"/>
  <c r="E53" i="2" s="1"/>
  <c r="I53" i="2" s="1"/>
  <c r="A53" i="2"/>
  <c r="K52" i="2"/>
  <c r="L52" i="2" s="1"/>
  <c r="D52" i="2" s="1"/>
  <c r="E52" i="2" s="1"/>
  <c r="I52" i="2"/>
  <c r="G52" i="2"/>
  <c r="H52" i="2" s="1"/>
  <c r="F52" i="2"/>
  <c r="C52" i="2"/>
  <c r="B52" i="2"/>
  <c r="A52" i="2"/>
  <c r="K51" i="2"/>
  <c r="L51" i="2" s="1"/>
  <c r="D51" i="2" s="1"/>
  <c r="E51" i="2" s="1"/>
  <c r="I51" i="2"/>
  <c r="H51" i="2"/>
  <c r="G51" i="2"/>
  <c r="F51" i="2"/>
  <c r="C51" i="2"/>
  <c r="B51" i="2"/>
  <c r="A51" i="2"/>
  <c r="L50" i="2"/>
  <c r="K50" i="2"/>
  <c r="H50" i="2"/>
  <c r="G50" i="2"/>
  <c r="F50" i="2"/>
  <c r="D50" i="2"/>
  <c r="E50" i="2" s="1"/>
  <c r="I50" i="2" s="1"/>
  <c r="C50" i="2"/>
  <c r="B50" i="2"/>
  <c r="A50" i="2"/>
  <c r="K49" i="2"/>
  <c r="I49" i="2"/>
  <c r="G49" i="2"/>
  <c r="H49" i="2" s="1"/>
  <c r="F49" i="2"/>
  <c r="C49" i="2"/>
  <c r="B49" i="2"/>
  <c r="L49" i="2" s="1"/>
  <c r="D49" i="2" s="1"/>
  <c r="E49" i="2" s="1"/>
  <c r="A49" i="2"/>
  <c r="K48" i="2"/>
  <c r="L48" i="2" s="1"/>
  <c r="D48" i="2" s="1"/>
  <c r="E48" i="2" s="1"/>
  <c r="I48" i="2" s="1"/>
  <c r="G48" i="2"/>
  <c r="H48" i="2" s="1"/>
  <c r="F48" i="2"/>
  <c r="C48" i="2"/>
  <c r="B48" i="2"/>
  <c r="A48" i="2"/>
  <c r="K47" i="2"/>
  <c r="L47" i="2" s="1"/>
  <c r="D47" i="2" s="1"/>
  <c r="E47" i="2" s="1"/>
  <c r="I47" i="2" s="1"/>
  <c r="H47" i="2"/>
  <c r="G47" i="2"/>
  <c r="F47" i="2"/>
  <c r="C47" i="2"/>
  <c r="B47" i="2"/>
  <c r="A47" i="2"/>
  <c r="L46" i="2"/>
  <c r="K46" i="2"/>
  <c r="I46" i="2"/>
  <c r="H46" i="2"/>
  <c r="G46" i="2"/>
  <c r="F46" i="2"/>
  <c r="D46" i="2"/>
  <c r="E46" i="2" s="1"/>
  <c r="C46" i="2"/>
  <c r="B46" i="2"/>
  <c r="A46" i="2"/>
  <c r="K45" i="2"/>
  <c r="I45" i="2"/>
  <c r="G45" i="2"/>
  <c r="H45" i="2" s="1"/>
  <c r="F45" i="2"/>
  <c r="C45" i="2"/>
  <c r="B45" i="2"/>
  <c r="L45" i="2" s="1"/>
  <c r="D45" i="2" s="1"/>
  <c r="E45" i="2" s="1"/>
  <c r="A45" i="2"/>
  <c r="K44" i="2"/>
  <c r="L44" i="2" s="1"/>
  <c r="D44" i="2" s="1"/>
  <c r="E44" i="2" s="1"/>
  <c r="I44" i="2" s="1"/>
  <c r="G44" i="2"/>
  <c r="H44" i="2" s="1"/>
  <c r="F44" i="2"/>
  <c r="C44" i="2"/>
  <c r="B44" i="2"/>
  <c r="A44" i="2"/>
  <c r="K43" i="2"/>
  <c r="L43" i="2" s="1"/>
  <c r="H43" i="2"/>
  <c r="G43" i="2"/>
  <c r="F43" i="2"/>
  <c r="D43" i="2"/>
  <c r="E43" i="2" s="1"/>
  <c r="I43" i="2" s="1"/>
  <c r="C43" i="2"/>
  <c r="B43" i="2"/>
  <c r="A43" i="2"/>
  <c r="L42" i="2"/>
  <c r="D42" i="2" s="1"/>
  <c r="K42" i="2"/>
  <c r="G42" i="2"/>
  <c r="H42" i="2" s="1"/>
  <c r="F42" i="2"/>
  <c r="C42" i="2"/>
  <c r="B42" i="2"/>
  <c r="A42" i="2"/>
  <c r="K41" i="2"/>
  <c r="G41" i="2"/>
  <c r="H41" i="2" s="1"/>
  <c r="F41" i="2"/>
  <c r="C41" i="2"/>
  <c r="B41" i="2"/>
  <c r="A41" i="2"/>
  <c r="K40" i="2"/>
  <c r="L40" i="2" s="1"/>
  <c r="D40" i="2" s="1"/>
  <c r="I40" i="2"/>
  <c r="G40" i="2"/>
  <c r="H40" i="2" s="1"/>
  <c r="F40" i="2"/>
  <c r="E40" i="2"/>
  <c r="C40" i="2"/>
  <c r="B40" i="2"/>
  <c r="A40" i="2"/>
  <c r="K39" i="2"/>
  <c r="L39" i="2" s="1"/>
  <c r="H39" i="2"/>
  <c r="G39" i="2"/>
  <c r="F39" i="2"/>
  <c r="D39" i="2"/>
  <c r="E39" i="2" s="1"/>
  <c r="C39" i="2"/>
  <c r="B39" i="2"/>
  <c r="A39" i="2"/>
  <c r="L38" i="2"/>
  <c r="D38" i="2" s="1"/>
  <c r="K38" i="2"/>
  <c r="G38" i="2"/>
  <c r="H38" i="2" s="1"/>
  <c r="F38" i="2"/>
  <c r="C38" i="2"/>
  <c r="B38" i="2"/>
  <c r="A38" i="2"/>
  <c r="K37" i="2"/>
  <c r="G37" i="2"/>
  <c r="F37" i="2"/>
  <c r="C37" i="2"/>
  <c r="B37" i="2"/>
  <c r="A37" i="2"/>
  <c r="K36" i="2"/>
  <c r="L36" i="2" s="1"/>
  <c r="D36" i="2" s="1"/>
  <c r="I36" i="2"/>
  <c r="G36" i="2"/>
  <c r="H36" i="2" s="1"/>
  <c r="F36" i="2"/>
  <c r="E36" i="2"/>
  <c r="C36" i="2"/>
  <c r="B36" i="2"/>
  <c r="A36" i="2"/>
  <c r="K35" i="2"/>
  <c r="L35" i="2" s="1"/>
  <c r="D35" i="2" s="1"/>
  <c r="E35" i="2" s="1"/>
  <c r="I35" i="2"/>
  <c r="H35" i="2"/>
  <c r="G35" i="2"/>
  <c r="F35" i="2"/>
  <c r="C35" i="2"/>
  <c r="B35" i="2"/>
  <c r="A35" i="2"/>
  <c r="L34" i="2"/>
  <c r="D34" i="2" s="1"/>
  <c r="K34" i="2"/>
  <c r="G34" i="2"/>
  <c r="H34" i="2" s="1"/>
  <c r="F34" i="2"/>
  <c r="C34" i="2"/>
  <c r="B34" i="2"/>
  <c r="A34" i="2"/>
  <c r="K33" i="2"/>
  <c r="G33" i="2"/>
  <c r="H33" i="2" s="1"/>
  <c r="F33" i="2"/>
  <c r="C33" i="2"/>
  <c r="B33" i="2"/>
  <c r="A33" i="2"/>
  <c r="K32" i="2"/>
  <c r="L32" i="2" s="1"/>
  <c r="D32" i="2" s="1"/>
  <c r="G32" i="2"/>
  <c r="H32" i="2" s="1"/>
  <c r="F32" i="2"/>
  <c r="E32" i="2"/>
  <c r="I32" i="2" s="1"/>
  <c r="C32" i="2"/>
  <c r="B32" i="2"/>
  <c r="A32" i="2"/>
  <c r="K31" i="2"/>
  <c r="L31" i="2" s="1"/>
  <c r="H31" i="2"/>
  <c r="G31" i="2"/>
  <c r="F31" i="2"/>
  <c r="D31" i="2"/>
  <c r="E31" i="2" s="1"/>
  <c r="I31" i="2" s="1"/>
  <c r="C31" i="2"/>
  <c r="B31" i="2"/>
  <c r="A31" i="2"/>
  <c r="L30" i="2"/>
  <c r="D30" i="2" s="1"/>
  <c r="K30" i="2"/>
  <c r="G30" i="2"/>
  <c r="H30" i="2" s="1"/>
  <c r="F30" i="2"/>
  <c r="C30" i="2"/>
  <c r="B30" i="2"/>
  <c r="A30" i="2"/>
  <c r="K29" i="2"/>
  <c r="G29" i="2"/>
  <c r="H29" i="2" s="1"/>
  <c r="F29" i="2"/>
  <c r="C29" i="2"/>
  <c r="B29" i="2"/>
  <c r="A29" i="2"/>
  <c r="K28" i="2"/>
  <c r="L28" i="2" s="1"/>
  <c r="D28" i="2" s="1"/>
  <c r="I28" i="2"/>
  <c r="G28" i="2"/>
  <c r="H28" i="2" s="1"/>
  <c r="F28" i="2"/>
  <c r="E28" i="2"/>
  <c r="C28" i="2"/>
  <c r="B28" i="2"/>
  <c r="A28" i="2"/>
  <c r="K27" i="2"/>
  <c r="L27" i="2" s="1"/>
  <c r="H27" i="2"/>
  <c r="G27" i="2"/>
  <c r="F27" i="2"/>
  <c r="D27" i="2"/>
  <c r="E27" i="2" s="1"/>
  <c r="C27" i="2"/>
  <c r="B27" i="2"/>
  <c r="A27" i="2"/>
  <c r="L26" i="2"/>
  <c r="D26" i="2" s="1"/>
  <c r="K26" i="2"/>
  <c r="G26" i="2"/>
  <c r="H26" i="2" s="1"/>
  <c r="F26" i="2"/>
  <c r="C26" i="2"/>
  <c r="B26" i="2"/>
  <c r="A26" i="2"/>
  <c r="K25" i="2"/>
  <c r="G25" i="2"/>
  <c r="F25" i="2"/>
  <c r="C25" i="2"/>
  <c r="B25" i="2"/>
  <c r="A25" i="2"/>
  <c r="K24" i="2"/>
  <c r="L24" i="2" s="1"/>
  <c r="D24" i="2" s="1"/>
  <c r="E24" i="2" s="1"/>
  <c r="I24" i="2" s="1"/>
  <c r="G24" i="2"/>
  <c r="H24" i="2" s="1"/>
  <c r="F24" i="2"/>
  <c r="C24" i="2"/>
  <c r="B24" i="2"/>
  <c r="A24" i="2"/>
  <c r="K23" i="2"/>
  <c r="L23" i="2" s="1"/>
  <c r="H23" i="2"/>
  <c r="G23" i="2"/>
  <c r="F23" i="2"/>
  <c r="D23" i="2"/>
  <c r="E23" i="2" s="1"/>
  <c r="I23" i="2" s="1"/>
  <c r="C23" i="2"/>
  <c r="B23" i="2"/>
  <c r="A23" i="2"/>
  <c r="L22" i="2"/>
  <c r="D22" i="2" s="1"/>
  <c r="K22" i="2"/>
  <c r="G22" i="2"/>
  <c r="H22" i="2" s="1"/>
  <c r="F22" i="2"/>
  <c r="B22" i="2"/>
  <c r="A22" i="2"/>
  <c r="K21" i="2"/>
  <c r="G21" i="2"/>
  <c r="H21" i="2" s="1"/>
  <c r="F21" i="2"/>
  <c r="C21" i="2"/>
  <c r="B21" i="2"/>
  <c r="A21" i="2"/>
  <c r="K20" i="2"/>
  <c r="L20" i="2" s="1"/>
  <c r="D20" i="2" s="1"/>
  <c r="I20" i="2"/>
  <c r="G20" i="2"/>
  <c r="F20" i="2"/>
  <c r="H20" i="2" s="1"/>
  <c r="E20" i="2"/>
  <c r="C20" i="2"/>
  <c r="B20" i="2"/>
  <c r="A20" i="2"/>
  <c r="L19" i="2"/>
  <c r="K19" i="2"/>
  <c r="H19" i="2"/>
  <c r="G19" i="2"/>
  <c r="F19" i="2"/>
  <c r="D19" i="2"/>
  <c r="E19" i="2" s="1"/>
  <c r="I19" i="2" s="1"/>
  <c r="C19" i="2"/>
  <c r="B19" i="2"/>
  <c r="A19" i="2"/>
  <c r="L18" i="2"/>
  <c r="D18" i="2" s="1"/>
  <c r="K18" i="2"/>
  <c r="G18" i="2"/>
  <c r="H18" i="2" s="1"/>
  <c r="F18" i="2"/>
  <c r="C18" i="2"/>
  <c r="B18" i="2"/>
  <c r="A18" i="2"/>
  <c r="K17" i="2"/>
  <c r="G17" i="2"/>
  <c r="H17" i="2" s="1"/>
  <c r="F17" i="2"/>
  <c r="C17" i="2"/>
  <c r="B17" i="2"/>
  <c r="A17" i="2"/>
  <c r="K16" i="2"/>
  <c r="L16" i="2" s="1"/>
  <c r="D16" i="2" s="1"/>
  <c r="I16" i="2"/>
  <c r="G16" i="2"/>
  <c r="F16" i="2"/>
  <c r="H16" i="2" s="1"/>
  <c r="E16" i="2"/>
  <c r="C16" i="2"/>
  <c r="B16" i="2"/>
  <c r="A16" i="2"/>
  <c r="L15" i="2"/>
  <c r="K15" i="2"/>
  <c r="H15" i="2"/>
  <c r="G15" i="2"/>
  <c r="F15" i="2"/>
  <c r="D15" i="2"/>
  <c r="E15" i="2" s="1"/>
  <c r="I15" i="2" s="1"/>
  <c r="C15" i="2"/>
  <c r="B15" i="2"/>
  <c r="A15" i="2"/>
  <c r="L14" i="2"/>
  <c r="D14" i="2" s="1"/>
  <c r="K14" i="2"/>
  <c r="G14" i="2"/>
  <c r="H14" i="2" s="1"/>
  <c r="F14" i="2"/>
  <c r="C14" i="2"/>
  <c r="B14" i="2"/>
  <c r="A14" i="2"/>
  <c r="K13" i="2"/>
  <c r="G13" i="2"/>
  <c r="H13" i="2" s="1"/>
  <c r="F13" i="2"/>
  <c r="C13" i="2"/>
  <c r="B13" i="2"/>
  <c r="A13" i="2"/>
  <c r="K12" i="2"/>
  <c r="L12" i="2" s="1"/>
  <c r="D12" i="2" s="1"/>
  <c r="G12" i="2"/>
  <c r="F12" i="2"/>
  <c r="H12" i="2" s="1"/>
  <c r="I12" i="2" s="1"/>
  <c r="E12" i="2"/>
  <c r="C12" i="2"/>
  <c r="B12" i="2"/>
  <c r="A12" i="2"/>
  <c r="L11" i="2"/>
  <c r="K11" i="2"/>
  <c r="H11" i="2"/>
  <c r="G11" i="2"/>
  <c r="F11" i="2"/>
  <c r="D11" i="2"/>
  <c r="E11" i="2" s="1"/>
  <c r="I11" i="2" s="1"/>
  <c r="C11" i="2"/>
  <c r="B11" i="2"/>
  <c r="A11" i="2"/>
  <c r="L10" i="2"/>
  <c r="D10" i="2" s="1"/>
  <c r="K10" i="2"/>
  <c r="G10" i="2"/>
  <c r="H10" i="2" s="1"/>
  <c r="F10" i="2"/>
  <c r="C10" i="2"/>
  <c r="B10" i="2"/>
  <c r="A10" i="2"/>
  <c r="K9" i="2"/>
  <c r="G9" i="2"/>
  <c r="H9" i="2" s="1"/>
  <c r="F9" i="2"/>
  <c r="C9" i="2"/>
  <c r="B9" i="2"/>
  <c r="A9" i="2"/>
  <c r="K8" i="2"/>
  <c r="L8" i="2" s="1"/>
  <c r="D8" i="2" s="1"/>
  <c r="I8" i="2"/>
  <c r="G8" i="2"/>
  <c r="F8" i="2"/>
  <c r="H8" i="2" s="1"/>
  <c r="E8" i="2"/>
  <c r="C8" i="2"/>
  <c r="B8" i="2"/>
  <c r="A8" i="2"/>
  <c r="L7" i="2"/>
  <c r="K7" i="2"/>
  <c r="H7" i="2"/>
  <c r="G7" i="2"/>
  <c r="F7" i="2"/>
  <c r="D7" i="2"/>
  <c r="E7" i="2" s="1"/>
  <c r="I7" i="2" s="1"/>
  <c r="C7" i="2"/>
  <c r="B7" i="2"/>
  <c r="A7" i="2"/>
  <c r="L6" i="2"/>
  <c r="D6" i="2" s="1"/>
  <c r="E6" i="2" s="1"/>
  <c r="I6" i="2" s="1"/>
  <c r="K6" i="2"/>
  <c r="G6" i="2"/>
  <c r="H6" i="2" s="1"/>
  <c r="F6" i="2"/>
  <c r="C6" i="2"/>
  <c r="B6" i="2"/>
  <c r="A6" i="2"/>
  <c r="K5" i="2"/>
  <c r="G5" i="2"/>
  <c r="H5" i="2" s="1"/>
  <c r="F5" i="2"/>
  <c r="C5" i="2"/>
  <c r="B5" i="2"/>
  <c r="A5" i="2"/>
  <c r="K4" i="2"/>
  <c r="L4" i="2" s="1"/>
  <c r="D4" i="2" s="1"/>
  <c r="I4" i="2"/>
  <c r="G4" i="2"/>
  <c r="F4" i="2"/>
  <c r="H4" i="2" s="1"/>
  <c r="E4" i="2"/>
  <c r="C4" i="2"/>
  <c r="B4" i="2"/>
  <c r="A4" i="2"/>
  <c r="L3" i="2"/>
  <c r="K3" i="2"/>
  <c r="H3" i="2"/>
  <c r="G3" i="2"/>
  <c r="F3" i="2"/>
  <c r="D3" i="2"/>
  <c r="E3" i="2" s="1"/>
  <c r="I3" i="2" s="1"/>
  <c r="C3" i="2"/>
  <c r="B3" i="2"/>
  <c r="A3" i="2"/>
  <c r="L2" i="2"/>
  <c r="D2" i="2" s="1"/>
  <c r="K2" i="2"/>
  <c r="G2" i="2"/>
  <c r="H2" i="2" s="1"/>
  <c r="F2" i="2"/>
  <c r="C2" i="2"/>
  <c r="B2" i="2"/>
  <c r="A2" i="2"/>
  <c r="B5" i="1"/>
  <c r="B4" i="1"/>
  <c r="B6" i="1" s="1"/>
  <c r="E2" i="2" l="1"/>
  <c r="I2" i="2" s="1"/>
  <c r="L9" i="2"/>
  <c r="D9" i="2" s="1"/>
  <c r="E9" i="2" s="1"/>
  <c r="I9" i="2" s="1"/>
  <c r="L17" i="2"/>
  <c r="D17" i="2" s="1"/>
  <c r="E17" i="2" s="1"/>
  <c r="I17" i="2" s="1"/>
  <c r="L29" i="2"/>
  <c r="D29" i="2" s="1"/>
  <c r="E29" i="2" s="1"/>
  <c r="I29" i="2" s="1"/>
  <c r="E34" i="2"/>
  <c r="I34" i="2" s="1"/>
  <c r="L41" i="2"/>
  <c r="D41" i="2" s="1"/>
  <c r="E41" i="2" s="1"/>
  <c r="I41" i="2" s="1"/>
  <c r="I104" i="2"/>
  <c r="I116" i="2"/>
  <c r="E22" i="2"/>
  <c r="I22" i="2" s="1"/>
  <c r="L33" i="2"/>
  <c r="D33" i="2" s="1"/>
  <c r="E33" i="2" s="1"/>
  <c r="I33" i="2" s="1"/>
  <c r="I97" i="2"/>
  <c r="I107" i="2"/>
  <c r="E14" i="2"/>
  <c r="I14" i="2" s="1"/>
  <c r="L5" i="2"/>
  <c r="D5" i="2" s="1"/>
  <c r="E5" i="2" s="1"/>
  <c r="I5" i="2" s="1"/>
  <c r="L13" i="2"/>
  <c r="D13" i="2" s="1"/>
  <c r="E13" i="2" s="1"/>
  <c r="I13" i="2" s="1"/>
  <c r="L21" i="2"/>
  <c r="D21" i="2" s="1"/>
  <c r="E21" i="2" s="1"/>
  <c r="I21" i="2" s="1"/>
  <c r="H25" i="2"/>
  <c r="E26" i="2"/>
  <c r="I26" i="2" s="1"/>
  <c r="I27" i="2"/>
  <c r="H37" i="2"/>
  <c r="E38" i="2"/>
  <c r="I38" i="2" s="1"/>
  <c r="I39" i="2"/>
  <c r="I65" i="2"/>
  <c r="I72" i="2"/>
  <c r="I87" i="2"/>
  <c r="I91" i="2"/>
  <c r="I103" i="2"/>
  <c r="I109" i="2"/>
  <c r="I115" i="2"/>
  <c r="E10" i="2"/>
  <c r="I10" i="2" s="1"/>
  <c r="E18" i="2"/>
  <c r="I18" i="2" s="1"/>
  <c r="L25" i="2"/>
  <c r="D25" i="2" s="1"/>
  <c r="E25" i="2" s="1"/>
  <c r="I25" i="2" s="1"/>
  <c r="E30" i="2"/>
  <c r="I30" i="2" s="1"/>
  <c r="L37" i="2"/>
  <c r="D37" i="2" s="1"/>
  <c r="E37" i="2" s="1"/>
  <c r="I37" i="2" s="1"/>
  <c r="E42" i="2"/>
  <c r="I42" i="2" s="1"/>
  <c r="I132" i="2"/>
  <c r="I140" i="2"/>
  <c r="I148" i="2"/>
  <c r="I156" i="2"/>
  <c r="I172" i="2"/>
  <c r="I188" i="2"/>
  <c r="I222" i="2"/>
  <c r="I234" i="2"/>
  <c r="I242" i="2"/>
  <c r="H125" i="2"/>
  <c r="I125" i="2" s="1"/>
  <c r="L134" i="2"/>
  <c r="D134" i="2" s="1"/>
  <c r="E134" i="2" s="1"/>
  <c r="I134" i="2" s="1"/>
  <c r="L142" i="2"/>
  <c r="D142" i="2" s="1"/>
  <c r="E142" i="2" s="1"/>
  <c r="I142" i="2" s="1"/>
  <c r="I160" i="2"/>
  <c r="I165" i="2"/>
  <c r="I176" i="2"/>
  <c r="I181" i="2"/>
  <c r="I192" i="2"/>
  <c r="I197" i="2"/>
  <c r="I208" i="2"/>
  <c r="I213" i="2"/>
  <c r="L128" i="2"/>
  <c r="D128" i="2" s="1"/>
  <c r="E128" i="2" s="1"/>
  <c r="L136" i="2"/>
  <c r="D136" i="2" s="1"/>
  <c r="E136" i="2" s="1"/>
  <c r="I136" i="2" s="1"/>
  <c r="L144" i="2"/>
  <c r="D144" i="2" s="1"/>
  <c r="E144" i="2" s="1"/>
  <c r="I144" i="2" s="1"/>
  <c r="I153" i="2"/>
  <c r="I164" i="2"/>
  <c r="I169" i="2"/>
  <c r="I180" i="2"/>
  <c r="I185" i="2"/>
  <c r="I196" i="2"/>
  <c r="I201" i="2"/>
  <c r="I212" i="2"/>
  <c r="I251" i="2"/>
  <c r="L124" i="2"/>
  <c r="D124" i="2" s="1"/>
  <c r="E124" i="2" s="1"/>
  <c r="I124" i="2" s="1"/>
  <c r="I130" i="2"/>
  <c r="I138" i="2"/>
  <c r="I146" i="2"/>
  <c r="L220" i="2"/>
  <c r="D220" i="2" s="1"/>
  <c r="E220" i="2" s="1"/>
  <c r="I220" i="2" s="1"/>
  <c r="H229" i="2"/>
  <c r="I229" i="2" s="1"/>
  <c r="L236" i="2"/>
  <c r="D236" i="2" s="1"/>
  <c r="E236" i="2" s="1"/>
  <c r="I236" i="2" s="1"/>
  <c r="L252" i="2"/>
  <c r="D252" i="2" s="1"/>
  <c r="E252" i="2" s="1"/>
  <c r="I252" i="2" s="1"/>
  <c r="I254" i="2"/>
  <c r="L256" i="2"/>
  <c r="D256" i="2" s="1"/>
  <c r="E256" i="2" s="1"/>
  <c r="I256" i="2" s="1"/>
  <c r="E269" i="2"/>
  <c r="I269" i="2" s="1"/>
  <c r="I270" i="2"/>
  <c r="L272" i="2"/>
  <c r="D272" i="2" s="1"/>
  <c r="E272" i="2" s="1"/>
  <c r="I272" i="2" s="1"/>
  <c r="L280" i="2"/>
  <c r="D280" i="2" s="1"/>
  <c r="E280" i="2" s="1"/>
  <c r="I280" i="2" s="1"/>
  <c r="E285" i="2"/>
  <c r="I285" i="2" s="1"/>
  <c r="L296" i="2"/>
  <c r="D296" i="2" s="1"/>
  <c r="E296" i="2" s="1"/>
  <c r="I296" i="2" s="1"/>
  <c r="E301" i="2"/>
  <c r="I301" i="2" s="1"/>
  <c r="H225" i="2"/>
  <c r="I225" i="2" s="1"/>
  <c r="L232" i="2"/>
  <c r="D232" i="2" s="1"/>
  <c r="E232" i="2" s="1"/>
  <c r="I232" i="2" s="1"/>
  <c r="H241" i="2"/>
  <c r="I241" i="2" s="1"/>
  <c r="L248" i="2"/>
  <c r="D248" i="2" s="1"/>
  <c r="E248" i="2" s="1"/>
  <c r="I248" i="2" s="1"/>
  <c r="H257" i="2"/>
  <c r="I257" i="2" s="1"/>
  <c r="H273" i="2"/>
  <c r="I273" i="2" s="1"/>
  <c r="L284" i="2"/>
  <c r="D284" i="2" s="1"/>
  <c r="E284" i="2" s="1"/>
  <c r="I284" i="2" s="1"/>
  <c r="E289" i="2"/>
  <c r="I289" i="2" s="1"/>
  <c r="I290" i="2"/>
  <c r="L300" i="2"/>
  <c r="D300" i="2" s="1"/>
  <c r="E300" i="2" s="1"/>
  <c r="I300" i="2" s="1"/>
  <c r="I313" i="2"/>
  <c r="I317" i="2"/>
  <c r="I319" i="2"/>
  <c r="I327" i="2"/>
  <c r="L228" i="2"/>
  <c r="D228" i="2" s="1"/>
  <c r="E228" i="2" s="1"/>
  <c r="I228" i="2" s="1"/>
  <c r="L244" i="2"/>
  <c r="D244" i="2" s="1"/>
  <c r="E244" i="2" s="1"/>
  <c r="I244" i="2" s="1"/>
  <c r="E261" i="2"/>
  <c r="I261" i="2" s="1"/>
  <c r="I262" i="2"/>
  <c r="E277" i="2"/>
  <c r="I277" i="2" s="1"/>
  <c r="L288" i="2"/>
  <c r="D288" i="2" s="1"/>
  <c r="E288" i="2" s="1"/>
  <c r="I288" i="2" s="1"/>
  <c r="E293" i="2"/>
  <c r="I293" i="2" s="1"/>
  <c r="L304" i="2"/>
  <c r="D304" i="2" s="1"/>
  <c r="E304" i="2" s="1"/>
  <c r="I304" i="2" s="1"/>
  <c r="I323" i="2"/>
  <c r="I332" i="2"/>
  <c r="I335" i="2"/>
  <c r="L224" i="2"/>
  <c r="D224" i="2" s="1"/>
  <c r="E224" i="2" s="1"/>
  <c r="I224" i="2" s="1"/>
  <c r="H233" i="2"/>
  <c r="I233" i="2" s="1"/>
  <c r="L240" i="2"/>
  <c r="D240" i="2" s="1"/>
  <c r="E240" i="2" s="1"/>
  <c r="I240" i="2" s="1"/>
  <c r="H249" i="2"/>
  <c r="I249" i="2" s="1"/>
  <c r="L260" i="2"/>
  <c r="D260" i="2" s="1"/>
  <c r="E260" i="2" s="1"/>
  <c r="I260" i="2" s="1"/>
  <c r="H265" i="2"/>
  <c r="I265" i="2" s="1"/>
  <c r="L276" i="2"/>
  <c r="D276" i="2" s="1"/>
  <c r="E276" i="2" s="1"/>
  <c r="I276" i="2" s="1"/>
  <c r="E281" i="2"/>
  <c r="I281" i="2" s="1"/>
  <c r="I282" i="2"/>
  <c r="L292" i="2"/>
  <c r="D292" i="2" s="1"/>
  <c r="E292" i="2" s="1"/>
  <c r="I292" i="2" s="1"/>
  <c r="E297" i="2"/>
  <c r="I297" i="2" s="1"/>
  <c r="I298" i="2"/>
  <c r="L325" i="2"/>
  <c r="D325" i="2" s="1"/>
  <c r="E325" i="2" s="1"/>
  <c r="I325" i="2" s="1"/>
  <c r="E385" i="2"/>
  <c r="I385" i="2" s="1"/>
  <c r="L321" i="2"/>
  <c r="D321" i="2" s="1"/>
  <c r="E321" i="2" s="1"/>
  <c r="I321" i="2" s="1"/>
  <c r="H330" i="2"/>
  <c r="I330" i="2" s="1"/>
  <c r="L337" i="2"/>
  <c r="D337" i="2" s="1"/>
  <c r="E337" i="2" s="1"/>
  <c r="I337" i="2" s="1"/>
  <c r="L345" i="2"/>
  <c r="D345" i="2" s="1"/>
  <c r="E345" i="2" s="1"/>
  <c r="I345" i="2" s="1"/>
  <c r="L353" i="2"/>
  <c r="D353" i="2" s="1"/>
  <c r="E353" i="2" s="1"/>
  <c r="I353" i="2" s="1"/>
  <c r="L361" i="2"/>
  <c r="D361" i="2" s="1"/>
  <c r="E361" i="2" s="1"/>
  <c r="I361" i="2" s="1"/>
  <c r="L372" i="2"/>
  <c r="D372" i="2" s="1"/>
  <c r="E372" i="2" s="1"/>
  <c r="I372" i="2" s="1"/>
  <c r="L381" i="2"/>
  <c r="D381" i="2" s="1"/>
  <c r="E381" i="2" s="1"/>
  <c r="E382" i="2"/>
  <c r="I382" i="2" s="1"/>
  <c r="L333" i="2"/>
  <c r="D333" i="2" s="1"/>
  <c r="E333" i="2" s="1"/>
  <c r="I333" i="2" s="1"/>
  <c r="L339" i="2"/>
  <c r="D339" i="2" s="1"/>
  <c r="E339" i="2" s="1"/>
  <c r="I339" i="2" s="1"/>
  <c r="L347" i="2"/>
  <c r="D347" i="2" s="1"/>
  <c r="E347" i="2" s="1"/>
  <c r="I347" i="2" s="1"/>
  <c r="L355" i="2"/>
  <c r="D355" i="2" s="1"/>
  <c r="E355" i="2" s="1"/>
  <c r="I355" i="2" s="1"/>
  <c r="L363" i="2"/>
  <c r="D363" i="2" s="1"/>
  <c r="E363" i="2" s="1"/>
  <c r="I363" i="2" s="1"/>
  <c r="L365" i="2"/>
  <c r="D365" i="2" s="1"/>
  <c r="E365" i="2" s="1"/>
  <c r="I365" i="2" s="1"/>
  <c r="E366" i="2"/>
  <c r="I366" i="2" s="1"/>
  <c r="I367" i="2"/>
  <c r="L329" i="2"/>
  <c r="D329" i="2" s="1"/>
  <c r="E329" i="2" s="1"/>
  <c r="I329" i="2" s="1"/>
  <c r="I341" i="2"/>
  <c r="I349" i="2"/>
  <c r="I357" i="2"/>
  <c r="E369" i="2"/>
  <c r="I369" i="2" s="1"/>
  <c r="L373" i="2"/>
  <c r="D373" i="2" s="1"/>
  <c r="E373" i="2" s="1"/>
  <c r="L395" i="2"/>
  <c r="D395" i="2" s="1"/>
  <c r="E395" i="2" s="1"/>
  <c r="I395" i="2" s="1"/>
  <c r="L368" i="2"/>
  <c r="D368" i="2" s="1"/>
  <c r="E368" i="2" s="1"/>
  <c r="I368" i="2" s="1"/>
  <c r="H373" i="2"/>
  <c r="L384" i="2"/>
  <c r="D384" i="2" s="1"/>
  <c r="E384" i="2" s="1"/>
  <c r="I384" i="2" s="1"/>
  <c r="E388" i="2"/>
  <c r="I388" i="2" s="1"/>
  <c r="H405" i="2"/>
  <c r="I405" i="2" s="1"/>
  <c r="E414" i="2"/>
  <c r="I414" i="2" s="1"/>
  <c r="E420" i="2"/>
  <c r="I420" i="2" s="1"/>
  <c r="E429" i="2"/>
  <c r="I429" i="2" s="1"/>
  <c r="E377" i="2"/>
  <c r="I377" i="2" s="1"/>
  <c r="I378" i="2"/>
  <c r="L380" i="2"/>
  <c r="D380" i="2" s="1"/>
  <c r="E380" i="2" s="1"/>
  <c r="I380" i="2" s="1"/>
  <c r="I400" i="2"/>
  <c r="I401" i="2"/>
  <c r="I402" i="2"/>
  <c r="L407" i="2"/>
  <c r="D407" i="2" s="1"/>
  <c r="E407" i="2" s="1"/>
  <c r="I407" i="2" s="1"/>
  <c r="L411" i="2"/>
  <c r="D411" i="2" s="1"/>
  <c r="E411" i="2" s="1"/>
  <c r="I411" i="2" s="1"/>
  <c r="L425" i="2"/>
  <c r="D425" i="2" s="1"/>
  <c r="E425" i="2" s="1"/>
  <c r="I425" i="2" s="1"/>
  <c r="I433" i="2"/>
  <c r="I438" i="2"/>
  <c r="H381" i="2"/>
  <c r="H389" i="2"/>
  <c r="I389" i="2" s="1"/>
  <c r="E398" i="2"/>
  <c r="I398" i="2" s="1"/>
  <c r="E404" i="2"/>
  <c r="I404" i="2" s="1"/>
  <c r="L427" i="2"/>
  <c r="D427" i="2" s="1"/>
  <c r="E427" i="2" s="1"/>
  <c r="I427" i="2" s="1"/>
  <c r="L445" i="2"/>
  <c r="D445" i="2" s="1"/>
  <c r="E445" i="2" s="1"/>
  <c r="I445" i="2" s="1"/>
  <c r="E434" i="2"/>
  <c r="I434" i="2" s="1"/>
  <c r="H432" i="2"/>
  <c r="I432" i="2" s="1"/>
  <c r="E442" i="2"/>
  <c r="I442" i="2" s="1"/>
  <c r="I443" i="2"/>
  <c r="E450" i="2"/>
  <c r="I450" i="2" s="1"/>
  <c r="I452" i="2"/>
  <c r="L387" i="2"/>
  <c r="D387" i="2" s="1"/>
  <c r="E387" i="2" s="1"/>
  <c r="I387" i="2" s="1"/>
  <c r="H396" i="2"/>
  <c r="I396" i="2" s="1"/>
  <c r="L403" i="2"/>
  <c r="D403" i="2" s="1"/>
  <c r="E403" i="2" s="1"/>
  <c r="I403" i="2" s="1"/>
  <c r="H412" i="2"/>
  <c r="I412" i="2" s="1"/>
  <c r="L419" i="2"/>
  <c r="D419" i="2" s="1"/>
  <c r="E419" i="2" s="1"/>
  <c r="I419" i="2" s="1"/>
  <c r="H428" i="2"/>
  <c r="I428" i="2" s="1"/>
  <c r="L437" i="2"/>
  <c r="D437" i="2" s="1"/>
  <c r="E437" i="2" s="1"/>
  <c r="I437" i="2" s="1"/>
  <c r="L441" i="2"/>
  <c r="D441" i="2" s="1"/>
  <c r="E441" i="2" s="1"/>
  <c r="I441" i="2" s="1"/>
  <c r="L449" i="2"/>
  <c r="D449" i="2" s="1"/>
  <c r="E449" i="2" s="1"/>
  <c r="I449" i="2" s="1"/>
  <c r="L399" i="2"/>
  <c r="D399" i="2" s="1"/>
  <c r="E399" i="2" s="1"/>
  <c r="I399" i="2" s="1"/>
  <c r="L415" i="2"/>
  <c r="D415" i="2" s="1"/>
  <c r="E415" i="2" s="1"/>
  <c r="I415" i="2" s="1"/>
  <c r="L431" i="2"/>
  <c r="D431" i="2" s="1"/>
  <c r="E431" i="2" s="1"/>
  <c r="I431" i="2" s="1"/>
  <c r="L439" i="2"/>
  <c r="D439" i="2" s="1"/>
  <c r="E439" i="2" s="1"/>
  <c r="I439" i="2" s="1"/>
  <c r="E446" i="2"/>
  <c r="I446" i="2" s="1"/>
  <c r="I451" i="2"/>
  <c r="I373" i="2" l="1"/>
  <c r="B14" i="1" s="1"/>
  <c r="I381" i="2"/>
  <c r="B10" i="1"/>
  <c r="C13" i="1"/>
  <c r="C11" i="1"/>
  <c r="B9" i="1"/>
  <c r="C12" i="1"/>
  <c r="C9" i="1"/>
  <c r="B11" i="1" l="1"/>
  <c r="C10" i="1"/>
  <c r="B12" i="1"/>
  <c r="C14" i="1"/>
  <c r="B13" i="1"/>
  <c r="C15" i="1" l="1"/>
  <c r="B15" i="1"/>
</calcChain>
</file>

<file path=xl/sharedStrings.xml><?xml version="1.0" encoding="utf-8"?>
<sst xmlns="http://schemas.openxmlformats.org/spreadsheetml/2006/main" count="9141" uniqueCount="3509">
  <si>
    <t>Perbandingan Stok SCM (7 Okt 2026) vs SO Gudang (30 Sep 2026)</t>
  </si>
  <si>
    <t>Nominal (Rp)</t>
  </si>
  <si>
    <t>Total SO</t>
  </si>
  <si>
    <t>Total SCM</t>
  </si>
  <si>
    <t>Selisih (SCM − SO)</t>
  </si>
  <si>
    <t>Keterangan</t>
  </si>
  <si>
    <t>Jumlah Barang</t>
  </si>
  <si>
    <t>Selisih Nominal (Rp)</t>
  </si>
  <si>
    <t>Sama</t>
  </si>
  <si>
    <t>Selisih nominal</t>
  </si>
  <si>
    <t>Selisih qty</t>
  </si>
  <si>
    <t>Selisih qty &amp; nominal</t>
  </si>
  <si>
    <t>Hanya di SO</t>
  </si>
  <si>
    <t>Hanya di SCM</t>
  </si>
  <si>
    <t>Total</t>
  </si>
  <si>
    <t>Pencocokan berdasarkan nama barang. Qty SCM sudah disetarakan ke satuan SO (gram→kg, ml→liter). Beda tanggal (30 Sep vs 7 Okt) bisa memengaruhi selisih.</t>
  </si>
  <si>
    <t>Nama Barang</t>
  </si>
  <si>
    <t>Satuan</t>
  </si>
  <si>
    <t>Qty SO</t>
  </si>
  <si>
    <t>Qty SCM</t>
  </si>
  <si>
    <t>Selisih Qty</t>
  </si>
  <si>
    <t>Nominal SO (Rp)</t>
  </si>
  <si>
    <t>Nominal SCM (Rp)</t>
  </si>
  <si>
    <t>Key</t>
  </si>
  <si>
    <t>Satuan SCM</t>
  </si>
  <si>
    <t>Faktor</t>
  </si>
  <si>
    <t>transwhippingcreamgold</t>
  </si>
  <si>
    <t>handgloveplastik</t>
  </si>
  <si>
    <t>plastikopp15x25</t>
  </si>
  <si>
    <t>premixgulabrownies</t>
  </si>
  <si>
    <t>tegralmochibread</t>
  </si>
  <si>
    <t>pewarnacrossorange60ml</t>
  </si>
  <si>
    <t>coverdessertblueberry</t>
  </si>
  <si>
    <t>pastriciadustingsugar1x10kg</t>
  </si>
  <si>
    <t>dusgeneral250pcs</t>
  </si>
  <si>
    <t>terigustupahijau25kg</t>
  </si>
  <si>
    <t>hiramannasp20kg</t>
  </si>
  <si>
    <t>crystaljelly5kg</t>
  </si>
  <si>
    <t>dusmochichococrunchy</t>
  </si>
  <si>
    <t>calsium20kg</t>
  </si>
  <si>
    <t>gularafinasi50kg</t>
  </si>
  <si>
    <t>dusbolupisangcoklatkeju</t>
  </si>
  <si>
    <t>chessyprocesscreamcheese19kg</t>
  </si>
  <si>
    <t>gulapasirkiloan</t>
  </si>
  <si>
    <t>patungsepakbola</t>
  </si>
  <si>
    <t>papercase3029g1bulat</t>
  </si>
  <si>
    <t>terigutalimas25kg</t>
  </si>
  <si>
    <t>lilinspiralpendekgold1x50pack</t>
  </si>
  <si>
    <t>dusdonatvol6</t>
  </si>
  <si>
    <t>coverdessertmango</t>
  </si>
  <si>
    <t>nucomaltinecrunchy5kg</t>
  </si>
  <si>
    <t>patunghellokitybesar</t>
  </si>
  <si>
    <t>patungnaruto</t>
  </si>
  <si>
    <t>stickerdubaichewycookies</t>
  </si>
  <si>
    <t>sosisayam1kg</t>
  </si>
  <si>
    <t>dusmochigreenteaspesial</t>
  </si>
  <si>
    <t>terigusegitigabiru25kg</t>
  </si>
  <si>
    <t>selainanas</t>
  </si>
  <si>
    <t>cheesymozarella4x23kg</t>
  </si>
  <si>
    <t>lilinkriting1x100pack</t>
  </si>
  <si>
    <t>lilinkritinghijau1x100pack</t>
  </si>
  <si>
    <t>pewarnacrossroyalblue450ml</t>
  </si>
  <si>
    <t>lilinspiralpendekrainbow1x50pack</t>
  </si>
  <si>
    <t>lilinspiralpendekred1x50pack</t>
  </si>
  <si>
    <t>plastikrotitawarvol11</t>
  </si>
  <si>
    <t>backroundangrybird</t>
  </si>
  <si>
    <t>lilinspiralpendekgreen1x50pack</t>
  </si>
  <si>
    <t>redhandsoap5liter</t>
  </si>
  <si>
    <t>dusmochioreospesial</t>
  </si>
  <si>
    <t>stickerdubaichewycookiesbesar</t>
  </si>
  <si>
    <t>patungdora</t>
  </si>
  <si>
    <t>lilinspiralpendekrosegold1x50pack</t>
  </si>
  <si>
    <t>backroundkecilprincess</t>
  </si>
  <si>
    <t>kresekpolosuk40</t>
  </si>
  <si>
    <t>susuuhtfullcreamdiamond12x1l</t>
  </si>
  <si>
    <t>topperultahdinosaurus12set</t>
  </si>
  <si>
    <t>topperultahthomas12set</t>
  </si>
  <si>
    <t>mutiarasilver14mm</t>
  </si>
  <si>
    <t>bakingpowderxenada1x25kg</t>
  </si>
  <si>
    <t>topperultahhellokitty12set</t>
  </si>
  <si>
    <t>topperkertas12set</t>
  </si>
  <si>
    <t>topperultahbatman12set</t>
  </si>
  <si>
    <t>dusmochidurianspesial</t>
  </si>
  <si>
    <t>papercase3017bulat200</t>
  </si>
  <si>
    <t>mutiarasilver6mm</t>
  </si>
  <si>
    <t>tepungberasputih20x500gr</t>
  </si>
  <si>
    <t>patungshauwnthesheep</t>
  </si>
  <si>
    <t>topperultahboboboi12set</t>
  </si>
  <si>
    <t>mutiarasilver8mm</t>
  </si>
  <si>
    <t>foundanbakel</t>
  </si>
  <si>
    <t>balonfoilhurufaz10pack</t>
  </si>
  <si>
    <t>backroundcars</t>
  </si>
  <si>
    <t>topperultahtayoo12set</t>
  </si>
  <si>
    <t>backroundspiderman</t>
  </si>
  <si>
    <t>maglamkopi</t>
  </si>
  <si>
    <t>topperultahdoraemon12set</t>
  </si>
  <si>
    <t>stickerlogopemkot</t>
  </si>
  <si>
    <t>duslapistiramisu</t>
  </si>
  <si>
    <t>gulacairrbhfs551x30kg</t>
  </si>
  <si>
    <t>patungben10</t>
  </si>
  <si>
    <t>coverdessertchocolate</t>
  </si>
  <si>
    <t>plastikpe40x60capbawang</t>
  </si>
  <si>
    <t>bonigrasa50pah1x25kg</t>
  </si>
  <si>
    <t>tepungtapiokapaktani</t>
  </si>
  <si>
    <t>susukentalmanistigasapi48x500ml</t>
  </si>
  <si>
    <t>maizenacornstrach25kg</t>
  </si>
  <si>
    <t>tatakanamor22x22kotak</t>
  </si>
  <si>
    <t>plastikopp14x18</t>
  </si>
  <si>
    <t>backgroundshofia</t>
  </si>
  <si>
    <t>patungthomas</t>
  </si>
  <si>
    <t>backroundkecilmarsha</t>
  </si>
  <si>
    <t>backgroundben10</t>
  </si>
  <si>
    <t>topperultahupinipin12set</t>
  </si>
  <si>
    <t>lilinkritingmix1x100pack</t>
  </si>
  <si>
    <t>sunbelltunachunkinoil48pcs</t>
  </si>
  <si>
    <t>patungshopia</t>
  </si>
  <si>
    <t>topperultahcars12set</t>
  </si>
  <si>
    <t>topperultahultraman12set</t>
  </si>
  <si>
    <t>tepungtapioka</t>
  </si>
  <si>
    <t>patungspongebob</t>
  </si>
  <si>
    <t>patungdragonball</t>
  </si>
  <si>
    <t>ladabubuk</t>
  </si>
  <si>
    <t>patungnarutochibi</t>
  </si>
  <si>
    <t>backroundspongebob</t>
  </si>
  <si>
    <t>backroundfrozen</t>
  </si>
  <si>
    <t>backroundhellokitty</t>
  </si>
  <si>
    <t>bubblewrap</t>
  </si>
  <si>
    <t>pewarnaungucapkupukupu</t>
  </si>
  <si>
    <t>gelatin1kg</t>
  </si>
  <si>
    <t>patungangrybirdplastik</t>
  </si>
  <si>
    <t>backroundkecilspiderman</t>
  </si>
  <si>
    <t>mandarinorangewilmond</t>
  </si>
  <si>
    <t>backroundboboboikecil</t>
  </si>
  <si>
    <t>kertasfotoa4</t>
  </si>
  <si>
    <t>mikamooncake</t>
  </si>
  <si>
    <t>pewarnapinkcapkupukupu</t>
  </si>
  <si>
    <t>backroundkecilhellokitty</t>
  </si>
  <si>
    <t>plazagochococrunchy1kg</t>
  </si>
  <si>
    <t>lagiechicchoc</t>
  </si>
  <si>
    <t>backroundthomas</t>
  </si>
  <si>
    <t>plastikhdpolos40x60</t>
  </si>
  <si>
    <t>patungtayo</t>
  </si>
  <si>
    <t>coklatbubukdanishgradea</t>
  </si>
  <si>
    <t>plazafiestaviolet</t>
  </si>
  <si>
    <t>stickercookiestutuptoples</t>
  </si>
  <si>
    <t>mauripan20x500gr</t>
  </si>
  <si>
    <t>lilinspiralpendeksilver1x50pack</t>
  </si>
  <si>
    <t>redbellviolet30ml</t>
  </si>
  <si>
    <t>backrounddoraemon</t>
  </si>
  <si>
    <t>balonfoilangka0910pack</t>
  </si>
  <si>
    <t>topperultahbabyshark12set</t>
  </si>
  <si>
    <t>caberawit</t>
  </si>
  <si>
    <t>nevadamauripan</t>
  </si>
  <si>
    <t>zeestrawberry</t>
  </si>
  <si>
    <t>kresekjumbouk5050pcs</t>
  </si>
  <si>
    <t>tatakan22x22kotak</t>
  </si>
  <si>
    <t>tatakan28x28kotak</t>
  </si>
  <si>
    <t>lilinkritingsilver1x100pack</t>
  </si>
  <si>
    <t>lilinkritinggold1x100pack</t>
  </si>
  <si>
    <t>pewarnacrosschocolate450ml</t>
  </si>
  <si>
    <t>lilinkritingbiru1x100pack</t>
  </si>
  <si>
    <t>lilinkritingrosegold1x100pack</t>
  </si>
  <si>
    <t>palmiabos1x15kg</t>
  </si>
  <si>
    <t>pewarnacrosssuperred60ml</t>
  </si>
  <si>
    <t>lilinkritingpurple1x100pack</t>
  </si>
  <si>
    <t>lilinkritingmerah1x100pack</t>
  </si>
  <si>
    <t>susucairindomilk12x1liter</t>
  </si>
  <si>
    <t>gasportable</t>
  </si>
  <si>
    <t>pewarnakuningmudacapkupukupu12x12x15ml</t>
  </si>
  <si>
    <t>amandamargarin1x15kg</t>
  </si>
  <si>
    <t>pewarnacrossblackphantom60ml</t>
  </si>
  <si>
    <t>vanilicrystal</t>
  </si>
  <si>
    <t>filmapuffpastry12x1kg</t>
  </si>
  <si>
    <t>pastamoccacapkupukupu6x12x60ml</t>
  </si>
  <si>
    <t>almonesia</t>
  </si>
  <si>
    <t>premixmentegabasic</t>
  </si>
  <si>
    <t>pewarnahijaumuda30ml</t>
  </si>
  <si>
    <t>airmineral220ml</t>
  </si>
  <si>
    <t>ch121x3000pcs</t>
  </si>
  <si>
    <t>abonayampedas</t>
  </si>
  <si>
    <t>agaragarswallow</t>
  </si>
  <si>
    <t>alaskotak10x10</t>
  </si>
  <si>
    <t>alaskotakemaskecil</t>
  </si>
  <si>
    <t>anggur</t>
  </si>
  <si>
    <t>ayamfillet</t>
  </si>
  <si>
    <t>abonayam</t>
  </si>
  <si>
    <t>abonsapipiala4x1kg</t>
  </si>
  <si>
    <t>alasbulatemaskecil</t>
  </si>
  <si>
    <t>alassegitigaemaskecil</t>
  </si>
  <si>
    <t>anchorcreamcheese12x1kg</t>
  </si>
  <si>
    <t>bakerinplus20x500gr</t>
  </si>
  <si>
    <t>bawangmerah1kg</t>
  </si>
  <si>
    <t>bawangputih1kg</t>
  </si>
  <si>
    <t>bihun</t>
  </si>
  <si>
    <t>biskuitmarie</t>
  </si>
  <si>
    <t>biskuitrodeo</t>
  </si>
  <si>
    <t>bumbukareindofood</t>
  </si>
  <si>
    <t>bathroomroolsmartdue1100roll</t>
  </si>
  <si>
    <t>bawangbombay</t>
  </si>
  <si>
    <t>bawangdaun</t>
  </si>
  <si>
    <t>blackcoockiecrumb5kg</t>
  </si>
  <si>
    <t>bunfallingpandan1kg</t>
  </si>
  <si>
    <t>bunfallingredbean1kg</t>
  </si>
  <si>
    <t>cakecase</t>
  </si>
  <si>
    <t>calsiumpropionateniacet1x25kg</t>
  </si>
  <si>
    <t>chefmatepastechococrunch4x5kg</t>
  </si>
  <si>
    <t>chickenseasoningpowderknorr1kg</t>
  </si>
  <si>
    <t>coklatpastarimbo</t>
  </si>
  <si>
    <t>collataglazedark</t>
  </si>
  <si>
    <t>creamfillclassicbanana</t>
  </si>
  <si>
    <t>chefamatecocoapowderzak10kg</t>
  </si>
  <si>
    <t>chefmatestickdark8x1kg</t>
  </si>
  <si>
    <t>creamfillvanila5kg</t>
  </si>
  <si>
    <t>cupbentocake</t>
  </si>
  <si>
    <t>doiliespaper</t>
  </si>
  <si>
    <t>dusbfultah22x22</t>
  </si>
  <si>
    <t>dusbfultah28x28</t>
  </si>
  <si>
    <t>duslapissurabaya</t>
  </si>
  <si>
    <t>dusonlineshopisi2</t>
  </si>
  <si>
    <t>dusonlineshopisi4</t>
  </si>
  <si>
    <t>dusonlineshopisi6</t>
  </si>
  <si>
    <t>dussnackbox12x12</t>
  </si>
  <si>
    <t>dussnackbox14x12</t>
  </si>
  <si>
    <t>dishwash5liter</t>
  </si>
  <si>
    <t>dus20x203varian</t>
  </si>
  <si>
    <t>dus22x223varian</t>
  </si>
  <si>
    <t>dusbollenallvarian</t>
  </si>
  <si>
    <t>dusbolupandan</t>
  </si>
  <si>
    <t>dusbolupisangoriginalbaru</t>
  </si>
  <si>
    <t>dusbolupisangspecialgeneral</t>
  </si>
  <si>
    <t>dusbrownieskukus</t>
  </si>
  <si>
    <t>dusbrowniestalas</t>
  </si>
  <si>
    <t>dusdonatvol4laminasi</t>
  </si>
  <si>
    <t>duslapiscocopandan</t>
  </si>
  <si>
    <t>duslapisfulltalas</t>
  </si>
  <si>
    <t>duslapisgreentea</t>
  </si>
  <si>
    <t>duslapistalasoriginal</t>
  </si>
  <si>
    <t>dusrollcake</t>
  </si>
  <si>
    <t>dusslicecake11x13x12</t>
  </si>
  <si>
    <t>dussnackbox14x14</t>
  </si>
  <si>
    <t>dussnackbox16x16</t>
  </si>
  <si>
    <t>duschiffonsensasi</t>
  </si>
  <si>
    <t>elmerchocochip</t>
  </si>
  <si>
    <t>elmerglazedark2x5kg</t>
  </si>
  <si>
    <t>elmerglazegreentea2x5kg</t>
  </si>
  <si>
    <t>elmerglazetiramisu2x5kg</t>
  </si>
  <si>
    <t>elmerglazewhite2x5kg</t>
  </si>
  <si>
    <t>elmerglazeavocado2x5kg</t>
  </si>
  <si>
    <t>elmerglazetaro2x5kg</t>
  </si>
  <si>
    <t>floorcleaner5liter</t>
  </si>
  <si>
    <t>gulahalusclarisorange</t>
  </si>
  <si>
    <t>garpuplastikkueultah</t>
  </si>
  <si>
    <t>goldenbrownredvelvet</t>
  </si>
  <si>
    <t>goldfillstrawberry5kg</t>
  </si>
  <si>
    <t>gulahalusclarismerah4kg</t>
  </si>
  <si>
    <t>haanwipycream</t>
  </si>
  <si>
    <t>if10020x500gr</t>
  </si>
  <si>
    <t>jamurkaleng</t>
  </si>
  <si>
    <t>khrobert</t>
  </si>
  <si>
    <t>kejuwincheezcustomc8x2kg</t>
  </si>
  <si>
    <t>kemiri</t>
  </si>
  <si>
    <t>kentang</t>
  </si>
  <si>
    <t>kertasroti12x22</t>
  </si>
  <si>
    <t>kertasroti22x22</t>
  </si>
  <si>
    <t>kertasrotidiameter13</t>
  </si>
  <si>
    <t>kertasrotidiameter17</t>
  </si>
  <si>
    <t>kunafakering</t>
  </si>
  <si>
    <t>kacangcincang1kgx10</t>
  </si>
  <si>
    <t>kejuwincheez8x2kg</t>
  </si>
  <si>
    <t>keranjangmochi</t>
  </si>
  <si>
    <t>kertasroti12x252000spesial</t>
  </si>
  <si>
    <t>kertasroti23x232000oribesar</t>
  </si>
  <si>
    <t>kertasroti23x332000talas</t>
  </si>
  <si>
    <t>kertasrotiburam</t>
  </si>
  <si>
    <t>kismislionsunraisin</t>
  </si>
  <si>
    <t>korekapigas</t>
  </si>
  <si>
    <t>kresek24x4047750l</t>
  </si>
  <si>
    <t>kresekdonatisi61000</t>
  </si>
  <si>
    <t>kresekpolosuk35</t>
  </si>
  <si>
    <t>kresekroti30x28253500</t>
  </si>
  <si>
    <t>lepattastrawberry1x10kg</t>
  </si>
  <si>
    <t>lilinangkamerah0</t>
  </si>
  <si>
    <t>lilinangkamerah1</t>
  </si>
  <si>
    <t>lilinangkamerah2</t>
  </si>
  <si>
    <t>lilinangkamerah3</t>
  </si>
  <si>
    <t>lilinangkamerah4</t>
  </si>
  <si>
    <t>lilinangkamerah5</t>
  </si>
  <si>
    <t>lilinangkamerah6</t>
  </si>
  <si>
    <t>lilinangkamerah7</t>
  </si>
  <si>
    <t>lilinangkamerah8</t>
  </si>
  <si>
    <t>lilinangkamerah9</t>
  </si>
  <si>
    <t>lotusbiscoff</t>
  </si>
  <si>
    <t>labelmochiblueberry1x500pcs</t>
  </si>
  <si>
    <t>labelmochicoklat1x500pcs</t>
  </si>
  <si>
    <t>labelmochidurian1x500pcs</t>
  </si>
  <si>
    <t>labelmochimocca1x500pcs</t>
  </si>
  <si>
    <t>labelmochipandansuji1x500pcs</t>
  </si>
  <si>
    <t>labelmochistrawberry1x500pcs</t>
  </si>
  <si>
    <t>lepattarealfruitdurian1x8kg</t>
  </si>
  <si>
    <t>lilinangka0emas1x100pcs</t>
  </si>
  <si>
    <t>lilinangka0gliter1x12pcs</t>
  </si>
  <si>
    <t>lilinangka1emas1x100pcs</t>
  </si>
  <si>
    <t>lilinangka1gliter1x12pcs</t>
  </si>
  <si>
    <t>lilinangka2emas1x100pcs</t>
  </si>
  <si>
    <t>lilinangka2gliter1x12pcs</t>
  </si>
  <si>
    <t>lilinangka3emas1x100pcs</t>
  </si>
  <si>
    <t>lilinangka3gliter1x12pcs</t>
  </si>
  <si>
    <t>lilinangka4emas1x100pcs</t>
  </si>
  <si>
    <t>lilinangka4gliter1x12pcs</t>
  </si>
  <si>
    <t>lilinangka5emas1x100pcs</t>
  </si>
  <si>
    <t>lilinangka5gliter1x12pcs</t>
  </si>
  <si>
    <t>lilinangka6emas1x100pcs</t>
  </si>
  <si>
    <t>lilinangka6gliter1x12pcs</t>
  </si>
  <si>
    <t>lilinangka7emas1x100pcs</t>
  </si>
  <si>
    <t>lilinangka7gliter1x12pcs</t>
  </si>
  <si>
    <t>lilinangka8emas1x100pcs</t>
  </si>
  <si>
    <t>lilinangka8gliter1x12pcs</t>
  </si>
  <si>
    <t>lilinangka9emas1x100pcs</t>
  </si>
  <si>
    <t>lilinangka9gliter1x12pcs</t>
  </si>
  <si>
    <t>lilinmagic1x24pack</t>
  </si>
  <si>
    <t>lilinpappermint1x24pack</t>
  </si>
  <si>
    <t>madutj150gr</t>
  </si>
  <si>
    <t>madusarismokedbeef</t>
  </si>
  <si>
    <t>margarindelilen15kg</t>
  </si>
  <si>
    <t>marshmellow</t>
  </si>
  <si>
    <t>mclewischilia00455kg</t>
  </si>
  <si>
    <t>mclewismayolppouch1kg</t>
  </si>
  <si>
    <t>mclewistomatoa00457kg</t>
  </si>
  <si>
    <t>meisesplazabiru125kg</t>
  </si>
  <si>
    <t>mercoladebiscoaspread5kg</t>
  </si>
  <si>
    <t>mikabrowniessputih</t>
  </si>
  <si>
    <t>mikaroll8</t>
  </si>
  <si>
    <t>madusarisosis25x1000gr</t>
  </si>
  <si>
    <t>maglampastagreentea1kg</t>
  </si>
  <si>
    <t>maglampastatiramisu1kg</t>
  </si>
  <si>
    <t>mercoladebluebarleymint12x1kg</t>
  </si>
  <si>
    <t>mercoladeleafgreenmelon12x1kg</t>
  </si>
  <si>
    <t>mercoladelemonfresh12x1kg</t>
  </si>
  <si>
    <t>mercoladeorangesunkist12x1kg</t>
  </si>
  <si>
    <t>mercoladepinkstrawberry12x1kg</t>
  </si>
  <si>
    <t>mercoladetiramisu12x1kg</t>
  </si>
  <si>
    <t>mercoladevioletblueberry12x1kg</t>
  </si>
  <si>
    <t>mercoladewhite4x5kg</t>
  </si>
  <si>
    <t>mikabrowniesbakar200set</t>
  </si>
  <si>
    <t>mikabrowniesstechno300set</t>
  </si>
  <si>
    <t>mikact15150pcs</t>
  </si>
  <si>
    <t>oxygenabsorber</t>
  </si>
  <si>
    <t>oregano</t>
  </si>
  <si>
    <t>pastapandanlionbrother25kg</t>
  </si>
  <si>
    <t>pastapistachio</t>
  </si>
  <si>
    <t>pastaredbelltaro55ml</t>
  </si>
  <si>
    <t>pewarnabirucapkupukupu</t>
  </si>
  <si>
    <t>pewarnacrosshijau60ml</t>
  </si>
  <si>
    <t>pewarnacrosspink60ml</t>
  </si>
  <si>
    <t>pewarnacrossroyalblue60ml</t>
  </si>
  <si>
    <t>pewarnacrossskyblue60ml</t>
  </si>
  <si>
    <t>pewarnacrossviolet60ml</t>
  </si>
  <si>
    <t>pewarnacrosseggyellow60ml</t>
  </si>
  <si>
    <t>pewarnahitamcapkupukupu</t>
  </si>
  <si>
    <t>pisaukuebrownis</t>
  </si>
  <si>
    <t>pitamerah</t>
  </si>
  <si>
    <t>plastikrotitawarhdvol11</t>
  </si>
  <si>
    <t>plastikrotitawarhdvol22</t>
  </si>
  <si>
    <t>polibag60x100</t>
  </si>
  <si>
    <t>polibag90x120</t>
  </si>
  <si>
    <t>premixdubaichewycookie</t>
  </si>
  <si>
    <t>premixfillingcoklatrimbo</t>
  </si>
  <si>
    <t>premixgulabollen</t>
  </si>
  <si>
    <t>premixgulabolupisang</t>
  </si>
  <si>
    <t>premixguladanishcoklatbelepotan</t>
  </si>
  <si>
    <t>premixgulalapistalas</t>
  </si>
  <si>
    <t>premixgularotimanis</t>
  </si>
  <si>
    <t>premixgularotitawar</t>
  </si>
  <si>
    <t>premixgularotitawarekonomis</t>
  </si>
  <si>
    <t>premixgulasus</t>
  </si>
  <si>
    <t>premixgulatart</t>
  </si>
  <si>
    <t>premixscmamericanbrownies</t>
  </si>
  <si>
    <t>premixscmbollen</t>
  </si>
  <si>
    <t>premixscmbolupisang</t>
  </si>
  <si>
    <t>premixscmbuttersugar</t>
  </si>
  <si>
    <t>premixscmchocoroll</t>
  </si>
  <si>
    <t>premixscmdanishcoklatbelepotan</t>
  </si>
  <si>
    <t>premixscmjappanesecake</t>
  </si>
  <si>
    <t>premixscmlapistalas</t>
  </si>
  <si>
    <t>premixscmmilkbath</t>
  </si>
  <si>
    <t>premixscmmochi</t>
  </si>
  <si>
    <t>premixscmrollcake</t>
  </si>
  <si>
    <t>premixscmrotimanis</t>
  </si>
  <si>
    <t>premixscmrotitawar</t>
  </si>
  <si>
    <t>premixscmrotitawarekonomis</t>
  </si>
  <si>
    <t>premixscmspongecakecoklat</t>
  </si>
  <si>
    <t>premixscmsus</t>
  </si>
  <si>
    <t>premixscmtart</t>
  </si>
  <si>
    <t>premixscmvlasus</t>
  </si>
  <si>
    <t>palmiasupercake1x15kg</t>
  </si>
  <si>
    <t>paperbowl500mltutup</t>
  </si>
  <si>
    <t>papercase3018oval200</t>
  </si>
  <si>
    <t>paperbagbrownkraft150gr24x15x29</t>
  </si>
  <si>
    <t>paperbagbrownkraft200gr24x25x25</t>
  </si>
  <si>
    <t>paperbagbrownsamson85gr18x115x28</t>
  </si>
  <si>
    <t>paperbagforfrance</t>
  </si>
  <si>
    <t>papercase3051darkgreenmuffin50pak</t>
  </si>
  <si>
    <t>papercase3312hexan18moulten100</t>
  </si>
  <si>
    <t>paprikahijau</t>
  </si>
  <si>
    <t>paprikamerah</t>
  </si>
  <si>
    <t>pastagreenteatoefico</t>
  </si>
  <si>
    <t>pastapandancapkupukupu6x12x60ml</t>
  </si>
  <si>
    <t>pastatarobrehmen</t>
  </si>
  <si>
    <t>piringkuesilver1x300x10pcs</t>
  </si>
  <si>
    <t>piringkueemas1x250x10pcs</t>
  </si>
  <si>
    <t>pisangrajamatang</t>
  </si>
  <si>
    <t>pisaukueplastikbesar</t>
  </si>
  <si>
    <t>plastikopp10x30</t>
  </si>
  <si>
    <t>plastikpe12x30capbawang</t>
  </si>
  <si>
    <t>plastikpe14x35capbawang</t>
  </si>
  <si>
    <t>plastikpe20x40capbawang</t>
  </si>
  <si>
    <t>plastikpe38x25capbawang</t>
  </si>
  <si>
    <t>plastikrotitawarvol22</t>
  </si>
  <si>
    <t>plastiksegitigabesar</t>
  </si>
  <si>
    <t>potasiumsorbat25kg</t>
  </si>
  <si>
    <t>royaleggtart</t>
  </si>
  <si>
    <t>royalsupercream</t>
  </si>
  <si>
    <t>santancocomaxi65ml</t>
  </si>
  <si>
    <t>saustiram1liter</t>
  </si>
  <si>
    <t>sendokmilkbun</t>
  </si>
  <si>
    <t>solatif</t>
  </si>
  <si>
    <t>sosissapimawar500gr</t>
  </si>
  <si>
    <t>spbolugulungekonomis</t>
  </si>
  <si>
    <t>spbolupisang</t>
  </si>
  <si>
    <t>spbrownies</t>
  </si>
  <si>
    <t>splapissurabaya</t>
  </si>
  <si>
    <t>splapistalas</t>
  </si>
  <si>
    <t>spspongecakecoklat</t>
  </si>
  <si>
    <t>spspongecakevanila</t>
  </si>
  <si>
    <t>sptart</t>
  </si>
  <si>
    <t>stickerbento</t>
  </si>
  <si>
    <t>stickercookiesrasa</t>
  </si>
  <si>
    <t>stickerrotisisir</t>
  </si>
  <si>
    <t>strawberry</t>
  </si>
  <si>
    <t>susububukfitamil25kg</t>
  </si>
  <si>
    <t>sarungtangankain</t>
  </si>
  <si>
    <t>sendokmilkbath</t>
  </si>
  <si>
    <t>sodakuemalan25kg</t>
  </si>
  <si>
    <t>spontancakesoftenerwysman1x25kg</t>
  </si>
  <si>
    <t>stickerboluamoroval43pcs</t>
  </si>
  <si>
    <t>stickerbungaboluamor</t>
  </si>
  <si>
    <t>stickernayla1pcs</t>
  </si>
  <si>
    <t>susububukf0425kg</t>
  </si>
  <si>
    <t>tehbotolsosro200ml</t>
  </si>
  <si>
    <t>telur</t>
  </si>
  <si>
    <t>tepungpanir</t>
  </si>
  <si>
    <t>tepungsagu</t>
  </si>
  <si>
    <t>toplestutupgold80x15cm</t>
  </si>
  <si>
    <t>topperakrilik100pcs</t>
  </si>
  <si>
    <t>topperakrilikkarakter</t>
  </si>
  <si>
    <t>topperkueamorcake</t>
  </si>
  <si>
    <t>tatakan22x22bulat</t>
  </si>
  <si>
    <t>tegraldonatprime10kg</t>
  </si>
  <si>
    <t>tepungmuffincokelat1x10kg</t>
  </si>
  <si>
    <t>tepungmuffinvanila1x10kg</t>
  </si>
  <si>
    <t>terigupremiumhanachiffon10kg</t>
  </si>
  <si>
    <t>thinwall300ml20x25set</t>
  </si>
  <si>
    <t>tiraifoilmetalik</t>
  </si>
  <si>
    <t>tiraifoildof</t>
  </si>
  <si>
    <t>topperakrilikhappybirthdaybesar</t>
  </si>
  <si>
    <t>topperakrilikhappybridetobe</t>
  </si>
  <si>
    <t>topperultahastronot12set</t>
  </si>
  <si>
    <t>topperultahhewan12set</t>
  </si>
  <si>
    <t>topperultahmermaid12set</t>
  </si>
  <si>
    <t>topperultahprincess12set</t>
  </si>
  <si>
    <t>topperultahkudafoni12set</t>
  </si>
  <si>
    <t>transferimage</t>
  </si>
  <si>
    <t>ubepowder</t>
  </si>
  <si>
    <t>vanilacreampowder1kg</t>
  </si>
  <si>
    <t>vanilaessens</t>
  </si>
  <si>
    <t>wortel1kg</t>
  </si>
  <si>
    <t>wiltonblackforest1liter</t>
  </si>
  <si>
    <t>wincheezfilling8x1kg</t>
  </si>
  <si>
    <t>Sheet Sumber</t>
  </si>
  <si>
    <t>Kode Barang</t>
  </si>
  <si>
    <t>Uom</t>
  </si>
  <si>
    <t>Harga</t>
  </si>
  <si>
    <t>Qty Stok</t>
  </si>
  <si>
    <t>Jumlah (Rp)</t>
  </si>
  <si>
    <t>BAHAN BAKU</t>
  </si>
  <si>
    <t>22% Reduced Fat Natural Cheddar Cheese Block @8X2.5 Kg</t>
  </si>
  <si>
    <t>kg</t>
  </si>
  <si>
    <t>22reducedfatnaturalcheddarcheeseblock8x25kg</t>
  </si>
  <si>
    <t>Abon</t>
  </si>
  <si>
    <t>abon</t>
  </si>
  <si>
    <t>Abon Ayam</t>
  </si>
  <si>
    <t>Acta Classic @1X10 Kg</t>
  </si>
  <si>
    <t>actaclassic1x10kg</t>
  </si>
  <si>
    <t>DECORGEL NEUTRAL 3,15 KG</t>
  </si>
  <si>
    <t>decorgelneutral315kg</t>
  </si>
  <si>
    <t>Alang-Alang</t>
  </si>
  <si>
    <t>Pcs</t>
  </si>
  <si>
    <t>alangalang</t>
  </si>
  <si>
    <t>Alas Bulat Emas Kecil</t>
  </si>
  <si>
    <t>pcs</t>
  </si>
  <si>
    <t>Alas Segitiga Emas Kecil</t>
  </si>
  <si>
    <t>Alba Shredded Mozarella 6X2 Kg</t>
  </si>
  <si>
    <t>albashreddedmozarella6x2kg</t>
  </si>
  <si>
    <t>Almonesia</t>
  </si>
  <si>
    <t>ALBA GRATED PARMESAN 6X2 KG</t>
  </si>
  <si>
    <t>albagratedparmesan6x2kg</t>
  </si>
  <si>
    <t>Amanda Margarin @1X15Kg</t>
  </si>
  <si>
    <t>Amor Donat Yogurt Mix @1X10Kg</t>
  </si>
  <si>
    <t>amordonatyogurtmix1x10kg</t>
  </si>
  <si>
    <t>Anchor Cream Cheese @12X1Kg</t>
  </si>
  <si>
    <t>Alumunium Foil</t>
  </si>
  <si>
    <t>Roll</t>
  </si>
  <si>
    <t>alumuniumfoil</t>
  </si>
  <si>
    <t>Background Ben 10</t>
  </si>
  <si>
    <t>Background Shofia</t>
  </si>
  <si>
    <t>Backround Angry Bird</t>
  </si>
  <si>
    <t>Backround Boboboi Kecil</t>
  </si>
  <si>
    <t>Backround Cars</t>
  </si>
  <si>
    <t>Backround Doraemon</t>
  </si>
  <si>
    <t>Backround Frozen</t>
  </si>
  <si>
    <t>Backround Hello Kitty</t>
  </si>
  <si>
    <t>Backround Kecil Cars</t>
  </si>
  <si>
    <t>backroundkecilcars</t>
  </si>
  <si>
    <t>Backround Kecil Doraemon</t>
  </si>
  <si>
    <t>backroundkecildoraemon</t>
  </si>
  <si>
    <t>Backround Kecil Frozen</t>
  </si>
  <si>
    <t>backroundkecilfrozen</t>
  </si>
  <si>
    <t>Backround Kecil Hello Kitty</t>
  </si>
  <si>
    <t>Backround Kecil Marsha</t>
  </si>
  <si>
    <t>Backround Kecil Princess</t>
  </si>
  <si>
    <t>Backround Kecil Spiderman</t>
  </si>
  <si>
    <t>Backround Spiderman</t>
  </si>
  <si>
    <t>Backround Spongebob</t>
  </si>
  <si>
    <t>Baking Powder Xenada @1X25Kg</t>
  </si>
  <si>
    <t>Backround Thomas</t>
  </si>
  <si>
    <t>Beika P 500</t>
  </si>
  <si>
    <t>beikap500</t>
  </si>
  <si>
    <t>Black Coockie Crumb @5 Kg</t>
  </si>
  <si>
    <t>Kg</t>
  </si>
  <si>
    <t>Bathroom Rool Smart Due @1*100 Roll</t>
  </si>
  <si>
    <t>Bonigrasa 50 Pah @1X25 Kg</t>
  </si>
  <si>
    <t>MANDARIN ORANGE WILMOND</t>
  </si>
  <si>
    <t>jar</t>
  </si>
  <si>
    <t>Boneka Pengantin</t>
  </si>
  <si>
    <t>bonekapengantin</t>
  </si>
  <si>
    <t>Butter Milk Powder @ 1000 Gr - Pewangi Ruangan</t>
  </si>
  <si>
    <t>gram</t>
  </si>
  <si>
    <t>buttermilkpowder1000grpewangiruangan</t>
  </si>
  <si>
    <t>Calf Cheese Filling @ 8X1 Kg</t>
  </si>
  <si>
    <t>calfcheesefilling8x1kg</t>
  </si>
  <si>
    <t>Calf Cheese Filling 4X6X200Gr</t>
  </si>
  <si>
    <t>calfcheesefilling4x6x200gr</t>
  </si>
  <si>
    <t>Calf Orange @8X2 Kg</t>
  </si>
  <si>
    <t>calforange8x2kg</t>
  </si>
  <si>
    <t>Calsium @20Kg</t>
  </si>
  <si>
    <t>Caravella Fluifour Cocoa @1X5 Kg</t>
  </si>
  <si>
    <t>caravellafluifourcocoa1x5kg</t>
  </si>
  <si>
    <t>Caravella Fluifour Hazelnut @1X5 Kg</t>
  </si>
  <si>
    <t>caravellafluifourhazelnut1x5kg</t>
  </si>
  <si>
    <t>Cake Buttom Persegi Panjang</t>
  </si>
  <si>
    <t>cakebuttompersegipanjang</t>
  </si>
  <si>
    <t>Cheese Salty Filling @10X1Kg</t>
  </si>
  <si>
    <t>cheesesaltyfilling10x1kg</t>
  </si>
  <si>
    <t>Cheesy Mozarella @4X2,3 Kg</t>
  </si>
  <si>
    <t>Chefamate Cocoa Powder Zak 10Kg</t>
  </si>
  <si>
    <t>Chefmate Block 500 Gr X 24 Yuzu Lemon</t>
  </si>
  <si>
    <t>chefmateblock500grx24yuzulemon</t>
  </si>
  <si>
    <t>Chefmate Carnival 500Gr Blue Barleymint</t>
  </si>
  <si>
    <t>chefmatecarnival500grbluebarleymint</t>
  </si>
  <si>
    <t>Chefmate Carnival 500Gr Greentea</t>
  </si>
  <si>
    <t>chefmatecarnival500grgreentea</t>
  </si>
  <si>
    <t>Chefmate Carnival 500Gr Leaf Green Melon</t>
  </si>
  <si>
    <t>chefmatecarnival500grleafgreenmelon</t>
  </si>
  <si>
    <t>Chefmate Carnival 500Gr Lemon Fresh</t>
  </si>
  <si>
    <t>chefmatecarnival500grlemonfresh</t>
  </si>
  <si>
    <t>Chefmate Carnival 500Gr Orange Sunkist</t>
  </si>
  <si>
    <t>chefmatecarnival500grorangesunkist</t>
  </si>
  <si>
    <t>Chefmate Carnival 500Gr Red Strawberry</t>
  </si>
  <si>
    <t>chefmatecarnival500grredstrawberry</t>
  </si>
  <si>
    <t>Chefmate Carnival 500Gr Strawberry</t>
  </si>
  <si>
    <t>chefmatecarnival500grstrawberry</t>
  </si>
  <si>
    <t>Chefmate Carnival 500Gr Tiramisu</t>
  </si>
  <si>
    <t>chefmatecarnival500grtiramisu</t>
  </si>
  <si>
    <t>Chefmate Carnival 500Gr Violet Blueberry</t>
  </si>
  <si>
    <t>chefmatecarnival500grvioletblueberry</t>
  </si>
  <si>
    <t>Chefmate Coklat Dark @4X5 Kg</t>
  </si>
  <si>
    <t>chefmatecoklatdark4x5kg</t>
  </si>
  <si>
    <t>Chefmate Glaze 5Kg Pail Banana Caramel</t>
  </si>
  <si>
    <t>chefmateglaze5kgpailbananacaramel</t>
  </si>
  <si>
    <t>Chefmate Glaze 5Kg Pail Moccachino</t>
  </si>
  <si>
    <t>chefmateglaze5kgpailmoccachino</t>
  </si>
  <si>
    <t>Chefmate Glaze 5Kg Pail Rose</t>
  </si>
  <si>
    <t>chefmateglaze5kgpailrose</t>
  </si>
  <si>
    <t>Chefmate Glaze 5Kg Pail Strawberry</t>
  </si>
  <si>
    <t>chefmateglaze5kgpailstrawberry</t>
  </si>
  <si>
    <t>Chefmate Glaze 5Kg Pail Taro</t>
  </si>
  <si>
    <t>chefmateglaze5kgpailtaro</t>
  </si>
  <si>
    <t>Chefmate Glaze 5Kg Pail Thaitea</t>
  </si>
  <si>
    <t>chefmateglaze5kgpailthaitea</t>
  </si>
  <si>
    <t>Chefmate Glaze 5Kg Pail Tiramisu</t>
  </si>
  <si>
    <t>chefmateglaze5kgpailtiramisu</t>
  </si>
  <si>
    <t>Chefmate Glaze 5Kg Pail Vanila Caramel</t>
  </si>
  <si>
    <t>chefmateglaze5kgpailvanilacaramel</t>
  </si>
  <si>
    <t>Chefmate Glaze Coklat 2X5Kg</t>
  </si>
  <si>
    <t>chefmateglazecoklat2x5kg</t>
  </si>
  <si>
    <t>Chefmate Glaze Greentea 2X5Kg</t>
  </si>
  <si>
    <t>chefmateglazegreentea2x5kg</t>
  </si>
  <si>
    <t>Chefmate Greentea @ 12X1 Kg</t>
  </si>
  <si>
    <t>chefmategreentea12x1kg</t>
  </si>
  <si>
    <t>Chefmate Paste @4X5Kg</t>
  </si>
  <si>
    <t>chefmatepaste4x5kg</t>
  </si>
  <si>
    <t>Ch-12 @1X3000Pcs</t>
  </si>
  <si>
    <t>Chefmate Signature  @ 12X1 Kg</t>
  </si>
  <si>
    <t>chefmatesignature12x1kg</t>
  </si>
  <si>
    <t>Chefmate Stick Dark @8X1Kg</t>
  </si>
  <si>
    <t>Chefmate White @ 12X1 Kg</t>
  </si>
  <si>
    <t>chefmatewhite12x1kg</t>
  </si>
  <si>
    <t>Chefmate White Compound 1Kg Pattisier</t>
  </si>
  <si>
    <t>chefmatewhitecompound1kgpattisier</t>
  </si>
  <si>
    <t>Chessy Natural Cream Cheese @2Kg</t>
  </si>
  <si>
    <t>chessynaturalcreamcheese2kg</t>
  </si>
  <si>
    <t>Chessy Process Cream Cheese @1.9Kg</t>
  </si>
  <si>
    <t>Chopped Peanut @10Kg</t>
  </si>
  <si>
    <t>choppedpeanut10kg</t>
  </si>
  <si>
    <t>Collata Choco Chips</t>
  </si>
  <si>
    <t>collatachocochips</t>
  </si>
  <si>
    <t>CHEFMATE PASTE CHOCO CRUNCH 4X5 KG</t>
  </si>
  <si>
    <t>Cover Dessert Blueberry</t>
  </si>
  <si>
    <t>Cover Dessert Chocolate</t>
  </si>
  <si>
    <t>Cover Dessert Mango</t>
  </si>
  <si>
    <t>Crystal Jelly @5Kg</t>
  </si>
  <si>
    <t>Decorgel Glamour @1X3,15Kg</t>
  </si>
  <si>
    <t>decorgelglamour1x315kg</t>
  </si>
  <si>
    <t>COVER HAMPERS</t>
  </si>
  <si>
    <t>coverhampers</t>
  </si>
  <si>
    <t>Delifruit Dark Cherry 50 @2,7 Kg</t>
  </si>
  <si>
    <t>delifruitdarkcherry5027kg</t>
  </si>
  <si>
    <t>Delmonte Saus Sambal 5.5 Kg</t>
  </si>
  <si>
    <t>delmontesaussambal55kg</t>
  </si>
  <si>
    <t>Delmonte Saus Tomat 5.7 Kg</t>
  </si>
  <si>
    <t>delmontesaustomat57kg</t>
  </si>
  <si>
    <t>Dishwash 5Liter</t>
  </si>
  <si>
    <t>liter</t>
  </si>
  <si>
    <t>Disinfektan</t>
  </si>
  <si>
    <t>disinfektan</t>
  </si>
  <si>
    <t>Durian Medan Grade A</t>
  </si>
  <si>
    <t>durianmedangradea</t>
  </si>
  <si>
    <t>Dus 20X20 3 Varian</t>
  </si>
  <si>
    <t>Dus 22X22 3 Varian</t>
  </si>
  <si>
    <t>DUS BF ULTAH 22X22</t>
  </si>
  <si>
    <t>Dus Bf Ultah Merah</t>
  </si>
  <si>
    <t>dusbfultahmerah</t>
  </si>
  <si>
    <t>Dus Bollen All Varian</t>
  </si>
  <si>
    <t>Dus Bollen Durian</t>
  </si>
  <si>
    <t>dusbollendurian</t>
  </si>
  <si>
    <t>Dus Bolu Pandan</t>
  </si>
  <si>
    <t>Dus Bolu Pisang Blackforest</t>
  </si>
  <si>
    <t>dusbolupisangblackforest</t>
  </si>
  <si>
    <t>Dus Bolu Pisang Coklat Keju</t>
  </si>
  <si>
    <t>Dus Bolu Pisang Keju Special</t>
  </si>
  <si>
    <t>dusbolupisangkejuspecial</t>
  </si>
  <si>
    <t>Dus Bolu Pisang Original Baru</t>
  </si>
  <si>
    <t>Dus Box Nabura @250</t>
  </si>
  <si>
    <t>dusboxnabura250</t>
  </si>
  <si>
    <t>Dus Brownies Kukus</t>
  </si>
  <si>
    <t>Dus Brownies Talas</t>
  </si>
  <si>
    <t>Dus Donat -  Vol.12</t>
  </si>
  <si>
    <t>dusdonatvol12</t>
  </si>
  <si>
    <t>Dus Donat - Vol.3</t>
  </si>
  <si>
    <t>dusdonatvol3</t>
  </si>
  <si>
    <t>Dus Donat - Vol.6</t>
  </si>
  <si>
    <t>Dus Donat Vol. 4 Laminasi</t>
  </si>
  <si>
    <t>Dus Donat Vol. 4 Mika</t>
  </si>
  <si>
    <t>dusdonatvol4mika</t>
  </si>
  <si>
    <t>Dus Full Talas Mini</t>
  </si>
  <si>
    <t>dusfulltalasmini</t>
  </si>
  <si>
    <t>Dus General @250 Pcs</t>
  </si>
  <si>
    <t>Dus Lapis Coco Pandan</t>
  </si>
  <si>
    <t>Dus Lapis Full Talas</t>
  </si>
  <si>
    <t>Dus Lapis Greentea</t>
  </si>
  <si>
    <t>Dus Lapis Talas Original</t>
  </si>
  <si>
    <t>Dus Lapis Talas Original Mini</t>
  </si>
  <si>
    <t>duslapistalasoriginalmini</t>
  </si>
  <si>
    <t>Dus Lapis Talas Strawberry</t>
  </si>
  <si>
    <t>duslapistalasstrawberry</t>
  </si>
  <si>
    <t>Dus Lapis Tiramisu</t>
  </si>
  <si>
    <t>Dus Mochi Choco Crunchy</t>
  </si>
  <si>
    <t>Dus Mochi Cokelat Spesial</t>
  </si>
  <si>
    <t>dusmochicokelatspesial</t>
  </si>
  <si>
    <t>Dus Mochi Durian Spesial</t>
  </si>
  <si>
    <t>Dus Mochi Greentea Spesial</t>
  </si>
  <si>
    <t>Dus Mochi Keju Spesial</t>
  </si>
  <si>
    <t>dusmochikejuspesial</t>
  </si>
  <si>
    <t>Dus Mochi Oreo Spesial</t>
  </si>
  <si>
    <t>Dus Mochi Wijen Spesial</t>
  </si>
  <si>
    <t>dusmochiwijenspesial</t>
  </si>
  <si>
    <t>Dus Slice Cake 11X13X12</t>
  </si>
  <si>
    <t>Dus Snackbox 14X14</t>
  </si>
  <si>
    <t>Dus Snackbox 16X16</t>
  </si>
  <si>
    <t>DUS BF ULTAH 28X28</t>
  </si>
  <si>
    <t>Dusting Donat @1X5Kg</t>
  </si>
  <si>
    <t>dustingdonat1x5kg</t>
  </si>
  <si>
    <t>Elmer Glaze Avocado @2X5Kg</t>
  </si>
  <si>
    <t>Elmer Glaze Taro @2X5Kg</t>
  </si>
  <si>
    <t>Emborg Natural Cream Cheese 2 X 1.5Kg</t>
  </si>
  <si>
    <t>emborgnaturalcreamcheese2x15kg</t>
  </si>
  <si>
    <t>Floor Cleaner 5 Liter</t>
  </si>
  <si>
    <t>Fond Tiramisu @1X5Kg</t>
  </si>
  <si>
    <t>fondtiramisu1x5kg</t>
  </si>
  <si>
    <t>Foodpack Garlic Cheese Bread @12X36Pack</t>
  </si>
  <si>
    <t>foodpackgarliccheesebread12x36pack</t>
  </si>
  <si>
    <t>Foundan Bakel</t>
  </si>
  <si>
    <t>Garam</t>
  </si>
  <si>
    <t>garam</t>
  </si>
  <si>
    <t>Gelatin @1Kg</t>
  </si>
  <si>
    <t>Glass Cleaner 5 Liter (Pembersih Kaca)</t>
  </si>
  <si>
    <t>glasscleaner5literpembersihkaca</t>
  </si>
  <si>
    <t>Gloripan Instant Yeast @20X500Gr</t>
  </si>
  <si>
    <t>gloripaninstantyeast20x500gr</t>
  </si>
  <si>
    <t>Goldbullion Flaky  Shortening Pastry</t>
  </si>
  <si>
    <t>goldbullionflakyshorteningpastry</t>
  </si>
  <si>
    <t xml:space="preserve">Golden Brown Redvelvet </t>
  </si>
  <si>
    <t>Greentea Macca Powder @1X500Gram</t>
  </si>
  <si>
    <t>Gr</t>
  </si>
  <si>
    <t>greenteamaccapowder1x500gram</t>
  </si>
  <si>
    <t>Gula Cair Rb. Hfs 55% @1X30 Kg</t>
  </si>
  <si>
    <t>GULA HALUS KIS 10 KG</t>
  </si>
  <si>
    <t>gulahaluskis10kg</t>
  </si>
  <si>
    <t>Gula Pasir @1X50 Kg</t>
  </si>
  <si>
    <t>gulapasir1x50kg</t>
  </si>
  <si>
    <t>GULA PASIR VIT @50KG</t>
  </si>
  <si>
    <t>gulapasirvit50kg</t>
  </si>
  <si>
    <t>Haan Wipy Cream</t>
  </si>
  <si>
    <t>Hairnet @100 Pcs</t>
  </si>
  <si>
    <t>hairnet100pcs</t>
  </si>
  <si>
    <t>Hand Glove Latex</t>
  </si>
  <si>
    <t>Pack</t>
  </si>
  <si>
    <t>handglovelatex</t>
  </si>
  <si>
    <t>Hand Glove Nitrile Sensi</t>
  </si>
  <si>
    <t>handglovenitrilesensi</t>
  </si>
  <si>
    <t>Hand Glove Plastik</t>
  </si>
  <si>
    <t>Handsanityzer @20 Lt</t>
  </si>
  <si>
    <t>handsanityzer20lt</t>
  </si>
  <si>
    <t>HANDSANITYZER</t>
  </si>
  <si>
    <t>handsanityzer</t>
  </si>
  <si>
    <t>Hollman Soft @ 15 Kg</t>
  </si>
  <si>
    <t>hollmansoft15kg</t>
  </si>
  <si>
    <t xml:space="preserve">DUS ONLINE SHOP ISI 2 </t>
  </si>
  <si>
    <t>DUS ONLINE SHOP ISI 4</t>
  </si>
  <si>
    <t>DUS ONLINE SHOP ISI 6</t>
  </si>
  <si>
    <t>BUBBLE WRAP</t>
  </si>
  <si>
    <t>SOLATIF BESAR</t>
  </si>
  <si>
    <t>solatifbesar</t>
  </si>
  <si>
    <t>SOLATIF MERAH</t>
  </si>
  <si>
    <t>solatifmerah</t>
  </si>
  <si>
    <t>Instant Success Gold @20X500 Gram</t>
  </si>
  <si>
    <t>instantsuccessgold20x500gram</t>
  </si>
  <si>
    <t>Iqf Shredded Mozarella @1X12Kg</t>
  </si>
  <si>
    <t>iqfshreddedmozarella1x12kg</t>
  </si>
  <si>
    <t>Iqf Shredded Mozarella @1X12Kg Bonus</t>
  </si>
  <si>
    <t>iqfshreddedmozarella1x12kgbonus</t>
  </si>
  <si>
    <t>Italian Choco Powder @1X500Gram</t>
  </si>
  <si>
    <t>italianchocopowder1x500gram</t>
  </si>
  <si>
    <t>PITA SATIN</t>
  </si>
  <si>
    <t>pitasatin</t>
  </si>
  <si>
    <t xml:space="preserve">Jumbo Roll Tissue </t>
  </si>
  <si>
    <t>jumborolltissue</t>
  </si>
  <si>
    <t>K. H. Robert</t>
  </si>
  <si>
    <t>Kaneka Filling Cheese @5Kg</t>
  </si>
  <si>
    <t>kanekafillingcheese5kg</t>
  </si>
  <si>
    <t>Kardus Oleh-Oleh (Corgurated)</t>
  </si>
  <si>
    <t>kardusoleholehcorgurated</t>
  </si>
  <si>
    <t>Keju Wincheez @8X2Kg</t>
  </si>
  <si>
    <t>Keranjang Mochi</t>
  </si>
  <si>
    <t>Kertas Roti 12X25 @2000 Spesial</t>
  </si>
  <si>
    <t>Kertas Roti 20X20 @2000 Ori Kecil</t>
  </si>
  <si>
    <t>kertasroti20x202000orikecil</t>
  </si>
  <si>
    <t>Kertas Roti 23X23 @2000 Ori Besar</t>
  </si>
  <si>
    <t>Kertas Roti 23X33 @2000 Talas</t>
  </si>
  <si>
    <t>Kertas Roti Buram</t>
  </si>
  <si>
    <t>Kismis Lion Sunraisin</t>
  </si>
  <si>
    <t>Kresek  24X30/47 @1000 (S)</t>
  </si>
  <si>
    <t>kresek24x30471000s</t>
  </si>
  <si>
    <t>Kresek  24X40/47 @750 (L)</t>
  </si>
  <si>
    <t>Kresek 28X30 Spesial @1000 (S)</t>
  </si>
  <si>
    <t>kresek28x30spesial1000s</t>
  </si>
  <si>
    <t>Kresek 28X40 Spesial Tinggi @1000 (L)</t>
  </si>
  <si>
    <t>kresek28x40spesialtinggi1000l</t>
  </si>
  <si>
    <t>Kresek Donat (Isi 6) @1000</t>
  </si>
  <si>
    <t>Kresek Jumbo Uk 50 @50Pcs</t>
  </si>
  <si>
    <t xml:space="preserve">Kresek Nabura 28X40 </t>
  </si>
  <si>
    <t>kreseknabura28x40</t>
  </si>
  <si>
    <t>Kresek Nabura 40X60</t>
  </si>
  <si>
    <t>kreseknabura40x60</t>
  </si>
  <si>
    <t>Kresek Polos Uk 35</t>
  </si>
  <si>
    <t>Kresek Roti 30X28/25 @3500</t>
  </si>
  <si>
    <t>Label Mochi Blueberry @1X500Pcs</t>
  </si>
  <si>
    <t>Label Mochi Coklat @1X500Pcs</t>
  </si>
  <si>
    <t>Label Mochi Durian @1X500Pcs</t>
  </si>
  <si>
    <t>Label Mochi Mocca @1X500Pcs</t>
  </si>
  <si>
    <t>Label Mochi Pandan Suji @1X500Pcs</t>
  </si>
  <si>
    <t>Label Mochi Strawberry @1X500Pcs</t>
  </si>
  <si>
    <t>Lemontea Powder @1X500Gram</t>
  </si>
  <si>
    <t>lemonteapowder1x500gram</t>
  </si>
  <si>
    <t>Lepatta Realfruit Durian @1X8Kg</t>
  </si>
  <si>
    <t>Topper Ultah Boboboi @12 set</t>
  </si>
  <si>
    <t>Topper Ultah Hello kitty @12 set</t>
  </si>
  <si>
    <t>Topper Ultah Tayoo @12 set</t>
  </si>
  <si>
    <t>Topper Ultah Doraemon @12set</t>
  </si>
  <si>
    <t>Topper Ultah Batman @12set</t>
  </si>
  <si>
    <t>Topper Ultah Ultraman @12set</t>
  </si>
  <si>
    <t>Topper Ultah Thomas @12 set</t>
  </si>
  <si>
    <t>PLAZA CHOCO CHIP</t>
  </si>
  <si>
    <t>plazachocochip</t>
  </si>
  <si>
    <t>Lilin Angka 8</t>
  </si>
  <si>
    <t>lilinangka8</t>
  </si>
  <si>
    <t>Lilin Angka 9</t>
  </si>
  <si>
    <t>lilinangka9</t>
  </si>
  <si>
    <t>Lilin Batang</t>
  </si>
  <si>
    <t>lilinbatang</t>
  </si>
  <si>
    <t>Lilin Magic</t>
  </si>
  <si>
    <t>lilinmagic</t>
  </si>
  <si>
    <t>MADUSARI SMOKED BEEF</t>
  </si>
  <si>
    <t>Madusari Sosis @25X1000Gr</t>
  </si>
  <si>
    <t>Maestro Std Porch @10X1Kg</t>
  </si>
  <si>
    <t>maestrostdporch10x1kg</t>
  </si>
  <si>
    <t>Maglam Kopi</t>
  </si>
  <si>
    <t>Maglam Pasta Greentea @1Kg</t>
  </si>
  <si>
    <t>Maglam Pasta Tiramisu @1Kg</t>
  </si>
  <si>
    <t>Maizena Cornstrach 25kg</t>
  </si>
  <si>
    <t>Maizena CHEILJEDANG @25Kg</t>
  </si>
  <si>
    <t>maizenacheiljedang25kg</t>
  </si>
  <si>
    <t>Malinda Bakerfat @1X15Kg</t>
  </si>
  <si>
    <t>malindabakerfat1x15kg</t>
  </si>
  <si>
    <t>HIRA MANNA SP 20KG</t>
  </si>
  <si>
    <t>Maraschino Red Cherry @4 Jar</t>
  </si>
  <si>
    <t>maraschinoredcherry4jar</t>
  </si>
  <si>
    <t>Master Gioia Spesial Hd Mly @1X20 Kg</t>
  </si>
  <si>
    <t>mastergioiaspesialhdmly1x20kg</t>
  </si>
  <si>
    <t>Mauripan 20X500Gr</t>
  </si>
  <si>
    <t>Meises Hagel @1X12.5 Kg</t>
  </si>
  <si>
    <t>meiseshagel1x125kg</t>
  </si>
  <si>
    <t>Meises Holland Merah 12.5 Kg</t>
  </si>
  <si>
    <t>meiseshollandmerah125kg</t>
  </si>
  <si>
    <t>Mercolade Blue Barleymint @12X1Kg</t>
  </si>
  <si>
    <t>Mercolade Dark Premium @4X5Kg</t>
  </si>
  <si>
    <t>mercoladedarkpremium4x5kg</t>
  </si>
  <si>
    <t>Mercolade Leaf Green Melon @12X1Kg</t>
  </si>
  <si>
    <t>Mercolade Lemon Fresh @12X1Kg</t>
  </si>
  <si>
    <t>Mercolade Orange Sunkist @12X1Kg</t>
  </si>
  <si>
    <t>Mercolade Pink Strawberry @12X1Kg</t>
  </si>
  <si>
    <t>Mercolade Red Strawberry @12X1Kg</t>
  </si>
  <si>
    <t>mercoladeredstrawberry12x1kg</t>
  </si>
  <si>
    <t>Mercolade Tiramisu @12X1Kg</t>
  </si>
  <si>
    <t>Mercolade Violet Blueberry @12X1Kg</t>
  </si>
  <si>
    <t>Mercolade White @4X5Kg</t>
  </si>
  <si>
    <t>Mika Bg 24</t>
  </si>
  <si>
    <t>Set</t>
  </si>
  <si>
    <t>mikabg24</t>
  </si>
  <si>
    <t>Mika Bg 24 Perpcs</t>
  </si>
  <si>
    <t>mikabg24perpcs</t>
  </si>
  <si>
    <t>Mika Brownies Bakar @200 Set</t>
  </si>
  <si>
    <t>Mika Brownies S Techno @300Set</t>
  </si>
  <si>
    <t>Mika Chiffon 18 Ddm @250 Pcs</t>
  </si>
  <si>
    <t>mikachiffon18ddm250pcs</t>
  </si>
  <si>
    <t>Mika Chiffon 20Ddm @250 Pcs</t>
  </si>
  <si>
    <t>mikachiffon20ddm250pcs</t>
  </si>
  <si>
    <t>Mika Ct 15 @150 Pcs</t>
  </si>
  <si>
    <t>Mika Oval Japanese Cake @300 Set</t>
  </si>
  <si>
    <t>mikaovaljapanesecake300set</t>
  </si>
  <si>
    <t>Mika Oval Japanese Cake Sml @300 Set</t>
  </si>
  <si>
    <t>set</t>
  </si>
  <si>
    <t>mikaovaljapanesecakesml300set</t>
  </si>
  <si>
    <t>Minyak Fortune @12X1Liter</t>
  </si>
  <si>
    <t>minyakfortune12x1liter</t>
  </si>
  <si>
    <t>Minyak Fortune @6X2Liter</t>
  </si>
  <si>
    <t>minyakfortune6x2liter</t>
  </si>
  <si>
    <t>Minyak</t>
  </si>
  <si>
    <t>minyak</t>
  </si>
  <si>
    <t>Minyak Kita @6 X 2 Liter</t>
  </si>
  <si>
    <t>minyakkita6x2liter</t>
  </si>
  <si>
    <t>Mix K600 @100Pcs</t>
  </si>
  <si>
    <t>mixk600100pcs</t>
  </si>
  <si>
    <t>Mix Mc 801</t>
  </si>
  <si>
    <t>mixmc801</t>
  </si>
  <si>
    <t>Mix Mc 802</t>
  </si>
  <si>
    <t>mixmc802</t>
  </si>
  <si>
    <t>Mix Mc 804</t>
  </si>
  <si>
    <t>mixmc804</t>
  </si>
  <si>
    <t>Mix Mc 805</t>
  </si>
  <si>
    <t>mixmc805</t>
  </si>
  <si>
    <t>Mix Mc 806</t>
  </si>
  <si>
    <t>mixmc806</t>
  </si>
  <si>
    <t>Mix Mc 809</t>
  </si>
  <si>
    <t>mixmc809</t>
  </si>
  <si>
    <t>Mix Mc 810</t>
  </si>
  <si>
    <t>mixmc810</t>
  </si>
  <si>
    <t>Mix Mc 811</t>
  </si>
  <si>
    <t>mixmc811</t>
  </si>
  <si>
    <t>Mix Mc 813</t>
  </si>
  <si>
    <t>mixmc813</t>
  </si>
  <si>
    <t>Mix Mc 814</t>
  </si>
  <si>
    <t>mixmc814</t>
  </si>
  <si>
    <t>Mix Mc 816</t>
  </si>
  <si>
    <t>mixmc816</t>
  </si>
  <si>
    <t>Mix Mc 817</t>
  </si>
  <si>
    <t>mixmc817</t>
  </si>
  <si>
    <t>Mix Mc 821</t>
  </si>
  <si>
    <t>mixmc821</t>
  </si>
  <si>
    <t>Mix Mc 822</t>
  </si>
  <si>
    <t>mixmc822</t>
  </si>
  <si>
    <t>Mix Mc 823</t>
  </si>
  <si>
    <t>mixmc823</t>
  </si>
  <si>
    <t>Mix Mc 824</t>
  </si>
  <si>
    <t>mixmc824</t>
  </si>
  <si>
    <t>Mix Mc 825</t>
  </si>
  <si>
    <t>mixmc825</t>
  </si>
  <si>
    <t>Mix Mc 831</t>
  </si>
  <si>
    <t>mixmc831</t>
  </si>
  <si>
    <t>Mix Mc 832</t>
  </si>
  <si>
    <t>mixmc832</t>
  </si>
  <si>
    <t>Mozzarella Shredded Maestrella @2.5Kg</t>
  </si>
  <si>
    <t>KG</t>
  </si>
  <si>
    <t>mozzarellashreddedmaestrella25kg</t>
  </si>
  <si>
    <t>Multi Purpose Tissue</t>
  </si>
  <si>
    <t>multipurposetissue</t>
  </si>
  <si>
    <t>NUTRI WASH LIME @2KG</t>
  </si>
  <si>
    <t>nutriwashlime2kg</t>
  </si>
  <si>
    <t>Orlando Bakers Fat @1X15Kg</t>
  </si>
  <si>
    <t>orlandobakersfat1x15kg</t>
  </si>
  <si>
    <t>Palmia Bos @1X15Kg</t>
  </si>
  <si>
    <t>Palmia Dee Frying Fat @1X15Kg</t>
  </si>
  <si>
    <t>palmiadeefryingfat1x15kg</t>
  </si>
  <si>
    <t>Palmia Pastry @1X15Kg</t>
  </si>
  <si>
    <t>palmiapastry1x15kg</t>
  </si>
  <si>
    <t>Palmia Supercake @1X15Kg</t>
  </si>
  <si>
    <t>Paper Bowl 500Ml + Tutup</t>
  </si>
  <si>
    <t>Paper Case 3017 Bulat @200</t>
  </si>
  <si>
    <t>Paper Case 3018 (Oval) @200</t>
  </si>
  <si>
    <t>Paperbag Brown Kraft 150Gr 24X15X29</t>
  </si>
  <si>
    <t>Paperbag Brown Kraft 200Gr 24X25X25</t>
  </si>
  <si>
    <t>Paperbag Brown Samson 85Gr 18X11,5X28</t>
  </si>
  <si>
    <t>Paperbag For France</t>
  </si>
  <si>
    <t>Papercase 3051 Dark Green (Muffin)@50 Pak</t>
  </si>
  <si>
    <t>Papercase 3312 Hexa-N18 (Moulten) @100</t>
  </si>
  <si>
    <t>Papper Cup Kecil @25Pcs</t>
  </si>
  <si>
    <t>pappercupkecil25pcs</t>
  </si>
  <si>
    <t>Papper Cup Milkbath 360Ml</t>
  </si>
  <si>
    <t>pappercupmilkbath360ml</t>
  </si>
  <si>
    <t>Partisi Plastik Mochi</t>
  </si>
  <si>
    <t>partisiplastikmochi</t>
  </si>
  <si>
    <t>Pasta Durian Redbell</t>
  </si>
  <si>
    <t>pastadurianredbell</t>
  </si>
  <si>
    <t>Pasta Grape Cap Kupu-Kupu</t>
  </si>
  <si>
    <t>pastagrapecapkupukupu</t>
  </si>
  <si>
    <t>Pasta Greentea Toefico</t>
  </si>
  <si>
    <t>Pasta Mango @1Kg</t>
  </si>
  <si>
    <t>pastamango1kg</t>
  </si>
  <si>
    <t>Pasta Mocca Cap Kupu-Kupu @6X12X60Ml</t>
  </si>
  <si>
    <t>Pasta Pandan @ 1 Kg</t>
  </si>
  <si>
    <t>pastapandan1kg</t>
  </si>
  <si>
    <t>Pasta Pandan Cap Kupu-Kupu @6X12X60Ml</t>
  </si>
  <si>
    <t>Pasta Strawberry Cap Kupu-Kupu</t>
  </si>
  <si>
    <t>pastastrawberrycapkupukupu</t>
  </si>
  <si>
    <t>Pasta Talas Expo</t>
  </si>
  <si>
    <t>pastatalasexpo</t>
  </si>
  <si>
    <t>Pasta Taro Brehmen</t>
  </si>
  <si>
    <t>Pastricia Icing Sugar  @1X10Kg</t>
  </si>
  <si>
    <t>pastriciaicingsugar1x10kg</t>
  </si>
  <si>
    <t>Patung Cars</t>
  </si>
  <si>
    <t>patungcars</t>
  </si>
  <si>
    <t>Patung Doraemon</t>
  </si>
  <si>
    <t>patungdoraemon</t>
  </si>
  <si>
    <t>Patung Frozen</t>
  </si>
  <si>
    <t>patungfrozen</t>
  </si>
  <si>
    <t>Patung Hello Kitty</t>
  </si>
  <si>
    <t>patunghellokitty</t>
  </si>
  <si>
    <t>Patung Hellokity Besar</t>
  </si>
  <si>
    <t>Patung Princess</t>
  </si>
  <si>
    <t>patungprincess</t>
  </si>
  <si>
    <t>Patung Shopia</t>
  </si>
  <si>
    <t>Patung Spiderman</t>
  </si>
  <si>
    <t>patungspiderman</t>
  </si>
  <si>
    <t>Perfait Crumb Softener @1X4Kg</t>
  </si>
  <si>
    <t>perfaitcrumbsoftener1x4kg</t>
  </si>
  <si>
    <t>Perfait Super Soft @10X500Gr</t>
  </si>
  <si>
    <t>perfaitsupersoft10x500gr</t>
  </si>
  <si>
    <t>Pewarna Kuning Muda Cap Kupu-Kupu@12X12X15Ml</t>
  </si>
  <si>
    <t>Pinnacle-Ragi Basah 20X500 Gr</t>
  </si>
  <si>
    <t>pinnacleragibasah20x500gr</t>
  </si>
  <si>
    <t>Pisau Kue Plastik Besar</t>
  </si>
  <si>
    <t>PISAU KUE BROWNIS</t>
  </si>
  <si>
    <t>Plastik Opp 10X30</t>
  </si>
  <si>
    <t xml:space="preserve">Plastik Opp 15X25 </t>
  </si>
  <si>
    <t>Plastik Pe 12X30 (Cap Bawang)</t>
  </si>
  <si>
    <t>Plastik Pe 14X35 (Cap Bawang)</t>
  </si>
  <si>
    <t>Plastik Pe 20X40 (Cap Bawang)</t>
  </si>
  <si>
    <t>Plastik Pe 3,8X25 (Cap Bawang)</t>
  </si>
  <si>
    <t>Plastik Pe 40X60 (Cap Bawang)</t>
  </si>
  <si>
    <t>Plastik Roti Tawar Vol 11</t>
  </si>
  <si>
    <t>Plastik Roti Tawar Vol 22</t>
  </si>
  <si>
    <t>Plastik Segitiga Besar</t>
  </si>
  <si>
    <t>Plastik Segitiga Kecil</t>
  </si>
  <si>
    <t>plastiksegitigakecil</t>
  </si>
  <si>
    <t>Pleasure Gold Mly @12X1 Lt</t>
  </si>
  <si>
    <t>PCS</t>
  </si>
  <si>
    <t>pleasuregoldmly12x1lt</t>
  </si>
  <si>
    <t>Pm (S) Strech Film 45Cm @6Roll</t>
  </si>
  <si>
    <t>pmsstrechfilm45cm6roll</t>
  </si>
  <si>
    <t>Polibag</t>
  </si>
  <si>
    <t>polibag</t>
  </si>
  <si>
    <t>Potasium Sorbat @25Kg</t>
  </si>
  <si>
    <t>Premix Brownies Bakar</t>
  </si>
  <si>
    <t>premixbrowniesbakar</t>
  </si>
  <si>
    <t>Premix Durian Mra @10Kg</t>
  </si>
  <si>
    <t>premixdurianmra10kg</t>
  </si>
  <si>
    <t>Prosferich  Vla Coklat @1X5Kg</t>
  </si>
  <si>
    <t>prosferichvlacoklat1x5kg</t>
  </si>
  <si>
    <t>Prosferich Fruit Filling Blueberry @1X10Kg</t>
  </si>
  <si>
    <t>prosferichfruitfillingblueberry1x10kg</t>
  </si>
  <si>
    <t>Prosferich Fruit Filling Strawberry @1X10Kg</t>
  </si>
  <si>
    <t>prosferichfruitfillingstrawberry1x10kg</t>
  </si>
  <si>
    <t>Red Handsoap 5Liter</t>
  </si>
  <si>
    <t>Redvelvet Powder @1X500Gram</t>
  </si>
  <si>
    <t>redvelvetpowder1x500gram</t>
  </si>
  <si>
    <t>Rich Whip Topping Chocolate.</t>
  </si>
  <si>
    <t>richwhiptoppingchocolate</t>
  </si>
  <si>
    <t>Rich Whip Topping Gold Label</t>
  </si>
  <si>
    <t>richwhiptoppinggoldlabel</t>
  </si>
  <si>
    <t>ROYAL KING BLACK BROWN RAISIN 10KG</t>
  </si>
  <si>
    <t>royalkingblackbrownraisin10kg</t>
  </si>
  <si>
    <t>Rum Pasta</t>
  </si>
  <si>
    <t>ml</t>
  </si>
  <si>
    <t>rumpasta</t>
  </si>
  <si>
    <t>Rumput Jarum</t>
  </si>
  <si>
    <t>rumputjarum</t>
  </si>
  <si>
    <t>Sarung Tangan Kain</t>
  </si>
  <si>
    <t>Sasa Santan Bubuk @10X12X20Gr</t>
  </si>
  <si>
    <t>sasasantanbubuk10x12x20gr</t>
  </si>
  <si>
    <t>Sasa Santan Cair 65Ml @32Pcs</t>
  </si>
  <si>
    <t>sasasantancair65ml32pcs</t>
  </si>
  <si>
    <t>Sasa Santan Cair@24X200Ml</t>
  </si>
  <si>
    <t>sasasantancair24x200ml</t>
  </si>
  <si>
    <t>Selai Kacang Hijau Yuai</t>
  </si>
  <si>
    <t>selaikacanghijauyuai</t>
  </si>
  <si>
    <t>Selai Kacang Merah Yuai</t>
  </si>
  <si>
    <t>selaikacangmerahyuai</t>
  </si>
  <si>
    <t>Sendok Milkbath</t>
  </si>
  <si>
    <t>Sheet Ctd Chocolate</t>
  </si>
  <si>
    <t>sheetctdchocolate</t>
  </si>
  <si>
    <t>Shoping Bag Mochi Spesial</t>
  </si>
  <si>
    <t>shopingbagmochispesial</t>
  </si>
  <si>
    <t>Soda Kue Malan @25Kg</t>
  </si>
  <si>
    <t>Sonton Chocolate Banana Flav Spread</t>
  </si>
  <si>
    <t>sontonchocolatebananaflavspread</t>
  </si>
  <si>
    <t>Sonton Vla Coklat</t>
  </si>
  <si>
    <t>sontonvlacoklat</t>
  </si>
  <si>
    <t>Spikel</t>
  </si>
  <si>
    <t>spikel</t>
  </si>
  <si>
    <t>Spontan 88 @1X20Kg</t>
  </si>
  <si>
    <t>spontan881x20kg</t>
  </si>
  <si>
    <t>Spontan Cake Softener (Wysman) @1X25Kg</t>
  </si>
  <si>
    <t>Sticker Bolu Amor Oval @43Pcs</t>
  </si>
  <si>
    <t>Sticker Bunga Bolu Amor</t>
  </si>
  <si>
    <t>Sticker Nayla @1Pcs</t>
  </si>
  <si>
    <t>Sticker Roti Bolu Amor Kecil</t>
  </si>
  <si>
    <t>stickerrotiboluamorkecil</t>
  </si>
  <si>
    <t>Sunbell Tuna (Chunk In Oil) @48Pcs</t>
  </si>
  <si>
    <t>SUNQUICK MANGO 800ML @6PAIL</t>
  </si>
  <si>
    <t>PAIL</t>
  </si>
  <si>
    <t>sunquickmango800ml6pail</t>
  </si>
  <si>
    <t>Sunquick Mango 650Ml @6Pail</t>
  </si>
  <si>
    <t>pail</t>
  </si>
  <si>
    <t>sunquickmango650ml6pail</t>
  </si>
  <si>
    <t>Susu Bubuk F-04 @ 10 Kg</t>
  </si>
  <si>
    <t>susububukf0410kg</t>
  </si>
  <si>
    <t>Susu Bubuk F-04 @ 25 Kg</t>
  </si>
  <si>
    <t>Susu Cair Indomilk @12X1 Liter</t>
  </si>
  <si>
    <t>Susu F&amp;n</t>
  </si>
  <si>
    <t>susufn</t>
  </si>
  <si>
    <t>SUSU VAMOLA</t>
  </si>
  <si>
    <t>susuvamola</t>
  </si>
  <si>
    <t>Taro Powder @1X500Gram</t>
  </si>
  <si>
    <t>taropowder1x500gram</t>
  </si>
  <si>
    <t>Tatakan 22X22 Bulat</t>
  </si>
  <si>
    <t>Tatakan 22X22 Kotak</t>
  </si>
  <si>
    <t>Tatakan 28X28 Bulat</t>
  </si>
  <si>
    <t>tatakan28x28bulat</t>
  </si>
  <si>
    <t>Tatakan 28X28 Kotak</t>
  </si>
  <si>
    <t>Tepung Balastra @1X10Kg</t>
  </si>
  <si>
    <t>tepungbalastra1x10kg</t>
  </si>
  <si>
    <t>Tepung Brownbread @1X10Kg</t>
  </si>
  <si>
    <t>tepungbrownbread1x10kg</t>
  </si>
  <si>
    <t>Tepung Kanji Gunung @1X25Kg</t>
  </si>
  <si>
    <t>tepungkanjigunung1x25kg</t>
  </si>
  <si>
    <t>Tepung Ketan Hitam @20X250 Gram</t>
  </si>
  <si>
    <t>tepungketanhitam20x250gram</t>
  </si>
  <si>
    <t>Tepung Ketan Rosebrand @20X500Gr</t>
  </si>
  <si>
    <t>tepungketanrosebrand20x500gr</t>
  </si>
  <si>
    <t>Tepung Muffin Cokelat @1X10Kg</t>
  </si>
  <si>
    <t>Tepung Muffin Vanila @1X10Kg</t>
  </si>
  <si>
    <t>Tepung Spongemix Coklat @1X10Kg</t>
  </si>
  <si>
    <t>tepungspongemixcoklat1x10kg</t>
  </si>
  <si>
    <t>Tepung Spongemix Vanila @1X10Kg</t>
  </si>
  <si>
    <t>tepungspongemixvanila1x10kg</t>
  </si>
  <si>
    <t>Terigu Bola Salju @1X25Kg</t>
  </si>
  <si>
    <t>terigubolasalju1x25kg</t>
  </si>
  <si>
    <t>TERIGU GOLDEN EAGLE @25KG</t>
  </si>
  <si>
    <t>terigugoldeneagle25kg</t>
  </si>
  <si>
    <t>Terigu Lonceng Hijau @1X25 Kg</t>
  </si>
  <si>
    <t>teriguloncenghijau1x25kg</t>
  </si>
  <si>
    <t>Terigu Perdana @1X25 Kg</t>
  </si>
  <si>
    <t>teriguperdana1x25kg</t>
  </si>
  <si>
    <t>Terigu Premium Hana Chiffon 10Kg</t>
  </si>
  <si>
    <t>Terigu Premium Hana Keik Sponge 10Kg</t>
  </si>
  <si>
    <t>terigupremiumhanakeiksponge10kg</t>
  </si>
  <si>
    <t>Terigu Premium Hana Swiss Roll 10Kg</t>
  </si>
  <si>
    <t>terigupremiumhanaswissroll10kg</t>
  </si>
  <si>
    <t>Thinwall 300Ml @20X25Set</t>
  </si>
  <si>
    <t xml:space="preserve">Thinwall 350Ml @20X25Set </t>
  </si>
  <si>
    <t>thinwall350ml20x25set</t>
  </si>
  <si>
    <t>Toefico Coklat</t>
  </si>
  <si>
    <t>toeficocoklat</t>
  </si>
  <si>
    <t>Transfer Image Avocado</t>
  </si>
  <si>
    <t>transferimageavocado</t>
  </si>
  <si>
    <t>Ucapan Hbd Tusuk</t>
  </si>
  <si>
    <t>ucapanhbdtusuk</t>
  </si>
  <si>
    <t>VANILA CREAM POWDER 1KG</t>
  </si>
  <si>
    <t>Vanila Essens</t>
  </si>
  <si>
    <t>Vanili Crystal</t>
  </si>
  <si>
    <t>Vla Cheedar Cheese</t>
  </si>
  <si>
    <t>vlacheedarcheese</t>
  </si>
  <si>
    <t>Warna Chocolate @5Liter</t>
  </si>
  <si>
    <t>warnachocolate5liter</t>
  </si>
  <si>
    <t>Warna Egg Yellow @5Liter</t>
  </si>
  <si>
    <t>warnaeggyellow5liter</t>
  </si>
  <si>
    <t>Warna Leaf Green @5Liter</t>
  </si>
  <si>
    <t>warnaleafgreen5liter</t>
  </si>
  <si>
    <t>Warna Lemon Yellow @5Liter</t>
  </si>
  <si>
    <t>warnalemonyellow5liter</t>
  </si>
  <si>
    <t>Warna Redcherry @5Liter</t>
  </si>
  <si>
    <t>warnaredcherry5liter</t>
  </si>
  <si>
    <t>Warna Rose Pink @5Liter</t>
  </si>
  <si>
    <t>warnarosepink5liter</t>
  </si>
  <si>
    <t>Warna Sky Blue @5Liter</t>
  </si>
  <si>
    <t>warnaskyblue5liter</t>
  </si>
  <si>
    <t>Warna Sweet Black @5Liter</t>
  </si>
  <si>
    <t>warnasweetblack5liter</t>
  </si>
  <si>
    <t>WIJEN HITAM @250gr</t>
  </si>
  <si>
    <t>wijenhitam250gr</t>
  </si>
  <si>
    <t>Wijen Putih @1KG</t>
  </si>
  <si>
    <t>wijenputih1kg</t>
  </si>
  <si>
    <t>Wilton Blackforest @1Liter</t>
  </si>
  <si>
    <t>Wincheez Filling @8X1Kg</t>
  </si>
  <si>
    <t>Yona Beef Patties 500Gr</t>
  </si>
  <si>
    <t>yonabeefpatties500gr</t>
  </si>
  <si>
    <t>Paper Case - 3029 (G1) Bulat</t>
  </si>
  <si>
    <t>Bun Falling - Red Bean @1Kg</t>
  </si>
  <si>
    <t>Bun Falling - Pandan @1Kg</t>
  </si>
  <si>
    <t>Dus Roll Cake</t>
  </si>
  <si>
    <t>PEWARNA MERAH CABE KUPU-KUPU 30ML</t>
  </si>
  <si>
    <t>pewarnamerahcabekupukupu30ml</t>
  </si>
  <si>
    <t>PEWARNA KUNING TUA KUPU-KUPU 30ML</t>
  </si>
  <si>
    <t>pewarnakuningtuakupukupu30ml</t>
  </si>
  <si>
    <t>PEWARNA HIJAU MUDA 30ML</t>
  </si>
  <si>
    <t>PASTA COKLAT KUPU-KUPU  60ML</t>
  </si>
  <si>
    <t>pastacoklatkupukupu60ml</t>
  </si>
  <si>
    <t xml:space="preserve">TRANS WHIPPING CREAM - GOLD </t>
  </si>
  <si>
    <t>PATUNG KUDA PONI</t>
  </si>
  <si>
    <t>patungkudaponi</t>
  </si>
  <si>
    <t>PASTA MOHLER COKLAT 60GR</t>
  </si>
  <si>
    <t>pastamohlercoklat60gr</t>
  </si>
  <si>
    <t>PASTA MOHLER STRAWBERRY 60GR</t>
  </si>
  <si>
    <t>pastamohlerstrawberry60gr</t>
  </si>
  <si>
    <t>PASTA MOHLER RED VELVET 60GR</t>
  </si>
  <si>
    <t>pastamohlerredvelvet60gr</t>
  </si>
  <si>
    <t>PEWARNA MOHLER RED CERI 30GR</t>
  </si>
  <si>
    <t>pewarnamohlerredceri30gr</t>
  </si>
  <si>
    <t>PEWARNA MOHLER HIJAU PANDAN 30GR</t>
  </si>
  <si>
    <t>pewarnamohlerhijaupandan30gr</t>
  </si>
  <si>
    <t>PEWARNA MOHLER ORANGE 30GR</t>
  </si>
  <si>
    <t>pewarnamohlerorange30gr</t>
  </si>
  <si>
    <t>PASTA MOHLER COKLAT 1KG</t>
  </si>
  <si>
    <t>pastamohlercoklat1kg</t>
  </si>
  <si>
    <t>PASTA MOHLER RED VELVET 1KG</t>
  </si>
  <si>
    <t>pastamohlerredvelvet1kg</t>
  </si>
  <si>
    <t>PASTA MOHLER PANDAN 1KG</t>
  </si>
  <si>
    <t>pastamohlerpandan1kg</t>
  </si>
  <si>
    <t>PASTA MOHLER STRAWBERRY 1KG</t>
  </si>
  <si>
    <t>pastamohlerstrawberry1kg</t>
  </si>
  <si>
    <t xml:space="preserve">TRANS WHIPPING CREAM - SILVER </t>
  </si>
  <si>
    <t>transwhippingcreamsilver</t>
  </si>
  <si>
    <t>MAIZENA MIWON DAESANG @25KG</t>
  </si>
  <si>
    <t>maizenamiwondaesang25kg</t>
  </si>
  <si>
    <t>PROSPERICH CREAM FILL MILK @6.5KG</t>
  </si>
  <si>
    <t>prosperichcreamfillmilk65kg</t>
  </si>
  <si>
    <t>CALF MERAH CHEDDAR CHEESE @8x2kg</t>
  </si>
  <si>
    <t>calfmerahcheddarcheese8x2kg</t>
  </si>
  <si>
    <t>PLASTIK ROTI TAWAR HD VOL 11</t>
  </si>
  <si>
    <t>PLASTIK ROTI TAWAR HD VOL 22</t>
  </si>
  <si>
    <t>MENARA WHITE BKF SPESIAL 15KG</t>
  </si>
  <si>
    <t>menarawhitebkfspesial15kg</t>
  </si>
  <si>
    <t xml:space="preserve">MC LEWIS TOMATO A004 5.7KG </t>
  </si>
  <si>
    <t>MC LEWIS MAYO LPPouch 1KG</t>
  </si>
  <si>
    <t xml:space="preserve">MC LEWIS CHILI A004 5.5KG </t>
  </si>
  <si>
    <t>HANDWASH JASMINE @5LITER</t>
  </si>
  <si>
    <t>handwashjasmine5liter</t>
  </si>
  <si>
    <t>FLOOR CLEANER LAVENDER @5LITER</t>
  </si>
  <si>
    <t>floorcleanerlavender5liter</t>
  </si>
  <si>
    <t>DISHWASH SUPER PREMIUM @5LITER</t>
  </si>
  <si>
    <t>dishwashsuperpremium5liter</t>
  </si>
  <si>
    <t>Golden Sponge Cake Mix (B) @12kg</t>
  </si>
  <si>
    <t>goldenspongecakemixb12kg</t>
  </si>
  <si>
    <t>MOHLER CHERRY RED COLORING 1Kg</t>
  </si>
  <si>
    <t>mohlercherryredcoloring1kg</t>
  </si>
  <si>
    <t>MOHLER PANDAN GREEN COLORING 1Kg</t>
  </si>
  <si>
    <t>mohlerpandangreencoloring1kg</t>
  </si>
  <si>
    <t>MOHLER PANDAN ORANGE COLORING 1Kg</t>
  </si>
  <si>
    <t>mohlerpandanorangecoloring1kg</t>
  </si>
  <si>
    <t>PEMBERSIH KACA</t>
  </si>
  <si>
    <t>pembersihkaca</t>
  </si>
  <si>
    <t>PERISA SUSU</t>
  </si>
  <si>
    <t>ML</t>
  </si>
  <si>
    <t>perisasusu</t>
  </si>
  <si>
    <t>SUSU EVAPORASI MILKO @20 x 210 ml</t>
  </si>
  <si>
    <t>susuevaporasimilko20x210ml</t>
  </si>
  <si>
    <t>MOHLER EGG YELLOW COLORING 1kg</t>
  </si>
  <si>
    <t>mohlereggyellowcoloring1kg</t>
  </si>
  <si>
    <t>STICKER PUDING ITALIA SAUS ORIGINAL</t>
  </si>
  <si>
    <t>stickerpudingitaliasausoriginal</t>
  </si>
  <si>
    <t>STICKER PUDING ITALIA SAUS ALPENLIEBE</t>
  </si>
  <si>
    <t>stickerpudingitaliasausalpenliebe</t>
  </si>
  <si>
    <t>STICKER PUDING ITALIA SAUS SAWADIKAP</t>
  </si>
  <si>
    <t>stickerpudingitaliasaussawadikap</t>
  </si>
  <si>
    <t>STICKER PUDING ITALIA SAUS MATCHA</t>
  </si>
  <si>
    <t>stickerpudingitaliasausmatcha</t>
  </si>
  <si>
    <t>STICKER PUDING ITALIA SAUS CHOCOLATO</t>
  </si>
  <si>
    <t>stickerpudingitaliasauschocolato</t>
  </si>
  <si>
    <t>COVER DESSERT PANACOTA</t>
  </si>
  <si>
    <t>coverdessertpanacota</t>
  </si>
  <si>
    <t>INNOVA SOFT @20KG</t>
  </si>
  <si>
    <t>innovasoft20kg</t>
  </si>
  <si>
    <t>Chefmate Drink Caramel Machiato @20x500gr</t>
  </si>
  <si>
    <t>pack</t>
  </si>
  <si>
    <t>chefmatedrinkcaramelmachiato20x500gr</t>
  </si>
  <si>
    <t>SUSU EVAPORASI TIGA SAPI @ 12X500 ML</t>
  </si>
  <si>
    <t>susuevaporasitigasapi12x500ml</t>
  </si>
  <si>
    <t>MADUSARI BEEF PATTIES (SAMPLE)</t>
  </si>
  <si>
    <t>madusaribeefpattiessample</t>
  </si>
  <si>
    <t>Chefmate Drink Thaitea @20x500gr</t>
  </si>
  <si>
    <t>chefmatedrinkthaitea20x500gr</t>
  </si>
  <si>
    <t>MADUSARI BEEF BURGER (SAMPLE)</t>
  </si>
  <si>
    <t>madusaribeefburgersample</t>
  </si>
  <si>
    <t>Chefmate Drink Matcha Latte @20x500gr</t>
  </si>
  <si>
    <t>chefmatedrinkmatchalatte20x500gr</t>
  </si>
  <si>
    <t>MADUSARI SOSIS (SAMPLE)</t>
  </si>
  <si>
    <t>madusarisosissample</t>
  </si>
  <si>
    <t>BLOCK CHEFMATE PATISSIER 1000GR@12</t>
  </si>
  <si>
    <t>blockchefmatepatissier1000gr12</t>
  </si>
  <si>
    <t>Dus Hampers Bolu Amor</t>
  </si>
  <si>
    <t>dushampersboluamor</t>
  </si>
  <si>
    <t>Emina cheese shred 2kg</t>
  </si>
  <si>
    <t>eminacheeseshred2kg</t>
  </si>
  <si>
    <t>Tabung Cylinder 14cm</t>
  </si>
  <si>
    <t>tabungcylinder14cm</t>
  </si>
  <si>
    <t>Thinwall Sauce 25ml</t>
  </si>
  <si>
    <t>thinwallsauce25ml</t>
  </si>
  <si>
    <t>ELMER GLAZE DARK @2X5KG</t>
  </si>
  <si>
    <t>ELMER GLAZE GREENTEA @2X5KG</t>
  </si>
  <si>
    <t>ELMER GLAZE STRAWBERRY @2X5KG</t>
  </si>
  <si>
    <t>elmerglazestrawberry2x5kg</t>
  </si>
  <si>
    <t>ELMER GLAZE TIRAMISU @2X5KG</t>
  </si>
  <si>
    <t>ELMER GLAZE WHITE @2X5KG</t>
  </si>
  <si>
    <t xml:space="preserve">Kertas nasi </t>
  </si>
  <si>
    <t>kertasnasi</t>
  </si>
  <si>
    <t>TULIP BORDEUX 2x2.5Kg</t>
  </si>
  <si>
    <t>tulipbordeux2x25kg</t>
  </si>
  <si>
    <t>MEISES PLAZA BIRU @12.5kg</t>
  </si>
  <si>
    <t>Dus chiffon sensasi</t>
  </si>
  <si>
    <t>Thinwall DM 150ml</t>
  </si>
  <si>
    <t>thinwalldm150ml</t>
  </si>
  <si>
    <t>Bubuk Oreo (bureo) @10x1kg</t>
  </si>
  <si>
    <t>bubukoreobureo10x1kg</t>
  </si>
  <si>
    <t>Gula halus claris merah 4kg</t>
  </si>
  <si>
    <t>Mercolade filling pasta @20kg</t>
  </si>
  <si>
    <t>mercoladefillingpasta20kg</t>
  </si>
  <si>
    <t>plaza go choco crunchy 1kg</t>
  </si>
  <si>
    <t>Mercolade greentea 12kg</t>
  </si>
  <si>
    <t>mercoladegreentea12kg</t>
  </si>
  <si>
    <t xml:space="preserve">Minyak kunci mas 1x18L </t>
  </si>
  <si>
    <t>minyakkuncimas1x18l</t>
  </si>
  <si>
    <t>Coklat bubuk bensdrop 8kg@3pcs</t>
  </si>
  <si>
    <t>coklatbubukbensdrop8kg3pcs</t>
  </si>
  <si>
    <t>Terigu segitiga biru 25kg</t>
  </si>
  <si>
    <t>TERIGU CAKRA KEMBAR @1X25KG</t>
  </si>
  <si>
    <t>terigucakrakembar1x25kg</t>
  </si>
  <si>
    <t>Dancow coklat 1kg</t>
  </si>
  <si>
    <t>dancowcoklat1kg</t>
  </si>
  <si>
    <t>Dancow instant 1kg</t>
  </si>
  <si>
    <t>dancowinstant1kg</t>
  </si>
  <si>
    <t>MIKA BROWNIES S PUTIH</t>
  </si>
  <si>
    <t>EKL</t>
  </si>
  <si>
    <t>ekl</t>
  </si>
  <si>
    <t xml:space="preserve">Zee Strawberry </t>
  </si>
  <si>
    <t>TEPUNG MUFFIN CHOCOLATE ZEELANDIA 10x1kg</t>
  </si>
  <si>
    <t>tepungmuffinchocolatezeelandia10x1kg</t>
  </si>
  <si>
    <t>TEPUNG MUFFIN VANILLA ZEELANDIA 10x1kg</t>
  </si>
  <si>
    <t>tepungmuffinvanillazeelandia10x1kg</t>
  </si>
  <si>
    <t>PALMIA MARGARINE PRIME 15kg</t>
  </si>
  <si>
    <t>palmiamargarineprime15kg</t>
  </si>
  <si>
    <t>Terigu Stupa Hijau @25Kg</t>
  </si>
  <si>
    <t>Abon Sapi Piala @4x1kg</t>
  </si>
  <si>
    <t>BLOCK CHEFMATE DECOR 1000GR@12</t>
  </si>
  <si>
    <t>blockchefmatedecor1000gr12</t>
  </si>
  <si>
    <t>Terigu Tali Mas @25kg</t>
  </si>
  <si>
    <t>Royal Jelly @1kg</t>
  </si>
  <si>
    <t>royaljelly1kg</t>
  </si>
  <si>
    <t>Royal Jelly @5kg</t>
  </si>
  <si>
    <t>royaljelly5kg</t>
  </si>
  <si>
    <t>Maizena Cargill @25kg</t>
  </si>
  <si>
    <t>maizenacargill25kg</t>
  </si>
  <si>
    <t>Cream of tar-tar</t>
  </si>
  <si>
    <t>creamoftartar</t>
  </si>
  <si>
    <t>Sticker Milkbun</t>
  </si>
  <si>
    <t>stickermilkbun</t>
  </si>
  <si>
    <t>Gula Rafinasi @ 50kg</t>
  </si>
  <si>
    <t>Tegral Donat Prime @ 10kg</t>
  </si>
  <si>
    <t>Creamfill Vanila 5kg</t>
  </si>
  <si>
    <t>Goldfill Strawberry 5Kg</t>
  </si>
  <si>
    <t>SO BAGUS TB 20KG</t>
  </si>
  <si>
    <t>sobagustb20kg</t>
  </si>
  <si>
    <t>Abon Sapi Piala pedas @4x1kg</t>
  </si>
  <si>
    <t>abonsapipialapedas4x1kg</t>
  </si>
  <si>
    <t>BACKROUND KUDA PONI</t>
  </si>
  <si>
    <t>backroundkudaponi</t>
  </si>
  <si>
    <t>BACKROUND MINION</t>
  </si>
  <si>
    <t>backroundminion</t>
  </si>
  <si>
    <t>BACKROUND SHORTCAKE</t>
  </si>
  <si>
    <t>backroundshortcake</t>
  </si>
  <si>
    <t>BATANG POHON</t>
  </si>
  <si>
    <t>batangpohon</t>
  </si>
  <si>
    <t>Gas 12 Kg Sukabumi</t>
  </si>
  <si>
    <t>gas12kgsukabumi</t>
  </si>
  <si>
    <t>Gas 12 Kg Bogor</t>
  </si>
  <si>
    <t>gas12kgbogor</t>
  </si>
  <si>
    <t>Icipon</t>
  </si>
  <si>
    <t>icipon</t>
  </si>
  <si>
    <t>Pisang Ambon Matang</t>
  </si>
  <si>
    <t>pisangambonmatang</t>
  </si>
  <si>
    <t>Pisang Ambon Mentah</t>
  </si>
  <si>
    <t>pisangambonmentah</t>
  </si>
  <si>
    <t>Pisang Raja Ajo</t>
  </si>
  <si>
    <t>pisangrajaajo</t>
  </si>
  <si>
    <t>Pisang Raja Matang</t>
  </si>
  <si>
    <t>Pisang Raja Mentah</t>
  </si>
  <si>
    <t>pisangrajamentah</t>
  </si>
  <si>
    <t>Telur Ayam Non Sortir</t>
  </si>
  <si>
    <t>telurayamnonsortir</t>
  </si>
  <si>
    <t>Telur Merah Grade A (Asb)</t>
  </si>
  <si>
    <t>telurmerahgradeaasb</t>
  </si>
  <si>
    <t xml:space="preserve">TELUR </t>
  </si>
  <si>
    <t>TELUR MERAH GRADE B BOGOR</t>
  </si>
  <si>
    <t>telurmerahgradebbogor</t>
  </si>
  <si>
    <t>Telur Putih</t>
  </si>
  <si>
    <t>telurputih</t>
  </si>
  <si>
    <t>Telur Putih Retak</t>
  </si>
  <si>
    <t>telurputihretak</t>
  </si>
  <si>
    <t>TAPE</t>
  </si>
  <si>
    <t>tape</t>
  </si>
  <si>
    <t>TELUR AYAM "INTAN SINAR ABADI"</t>
  </si>
  <si>
    <t>telurayamintansinarabadi</t>
  </si>
  <si>
    <t>Lilin Kriting @1x100 pack</t>
  </si>
  <si>
    <t>Lilin Spiral Pendek pink @1x50 Pack</t>
  </si>
  <si>
    <t>lilinspiralpendekpink1x50pack</t>
  </si>
  <si>
    <t>Lilin Spiral Pendek Silver @1x50 Pack</t>
  </si>
  <si>
    <t>Lilin Spiral Pendek Purple @1x50 Pack</t>
  </si>
  <si>
    <t>lilinspiralpendekpurple1x50pack</t>
  </si>
  <si>
    <t>Lilin Spiral Pendek Red @1x50 Pack</t>
  </si>
  <si>
    <t>Lilin Spiral Pendek Blue @1x50 Pack</t>
  </si>
  <si>
    <t>lilinspiralpendekblue1x50pack</t>
  </si>
  <si>
    <t>Lilin Spiral Pendek Green @1x50 Pack</t>
  </si>
  <si>
    <t>Lilin Spiral Pendek Rainbow @1x50 Pack</t>
  </si>
  <si>
    <t>Lilin Spiral Pendek Gold @1x50 Pack</t>
  </si>
  <si>
    <t>Lilin Spiral Pendek Rosegold @1x50 Pack</t>
  </si>
  <si>
    <t>Lilin Angka 1 Emas @1x100 Pcs</t>
  </si>
  <si>
    <t>Lilin Angka 2 Emas @1x100 Pcs</t>
  </si>
  <si>
    <t>Lilin Angka 3 Emas @1x100 Pcs</t>
  </si>
  <si>
    <t>Lilin Angka 4 Emas @1x100 Pcs</t>
  </si>
  <si>
    <t>Lilin Angka 5 Emas @1x100 Pcs</t>
  </si>
  <si>
    <t>Lilin Angka 6 Emas @1x100 Pcs</t>
  </si>
  <si>
    <t>Lilin Angka 7 Emas @1x100 Pcs</t>
  </si>
  <si>
    <t>Lilin Angka 8 Emas @1x100 Pcs</t>
  </si>
  <si>
    <t>Lilin Angka 9 Emas @1x100 Pcs</t>
  </si>
  <si>
    <t>Lilin Angka 0 Emas  @1x100 Pcs</t>
  </si>
  <si>
    <t>Lilin Angka 0 Gliter @1x12 Pcs</t>
  </si>
  <si>
    <t>Lilin Angka 1 Gliter @1x12 Pcs</t>
  </si>
  <si>
    <t>Lilin Angka 2 Gliter @1x12 Pcs</t>
  </si>
  <si>
    <t>Lilin Angka 3 Gliter @1x12 Pcs</t>
  </si>
  <si>
    <t>Lilin Angka 4 Gliter @1x12 Pcs</t>
  </si>
  <si>
    <t>Lilin Angka 5 Gliter @1x12 Pcs</t>
  </si>
  <si>
    <t>Lilin Angka 6 Gliter @1x12 Pcs</t>
  </si>
  <si>
    <t>Lilin Angka 7 Gliter @1x12 Pcs</t>
  </si>
  <si>
    <t>Lilin Angka 8 Gliter @1x12 Pcs</t>
  </si>
  <si>
    <t>Lilin Angka 9 Gliter @1x12 Pcs</t>
  </si>
  <si>
    <t>Lilin Spiral @1x12 batang</t>
  </si>
  <si>
    <t>lilinspiral1x12batang</t>
  </si>
  <si>
    <t>Lilin Spiral @1x24 batang</t>
  </si>
  <si>
    <t>lilinspiral1x24batang</t>
  </si>
  <si>
    <t>Lilin Spiral @1x288 batang</t>
  </si>
  <si>
    <t>lilinspiral1x288batang</t>
  </si>
  <si>
    <t>Lilin Pappermint  @1x24 pack</t>
  </si>
  <si>
    <t>Lilin Magic @1x24 pack</t>
  </si>
  <si>
    <t>BACKROUND CAMPUR</t>
  </si>
  <si>
    <t>backroundcampur</t>
  </si>
  <si>
    <t>kertas roti bento cake 15x15</t>
  </si>
  <si>
    <t>kertasrotibentocake15x15</t>
  </si>
  <si>
    <t>Balon foil angka 0-9 @10 pack</t>
  </si>
  <si>
    <t>Balon foil huruf A-Z @10 pack</t>
  </si>
  <si>
    <t>Korek Api Gas</t>
  </si>
  <si>
    <t>LILIN ANGKA MERAH 0</t>
  </si>
  <si>
    <t>LILIN ANGKA MERAH 1</t>
  </si>
  <si>
    <t>LILIN ANGKA MERAH 2</t>
  </si>
  <si>
    <t>LILIN ANGKA MERAH 3</t>
  </si>
  <si>
    <t>LILIN ANGKA MERAH 4</t>
  </si>
  <si>
    <t>LILIN ANGKA MERAH 5</t>
  </si>
  <si>
    <t>LILIN ANGKA MERAH 6</t>
  </si>
  <si>
    <t>LILIN ANGKA MERAH 7</t>
  </si>
  <si>
    <t>LILIN ANGKA MERAH 8</t>
  </si>
  <si>
    <t>LILIN ANGKA MERAH 9</t>
  </si>
  <si>
    <t>Cup bento cake</t>
  </si>
  <si>
    <t>Minyak Camar @12 x 1 liter</t>
  </si>
  <si>
    <t>minyakcamar12x1liter</t>
  </si>
  <si>
    <t>Lilin Kriting silver @1x100 pack</t>
  </si>
  <si>
    <t>Lilin Kriting pastel @1x100 pack</t>
  </si>
  <si>
    <t>lilinkritingpastel1x100pack</t>
  </si>
  <si>
    <t>Lilin Kriting gold @1x100 pack</t>
  </si>
  <si>
    <t>Lilin Kriting purple @1x100 pack</t>
  </si>
  <si>
    <t>Lilin Kriting Rose Gold @1x100 pack</t>
  </si>
  <si>
    <t>Topper Ultah Baby Shark @12 set</t>
  </si>
  <si>
    <t>Topper Ultah Dinosaurus @12set</t>
  </si>
  <si>
    <t>Topper Ultah Cars @12set</t>
  </si>
  <si>
    <t>Topper Ultah Upin Ipin @12set</t>
  </si>
  <si>
    <t>Topper Ultah Astronot @12set</t>
  </si>
  <si>
    <t>Topper Ultah kuda foni @12 set</t>
  </si>
  <si>
    <t>Topper Ultah Princess @12 set</t>
  </si>
  <si>
    <t>Topper Ultah Mermaid @12 set</t>
  </si>
  <si>
    <t>Topper Ultah Hewan @12 set</t>
  </si>
  <si>
    <t>SUSU BUBUK F-06 @ 25 KG</t>
  </si>
  <si>
    <t>susububukf0625kg</t>
  </si>
  <si>
    <t>ABON AYAM PEDAS</t>
  </si>
  <si>
    <t>STICKER BENTO</t>
  </si>
  <si>
    <t>CHERRY WILMOND @ 2KG</t>
  </si>
  <si>
    <t>cherrywilmond2kg</t>
  </si>
  <si>
    <t>Sendok kayu oval</t>
  </si>
  <si>
    <t>sendokkayuoval</t>
  </si>
  <si>
    <t>PATUNG THOMAS</t>
  </si>
  <si>
    <t>PATUNG SEPAKBOLA</t>
  </si>
  <si>
    <t>PATUNG DORA</t>
  </si>
  <si>
    <t>PATUNG ANGRY BIRD TANAH LIAT</t>
  </si>
  <si>
    <t>patungangrybirdtanahliat</t>
  </si>
  <si>
    <t>PATUNG SHAUWN THE SHEEP</t>
  </si>
  <si>
    <t>PATUNG SPONGEBOB</t>
  </si>
  <si>
    <t>PATUNG NARUTO</t>
  </si>
  <si>
    <t>PATUNG BEN 10</t>
  </si>
  <si>
    <t>PATUNG ANGRY BIRD PLASTIK</t>
  </si>
  <si>
    <t>PATUNG DRAGON BALL</t>
  </si>
  <si>
    <t>PATUNG NARUTO CHIBI</t>
  </si>
  <si>
    <t>PATUNG TAYO</t>
  </si>
  <si>
    <t>Dus Bolu Pisang Special (General)</t>
  </si>
  <si>
    <t>PATUNG MARSHA</t>
  </si>
  <si>
    <t>patungmarsha</t>
  </si>
  <si>
    <t>PATUNG MINION</t>
  </si>
  <si>
    <t>patungminion</t>
  </si>
  <si>
    <t>PLASTIK ROTI SISIR 18X27</t>
  </si>
  <si>
    <t>plastikrotisisir18x27</t>
  </si>
  <si>
    <t>Terigu Kawan Baru @25kg</t>
  </si>
  <si>
    <t>terigukawanbaru25kg</t>
  </si>
  <si>
    <t>FOUNDAN BAKEL @1KG</t>
  </si>
  <si>
    <t>foundanbakel1kg</t>
  </si>
  <si>
    <t>Topper kertas @12 set</t>
  </si>
  <si>
    <t>Red Cherries 10 kg</t>
  </si>
  <si>
    <t>redcherries10kg</t>
  </si>
  <si>
    <t>Tirai Foil Metalik</t>
  </si>
  <si>
    <t>Transfer Image</t>
  </si>
  <si>
    <t>sheet</t>
  </si>
  <si>
    <t>Tatakan Acrylic 26x38</t>
  </si>
  <si>
    <t>tatakanacrylic26x38</t>
  </si>
  <si>
    <t>Cetakan Silicon segiempat 3x3</t>
  </si>
  <si>
    <t>cetakansiliconsegiempat3x3</t>
  </si>
  <si>
    <t>MILK BARN @ 8X2,5 KG</t>
  </si>
  <si>
    <t>milkbarn8x25kg</t>
  </si>
  <si>
    <t>Topper akrilik HBD</t>
  </si>
  <si>
    <t>topperakrilikhbd</t>
  </si>
  <si>
    <t>Lilin Batang @1x12 batang</t>
  </si>
  <si>
    <t>lilinbatang1x12batang</t>
  </si>
  <si>
    <t>Lilin Batang @1x24 batang</t>
  </si>
  <si>
    <t>lilinbatang1x24batang</t>
  </si>
  <si>
    <t>Topper Akrilik Happy Birthday Besar</t>
  </si>
  <si>
    <t>Topper Akrilik Happy Birthday Kecil</t>
  </si>
  <si>
    <t>topperakrilikhappybirthdaykecil</t>
  </si>
  <si>
    <t>Topper Akrilik Happy Bride to be</t>
  </si>
  <si>
    <t>Piring kue emas @1x250x10 pcs</t>
  </si>
  <si>
    <t>Piring kue Silver @1x300x10 pcs</t>
  </si>
  <si>
    <t>Maizena Mekarmas @25 kg</t>
  </si>
  <si>
    <t>maizenamekarmas25kg</t>
  </si>
  <si>
    <t>THINWALL CUP 150ml</t>
  </si>
  <si>
    <t>thinwallcup150ml</t>
  </si>
  <si>
    <t>Barbeque</t>
  </si>
  <si>
    <t>barbeque</t>
  </si>
  <si>
    <t>Bolognaise</t>
  </si>
  <si>
    <t>bolognaise</t>
  </si>
  <si>
    <t>Selai Kacang Tanah</t>
  </si>
  <si>
    <t>selaikacangtanah</t>
  </si>
  <si>
    <t>Bawang Daun</t>
  </si>
  <si>
    <t>Bawang Bombay</t>
  </si>
  <si>
    <t>Paprika Merah</t>
  </si>
  <si>
    <t>Paprika Hijau</t>
  </si>
  <si>
    <t>Oregano</t>
  </si>
  <si>
    <t>Jamur Kaleng</t>
  </si>
  <si>
    <t>Kacang cincang @1kg x 10</t>
  </si>
  <si>
    <t>Madu</t>
  </si>
  <si>
    <t>madu</t>
  </si>
  <si>
    <t>TOPPER KUE AMORCAKE</t>
  </si>
  <si>
    <t>TATAKAN AMOR 22X22 KOTAK</t>
  </si>
  <si>
    <t>Garpu plastik kue ultah</t>
  </si>
  <si>
    <t>TOPPER AKRILIK KARAKTER</t>
  </si>
  <si>
    <t>DUS SNACKBOX 14X12</t>
  </si>
  <si>
    <t>SUSU BUBUK FITAMIL @25 KG</t>
  </si>
  <si>
    <t>TABUNG CYLINDER 7CM</t>
  </si>
  <si>
    <t>tabungcylinder7cm</t>
  </si>
  <si>
    <t>Tirai Foil dof</t>
  </si>
  <si>
    <t xml:space="preserve">SELAI NANAS </t>
  </si>
  <si>
    <t>PASTA TOFIECO BLUEBERRY</t>
  </si>
  <si>
    <t>kG</t>
  </si>
  <si>
    <t>pastatofiecoblueberry</t>
  </si>
  <si>
    <t>OPA STROBERI @225 GR</t>
  </si>
  <si>
    <t>opastroberi225gr</t>
  </si>
  <si>
    <t>OPA NANAS @225 GR</t>
  </si>
  <si>
    <t>opananas225gr</t>
  </si>
  <si>
    <t>OPA CHOCO CRUNCHY @200 GR</t>
  </si>
  <si>
    <t>opachococrunchy200gr</t>
  </si>
  <si>
    <t>COOKING CREAM ANCHOR @ 1 LITER</t>
  </si>
  <si>
    <t>cookingcreamanchor1liter</t>
  </si>
  <si>
    <t>BISKUIT MARIE</t>
  </si>
  <si>
    <t>ALAS KOTAK EMAS KECIL</t>
  </si>
  <si>
    <t>ANGGUR</t>
  </si>
  <si>
    <t>STRAWBERRY</t>
  </si>
  <si>
    <t>MELON</t>
  </si>
  <si>
    <t>melon</t>
  </si>
  <si>
    <t>COKLAT BUBUK DIAMOND @5 KG</t>
  </si>
  <si>
    <t>coklatbubukdiamond5kg</t>
  </si>
  <si>
    <t>AYAM FILLET</t>
  </si>
  <si>
    <t>BUMBU KARE INDOFOOD</t>
  </si>
  <si>
    <t>PEWARNA HITAM CAP KUPU-KUPU</t>
  </si>
  <si>
    <t>PEWARNA PINK CAP KUPU-KUPU</t>
  </si>
  <si>
    <t>PEWARNA HIJAU TUA CAP KUPU-KUPU</t>
  </si>
  <si>
    <t>pewarnahijautuacapkupukupu</t>
  </si>
  <si>
    <t>PEWARNA BIRU CAP KUPU-KUPU</t>
  </si>
  <si>
    <t>PITA MERAH</t>
  </si>
  <si>
    <t>PEWARNA UNGU CAP KUPU-KUPU</t>
  </si>
  <si>
    <t>BISKUIT RODEO</t>
  </si>
  <si>
    <t>TEH BOTOL SOSRO 200ML</t>
  </si>
  <si>
    <t>CRACKERBALL</t>
  </si>
  <si>
    <t>crackerball</t>
  </si>
  <si>
    <t>CAKE CASE</t>
  </si>
  <si>
    <t xml:space="preserve">TEPUNG PANIR </t>
  </si>
  <si>
    <t>LEPATTA BLUEBERRY @1X10KG</t>
  </si>
  <si>
    <t>lepattablueberry1x10kg</t>
  </si>
  <si>
    <t>LEPATTA STRAWBERRY @1X10KG</t>
  </si>
  <si>
    <t>MUTE GOLD</t>
  </si>
  <si>
    <t>mutegold</t>
  </si>
  <si>
    <t>KACANG TANAH</t>
  </si>
  <si>
    <t>kacangtanah</t>
  </si>
  <si>
    <t>TATAKAN 30X30 KOTAK</t>
  </si>
  <si>
    <t>tatakan30x30kotak</t>
  </si>
  <si>
    <t>TATAKAN 35x35 KOTAK</t>
  </si>
  <si>
    <t>tatakan35x35kotak</t>
  </si>
  <si>
    <t>L'AGIE CHIC CHOC</t>
  </si>
  <si>
    <t>TEPUNG TAPIOKA</t>
  </si>
  <si>
    <t>MAMA LEMON 680 ML</t>
  </si>
  <si>
    <t>mamalemon680ml</t>
  </si>
  <si>
    <t>LOBAK</t>
  </si>
  <si>
    <t>lobak</t>
  </si>
  <si>
    <t>COKLAT FILLING FILOKU @4X5KG</t>
  </si>
  <si>
    <t>coklatfillingfiloku4x5kg</t>
  </si>
  <si>
    <t>PEWARNA COKLAT CAP KUPU-KUPU</t>
  </si>
  <si>
    <t>pewarnacoklatcapkupukupu</t>
  </si>
  <si>
    <t>PEWARNA CROSS  PINK @60ML</t>
  </si>
  <si>
    <t>PEWARNA CROSS  VIOLET @60ML</t>
  </si>
  <si>
    <t>PEWARNA CROSS  ROYAL BLUE @60ML</t>
  </si>
  <si>
    <t>CRACKERBALL WARNA UNGU</t>
  </si>
  <si>
    <t>crackerballwarnaungu</t>
  </si>
  <si>
    <t>KELAPA KERING</t>
  </si>
  <si>
    <t>kelapakering</t>
  </si>
  <si>
    <t>KOPI INDOCOFFEE MIX</t>
  </si>
  <si>
    <t>kopiindocoffeemix</t>
  </si>
  <si>
    <t>LILIN KRITING MERAH @1X100 PACK</t>
  </si>
  <si>
    <t>LILIN KRITING BIRU @1X100 PACK</t>
  </si>
  <si>
    <t>PEWARNA CROSS  BLACK PHANTOM @60ML</t>
  </si>
  <si>
    <t>PEWARNA CROSS  SUPER RED @60ML</t>
  </si>
  <si>
    <t>PEWARNA CROSS  HIJAU @60ML</t>
  </si>
  <si>
    <t>PEWARNA CROSS  SKY  BLUE @60ML</t>
  </si>
  <si>
    <t>MALIMA PLUS 88 @ 2X5 KG</t>
  </si>
  <si>
    <t>malimaplus882x5kg</t>
  </si>
  <si>
    <t>PANNA SORBITOL @ 1 X 20KG</t>
  </si>
  <si>
    <t>pannasorbitol1x20kg</t>
  </si>
  <si>
    <t>CALSIUM PROPIONATE NIACET @1X25KG</t>
  </si>
  <si>
    <t>LOTUS BISCOFF</t>
  </si>
  <si>
    <t>LILIN KRITING MIX @1X100 PACK</t>
  </si>
  <si>
    <t>MIKA ROLL 8</t>
  </si>
  <si>
    <t>meter</t>
  </si>
  <si>
    <t>MERCOLADE BISCOA SPREAD@5KG</t>
  </si>
  <si>
    <t>NUCOMAL SILVERQUEEN @5KG</t>
  </si>
  <si>
    <t>nucomalsilverqueen5kg</t>
  </si>
  <si>
    <t>LADA BUBUK</t>
  </si>
  <si>
    <t>NUCOMAL TINE CRUNCHY @5KG</t>
  </si>
  <si>
    <t>LEPATTA SAVOR BEEF @12 KG</t>
  </si>
  <si>
    <t>lepattasavorbeef12kg</t>
  </si>
  <si>
    <t>KEJU PARMESAN ANCHOR @ 1 KG</t>
  </si>
  <si>
    <t>kejuparmesananchor1kg</t>
  </si>
  <si>
    <t>PROSFERICH DEPANNER @18 KG</t>
  </si>
  <si>
    <t>prosferichdepanner18kg</t>
  </si>
  <si>
    <t>PASTA PANDAN LION BROTHER @25 KG</t>
  </si>
  <si>
    <t>CHICKEN SEASONING POWDER KNORR @ 1 KG</t>
  </si>
  <si>
    <t>DUS SNACKBOX 12X12</t>
  </si>
  <si>
    <t>BIHUN</t>
  </si>
  <si>
    <t>MASAKO RASA AYAM @1KG</t>
  </si>
  <si>
    <t>masakorasaayam1kg</t>
  </si>
  <si>
    <t>PEWARNA CROSS  BLACK PHANTOM @450ML</t>
  </si>
  <si>
    <t>pewarnacrossblackphantom450ml</t>
  </si>
  <si>
    <t>PEWARNA CROSS SUPER RED @450ML</t>
  </si>
  <si>
    <t>pewarnacrosssuperred450ml</t>
  </si>
  <si>
    <t>PEWARNA CROSS  CHOCOLATE @450ML</t>
  </si>
  <si>
    <t>PEWARNA CROSS  ROYAL BLUE @450ML</t>
  </si>
  <si>
    <t>PEWARNA CROSS HIJAU @450ML</t>
  </si>
  <si>
    <t>pewarnacrosshijau450ml</t>
  </si>
  <si>
    <t>PEWARNA CROSS VIOLET @450ML</t>
  </si>
  <si>
    <t>pewarnacrossviolet450ml</t>
  </si>
  <si>
    <t>PEWARNA CROSS EGG YELLOW @450ML</t>
  </si>
  <si>
    <t>pewarnacrosseggyellow450ml</t>
  </si>
  <si>
    <t>PLASTIK PE 50X85 CM</t>
  </si>
  <si>
    <t>plastikpe50x85cm</t>
  </si>
  <si>
    <t xml:space="preserve">ALAS KOTAK 10X10 </t>
  </si>
  <si>
    <t>ES BATU</t>
  </si>
  <si>
    <t>esbatu</t>
  </si>
  <si>
    <t>SUSU UHT FULL CREAM DIAMOND @ 12 X 1 L</t>
  </si>
  <si>
    <t>FILMA PUFF PASTRY@ 12 X 1 KG</t>
  </si>
  <si>
    <t>TOPPER AKRILIK @100 PCS</t>
  </si>
  <si>
    <t>MUTE SILVER</t>
  </si>
  <si>
    <t>mutesilver</t>
  </si>
  <si>
    <t>SOSIS AYAM @1 KG</t>
  </si>
  <si>
    <t>CRACKERBALL WARNA PUTIH</t>
  </si>
  <si>
    <t>crackerballwarnaputih</t>
  </si>
  <si>
    <t xml:space="preserve">CRACKERBALL WARNA COKLAT </t>
  </si>
  <si>
    <t>crackerballwarnacoklat</t>
  </si>
  <si>
    <t>CRACKERBALL WARNA PINK</t>
  </si>
  <si>
    <t>crackerballwarnapink</t>
  </si>
  <si>
    <t>CRACKER BALL WARNA KUNING</t>
  </si>
  <si>
    <t>crackerballwarnakuning</t>
  </si>
  <si>
    <t>SAUS TIRAM @ 1 LITER</t>
  </si>
  <si>
    <t>WORTEL @ 1 KG</t>
  </si>
  <si>
    <t>TERIGU TALI BIRU @25 KG</t>
  </si>
  <si>
    <t>terigutalibiru25kg</t>
  </si>
  <si>
    <t>PEWARNA ORANGE CAP KUPU-KUPU</t>
  </si>
  <si>
    <t>pewarnaorangecapkupukupu</t>
  </si>
  <si>
    <t>GREENTEA POWDER</t>
  </si>
  <si>
    <t>greenteapowder</t>
  </si>
  <si>
    <t xml:space="preserve">DUS LAPIS SURABAYA </t>
  </si>
  <si>
    <t>STICKER LOGO PEMKOT</t>
  </si>
  <si>
    <t>DUS SNACKBOX 14X12 POLOS</t>
  </si>
  <si>
    <t>dussnackbox14x12polos</t>
  </si>
  <si>
    <t>KEJU WINCHEEZ CUSTOM C @8x2KG</t>
  </si>
  <si>
    <t>IF 100 @20X500 GR</t>
  </si>
  <si>
    <t>MEISES WINTER @ 12.5 KG</t>
  </si>
  <si>
    <t>meiseswinter125kg</t>
  </si>
  <si>
    <t>TEPUNG BERAS PUTIH  @20X500 GR</t>
  </si>
  <si>
    <t>DELMONTE SAUS SPAGETI @250 GR</t>
  </si>
  <si>
    <t>delmontesausspageti250gr</t>
  </si>
  <si>
    <t xml:space="preserve">PLASTIK HD POLOS 40X60 </t>
  </si>
  <si>
    <t>PIPET FLA</t>
  </si>
  <si>
    <t>pipetfla</t>
  </si>
  <si>
    <t>PLASTIK KAKU 17X30</t>
  </si>
  <si>
    <t>plastikkaku17x30</t>
  </si>
  <si>
    <t>AGAR-AGAR SWALLOW</t>
  </si>
  <si>
    <t>Air Mineral 200 ml</t>
  </si>
  <si>
    <t>Ml</t>
  </si>
  <si>
    <t>airmineral200ml</t>
  </si>
  <si>
    <t>AIR MINERAL 220 ML</t>
  </si>
  <si>
    <t>KERTAS ROTI DIAMETER 17</t>
  </si>
  <si>
    <t>KERTAS ROTI DIAMETER 13</t>
  </si>
  <si>
    <t>BAWANG MERAH @ 1 KG</t>
  </si>
  <si>
    <t>BAWANG PUTIH @ 1 KG</t>
  </si>
  <si>
    <t>PEWARNA CROSS SKY BLUE @450 ML</t>
  </si>
  <si>
    <t>pewarnacrossskyblue450ml</t>
  </si>
  <si>
    <t>PEWARNA CROSS ROSE PINK @450 ML</t>
  </si>
  <si>
    <t>pewarnacrossrosepink450ml</t>
  </si>
  <si>
    <t>KEMIRI</t>
  </si>
  <si>
    <t>DAUN SALAM</t>
  </si>
  <si>
    <t>daunsalam</t>
  </si>
  <si>
    <t>PASTRICIA DUSTING SUGAR  @1X10KG</t>
  </si>
  <si>
    <t>KIWI</t>
  </si>
  <si>
    <t>kiwi</t>
  </si>
  <si>
    <t>STICKER ROTI SISIR</t>
  </si>
  <si>
    <t>CABE RAWIT</t>
  </si>
  <si>
    <t>GAS PORTABLE</t>
  </si>
  <si>
    <t>TEGRAL MOCHI BREAD</t>
  </si>
  <si>
    <t>BAKING PAPER 40X60 CM @500 SHEET</t>
  </si>
  <si>
    <t>bakingpaper40x60cm500sheet</t>
  </si>
  <si>
    <t>SOSIS SAPI MAWAR @ 500 GR</t>
  </si>
  <si>
    <t>MARGARIN DELILEN @15 KG</t>
  </si>
  <si>
    <t>TOPLES TUTUP GOLD @ 80x15 CM</t>
  </si>
  <si>
    <t>PLAZA GULA HALUS @500 GR</t>
  </si>
  <si>
    <t>plazagulahalus500gr</t>
  </si>
  <si>
    <t xml:space="preserve">KEJU EDAM </t>
  </si>
  <si>
    <t>kejuedam</t>
  </si>
  <si>
    <t>OXYGEN ABSORBER</t>
  </si>
  <si>
    <t>SILICA GEL</t>
  </si>
  <si>
    <t>silicagel</t>
  </si>
  <si>
    <t>DOILIES PAPER</t>
  </si>
  <si>
    <t>TERIGU KUNCI BIRU</t>
  </si>
  <si>
    <t>Gram</t>
  </si>
  <si>
    <t>terigukuncibiru</t>
  </si>
  <si>
    <t>GULA HALUS CLARIS ORANGE</t>
  </si>
  <si>
    <t>YOLK</t>
  </si>
  <si>
    <t>yolk</t>
  </si>
  <si>
    <t xml:space="preserve">TEPUNG SAGU </t>
  </si>
  <si>
    <t>EGG WHITE POWDER</t>
  </si>
  <si>
    <t>eggwhitepowder</t>
  </si>
  <si>
    <t>STICKER COOKIES TUTUP TOPLES</t>
  </si>
  <si>
    <t>SOLATIF</t>
  </si>
  <si>
    <t>BUTTER WYSMAN</t>
  </si>
  <si>
    <t>butterwysman</t>
  </si>
  <si>
    <t>SELAI NASTAR</t>
  </si>
  <si>
    <t>selainastar</t>
  </si>
  <si>
    <t>SENDOK MILKBUN</t>
  </si>
  <si>
    <t>TOPLES TUTUP SILVER @ 85x85 CM</t>
  </si>
  <si>
    <t>toplestutupsilver85x85cm</t>
  </si>
  <si>
    <t>COKLAT PASTA RIMBO</t>
  </si>
  <si>
    <t>STICKER COOKIES RASA</t>
  </si>
  <si>
    <t>STICKER COOKIES HAMPERS</t>
  </si>
  <si>
    <t>stickercookieshampers</t>
  </si>
  <si>
    <t>AIR MINERAL 330 ML</t>
  </si>
  <si>
    <t>airmineral330ml</t>
  </si>
  <si>
    <t>SUN KARA 1000 ML</t>
  </si>
  <si>
    <t>sunkara1000ml</t>
  </si>
  <si>
    <t>TATAKAN 40X40 KOTAK</t>
  </si>
  <si>
    <t>tatakan40x40kotak</t>
  </si>
  <si>
    <t>BAKE WALL WHIPPING CREAM (BLUE)</t>
  </si>
  <si>
    <t>bakewallwhippingcreamblue</t>
  </si>
  <si>
    <t>KERTAS EDIBLE A4</t>
  </si>
  <si>
    <t>kertasediblea4</t>
  </si>
  <si>
    <t>TUSUK GIGI</t>
  </si>
  <si>
    <t>tusukgigi</t>
  </si>
  <si>
    <t>TUSUK SATE</t>
  </si>
  <si>
    <t>tusuksate</t>
  </si>
  <si>
    <t>KUNAFA KERING</t>
  </si>
  <si>
    <t>PASTA PISTACHIO</t>
  </si>
  <si>
    <t>MARSHMELLOW</t>
  </si>
  <si>
    <t>MIKA MOONCAKE</t>
  </si>
  <si>
    <t>KERTAS FOTO A4</t>
  </si>
  <si>
    <t>STICKER DUBAI CHEWY COOKIES</t>
  </si>
  <si>
    <t>RAGI MAGEST 20x500 gr</t>
  </si>
  <si>
    <t>ragimagest20x500gr</t>
  </si>
  <si>
    <t>TOPLES 400 ML</t>
  </si>
  <si>
    <t>toples400ml</t>
  </si>
  <si>
    <t>GONDENFIL CHOCO CRUCH @1 KG</t>
  </si>
  <si>
    <t>gondenfilchococruch1kg</t>
  </si>
  <si>
    <t>DUPLEK</t>
  </si>
  <si>
    <t>duplek</t>
  </si>
  <si>
    <t>COLLATA GLAZE DARK</t>
  </si>
  <si>
    <t>COLLATA GLAZE WHITE</t>
  </si>
  <si>
    <t>collataglazewhite</t>
  </si>
  <si>
    <t>COLLATA GLAZE STRAWBERY</t>
  </si>
  <si>
    <t>collataglazestrawbery</t>
  </si>
  <si>
    <t>COLLATA GLAZE TIRAMISU</t>
  </si>
  <si>
    <t>collataglazetiramisu</t>
  </si>
  <si>
    <t>COLLATA GLAZE GREENTEA</t>
  </si>
  <si>
    <t>collataglazegreentea</t>
  </si>
  <si>
    <t>BAKERIN PLUS 20X500 GR</t>
  </si>
  <si>
    <t>MUTIARA PUTIH 4 MM</t>
  </si>
  <si>
    <t>mutiaraputih4mm</t>
  </si>
  <si>
    <t>MUTIARA EMAS 4 MM</t>
  </si>
  <si>
    <t>mutiaraemas4mm</t>
  </si>
  <si>
    <t>MUTIARA SILVER 6 MM</t>
  </si>
  <si>
    <t>MUTIARA EMAS 6 MM</t>
  </si>
  <si>
    <t>mutiaraemas6mm</t>
  </si>
  <si>
    <t>MUTIARA PUTIH 14 MM</t>
  </si>
  <si>
    <t>mutiaraputih14mm</t>
  </si>
  <si>
    <t>MUTIARA SILVER 14 MM</t>
  </si>
  <si>
    <t>TATAKAN COKLAT KOTAK 22X22</t>
  </si>
  <si>
    <t>tatakancoklatkotak22x22</t>
  </si>
  <si>
    <t>MADU TJ 150 GR</t>
  </si>
  <si>
    <t>MAYONAISE GOURMET</t>
  </si>
  <si>
    <t>mayonaisegourmet</t>
  </si>
  <si>
    <t>PLAZA FIESTA VIOLET</t>
  </si>
  <si>
    <t>PEWARNA CROSS EGG YELLOW @60ML</t>
  </si>
  <si>
    <t>MUTIARA PUTIH 8 MM</t>
  </si>
  <si>
    <t>mutiaraputih8mm</t>
  </si>
  <si>
    <t>MUTIARA SILVER 8 MM</t>
  </si>
  <si>
    <t>PASTA REDBELL TARO 55 ML</t>
  </si>
  <si>
    <t>SUSU ULTRA MILK FULL CREAM</t>
  </si>
  <si>
    <t>Liter</t>
  </si>
  <si>
    <t>susuultramilkfullcream</t>
  </si>
  <si>
    <t>LEMON</t>
  </si>
  <si>
    <t>lemon</t>
  </si>
  <si>
    <t>BUNGA</t>
  </si>
  <si>
    <t>bunga</t>
  </si>
  <si>
    <t>KERTAS ROTI 12X22</t>
  </si>
  <si>
    <t>KERTAS ROTI 22X22</t>
  </si>
  <si>
    <t>SODA KUE</t>
  </si>
  <si>
    <t>sodakue</t>
  </si>
  <si>
    <t>CMC @43 GR</t>
  </si>
  <si>
    <t>cmc43gr</t>
  </si>
  <si>
    <t>TOFFIECO VANILLA @ 1 KG</t>
  </si>
  <si>
    <t>toffiecovanilla1kg</t>
  </si>
  <si>
    <t>MAGLAM PASTA TARO @1KG</t>
  </si>
  <si>
    <t>maglampastataro1kg</t>
  </si>
  <si>
    <t>MAGLAM PASTA TARO TALAS MERAH @1KG</t>
  </si>
  <si>
    <t>maglampastatarotalasmerah1kg</t>
  </si>
  <si>
    <t>CREAMFILL CLASSIC BANANA</t>
  </si>
  <si>
    <t>KENTANG</t>
  </si>
  <si>
    <t>DAUN PISANG</t>
  </si>
  <si>
    <t>daunpisang</t>
  </si>
  <si>
    <t>PENYEDAP RASA SASA</t>
  </si>
  <si>
    <t>penyedaprasasasa</t>
  </si>
  <si>
    <t>BERAS KETAN PUTIH</t>
  </si>
  <si>
    <t>berasketanputih</t>
  </si>
  <si>
    <t>MIKA KOTAK 28</t>
  </si>
  <si>
    <t>mikakotak28</t>
  </si>
  <si>
    <t>KARTU UCAPAN 14X10</t>
  </si>
  <si>
    <t>kartuucapan14x10</t>
  </si>
  <si>
    <t>PENGHARUM</t>
  </si>
  <si>
    <t>pengharum</t>
  </si>
  <si>
    <t>COKLAT CACA BESAR @ 1KG</t>
  </si>
  <si>
    <t>coklatcacabesar1kg</t>
  </si>
  <si>
    <t>PREMIX MENTEGA PUTIH ROTI TAWAR EKO</t>
  </si>
  <si>
    <t>premixmentegaputihrotitawareko</t>
  </si>
  <si>
    <t>PALA BUBUK @ 65 GR</t>
  </si>
  <si>
    <t>palabubuk65gr</t>
  </si>
  <si>
    <t>KECAP MANIS @ 700GR</t>
  </si>
  <si>
    <t>kecapmanis700gr</t>
  </si>
  <si>
    <t>HIASAN BOLA WARNA WARNI</t>
  </si>
  <si>
    <t>hiasanbolawarnawarni</t>
  </si>
  <si>
    <t>LUSTER DUST COLOR FOOD</t>
  </si>
  <si>
    <t>lusterdustcolorfood</t>
  </si>
  <si>
    <t>PITA FISHTAIL 4 CM</t>
  </si>
  <si>
    <t>pitafishtail4cm</t>
  </si>
  <si>
    <t>COKLAT BUBUK DANISH GRADE A</t>
  </si>
  <si>
    <t>COKLAT BUBUK DANISH GRADE B</t>
  </si>
  <si>
    <t>coklatbubukdanishgradeb</t>
  </si>
  <si>
    <t>ELMER CHOCO CHIP</t>
  </si>
  <si>
    <t>SELEDRI @ 1 KG</t>
  </si>
  <si>
    <t>seledri1kg</t>
  </si>
  <si>
    <t>NUTELLA HAZELNUT 200 GR</t>
  </si>
  <si>
    <t>nutellahazelnut200gr</t>
  </si>
  <si>
    <t>SUMPIT</t>
  </si>
  <si>
    <t>sumpit</t>
  </si>
  <si>
    <t>UBE POWDER</t>
  </si>
  <si>
    <t>PEWARNA CROSS ORANGE @60 ML</t>
  </si>
  <si>
    <t>ROYAL SUPER CREAM</t>
  </si>
  <si>
    <t>ROYAL EGG TART</t>
  </si>
  <si>
    <t>POLIBAG 60X100</t>
  </si>
  <si>
    <t>POLIBAG 90X120</t>
  </si>
  <si>
    <t>SANTAN COCOMAXI 65 ML</t>
  </si>
  <si>
    <t>PREMIX</t>
  </si>
  <si>
    <t>BAHAN TAMBAHAN BOLU PISANG</t>
  </si>
  <si>
    <t>bahantambahanbolupisang</t>
  </si>
  <si>
    <t>BAHAN TAMBAHAN BROWNIES</t>
  </si>
  <si>
    <t>bahantambahanbrownies</t>
  </si>
  <si>
    <t>BAHAN TAMBAHAN LAPIS TALAS</t>
  </si>
  <si>
    <t>bahantambahanlapistalas</t>
  </si>
  <si>
    <t>BAHAN TAMBAHAN LAPIS SURABAYA</t>
  </si>
  <si>
    <t>bahantambahanlapissurabaya</t>
  </si>
  <si>
    <t>BAHAN TAMBAHAN TART</t>
  </si>
  <si>
    <t>bahantambahantart</t>
  </si>
  <si>
    <t>SODA BOLU PISANG</t>
  </si>
  <si>
    <t>sodabolupisang</t>
  </si>
  <si>
    <t>SP BOLU GULUNG EKONOMIS</t>
  </si>
  <si>
    <t>SP BOLU KETAN</t>
  </si>
  <si>
    <t>spboluketan</t>
  </si>
  <si>
    <t>SP BOLU PISANG</t>
  </si>
  <si>
    <t>SP BOLU TAPE</t>
  </si>
  <si>
    <t>spbolutape</t>
  </si>
  <si>
    <t>SP BROWNIES</t>
  </si>
  <si>
    <t>SP CAIR MILKBATH</t>
  </si>
  <si>
    <t>spcairmilkbath</t>
  </si>
  <si>
    <t>SP CAKE FLOWER</t>
  </si>
  <si>
    <t>spcakeflower</t>
  </si>
  <si>
    <t>SP CHOCOROLL</t>
  </si>
  <si>
    <t>spchocoroll</t>
  </si>
  <si>
    <t>SP HOLE TIRAMISU</t>
  </si>
  <si>
    <t>spholetiramisu</t>
  </si>
  <si>
    <t>SP JAPPANESE CAKE</t>
  </si>
  <si>
    <t>spjappanesecake</t>
  </si>
  <si>
    <t>SP KILOAN</t>
  </si>
  <si>
    <t>spkiloan</t>
  </si>
  <si>
    <t>SP LAPIS TALAS</t>
  </si>
  <si>
    <t>SP MILKBATH</t>
  </si>
  <si>
    <t>spmilkbath</t>
  </si>
  <si>
    <t>SP ROLL CAKE</t>
  </si>
  <si>
    <t>sprollcake</t>
  </si>
  <si>
    <t>SP LAPIS SURABAYA</t>
  </si>
  <si>
    <t>SP SPONGE CAKE COKLAT</t>
  </si>
  <si>
    <t>SP SPONGE CAKE VANILA</t>
  </si>
  <si>
    <t>SP TART</t>
  </si>
  <si>
    <t>SP TIRAMISU</t>
  </si>
  <si>
    <t>sptiramisu</t>
  </si>
  <si>
    <t>CAIRAN BROWNIES</t>
  </si>
  <si>
    <t>cairanbrownies</t>
  </si>
  <si>
    <t>CAIRAN CREAM</t>
  </si>
  <si>
    <t>cairancream</t>
  </si>
  <si>
    <t>MENTEGA CAIR</t>
  </si>
  <si>
    <t>Ctn</t>
  </si>
  <si>
    <t>mentegacair</t>
  </si>
  <si>
    <t>PREMIX GULA BF DEKOR</t>
  </si>
  <si>
    <t>premixgulabfdekor</t>
  </si>
  <si>
    <t>PREMIX GULA BOLLEN</t>
  </si>
  <si>
    <t>PREMIX GULA BOLU GULUNG EKONOMIS</t>
  </si>
  <si>
    <t>premixgulabolugulungekonomis</t>
  </si>
  <si>
    <t>PREMIX GULA BOLU KETAN</t>
  </si>
  <si>
    <t>premixgulaboluketan</t>
  </si>
  <si>
    <t>PREMIX GULA BOLU PISANG</t>
  </si>
  <si>
    <t>PREMIX GULA BOLU TAPE</t>
  </si>
  <si>
    <t>premixgulabolutape</t>
  </si>
  <si>
    <t>PREMIX GULA BROWNIES</t>
  </si>
  <si>
    <t>PREMIX GULA CAKE FLOWER</t>
  </si>
  <si>
    <t>premixgulacakeflower</t>
  </si>
  <si>
    <t>PREMIX GULA CHOCOROLL</t>
  </si>
  <si>
    <t>premixgulachocoroll</t>
  </si>
  <si>
    <t>PREMIX GULA HOLE TIRAMISU</t>
  </si>
  <si>
    <t>premixgulaholetiramisu</t>
  </si>
  <si>
    <t>PREMIX GULA LAPIS TALAS</t>
  </si>
  <si>
    <t>PREMIX GULA MILKBATH</t>
  </si>
  <si>
    <t>premixgulamilkbath</t>
  </si>
  <si>
    <t>PREMIX GULA MOCHI</t>
  </si>
  <si>
    <t>premixgulamochi</t>
  </si>
  <si>
    <t>PREMIX GULA RAINBOW</t>
  </si>
  <si>
    <t>premixgularainbow</t>
  </si>
  <si>
    <t>PREMIX GULA ROLL CAKE</t>
  </si>
  <si>
    <t>premixgularollcake</t>
  </si>
  <si>
    <t>PREMIX GULA ROTI MANIS</t>
  </si>
  <si>
    <t>PREMIX GULA ROTI TAWAR</t>
  </si>
  <si>
    <t>PREMIX GULA SBY DEKOR</t>
  </si>
  <si>
    <t>premixgulasbydekor</t>
  </si>
  <si>
    <t>PREMIX GULA LAPIS SURABAYA</t>
  </si>
  <si>
    <t>premixgulalapissurabaya</t>
  </si>
  <si>
    <t>PREMIX GULA SPONGE CAKE COKLAT</t>
  </si>
  <si>
    <t>premixgulaspongecakecoklat</t>
  </si>
  <si>
    <t>PREMIX GULA SPONGE CAKE VANILA</t>
  </si>
  <si>
    <t>premixgulaspongecakevanila</t>
  </si>
  <si>
    <t>PREMIX GULA SUS</t>
  </si>
  <si>
    <t>PREMIX GULA TART</t>
  </si>
  <si>
    <t>GULA PASIR KILOAN</t>
  </si>
  <si>
    <t>PREMIX SCM AMERICAN BROWNIES</t>
  </si>
  <si>
    <t>PREMIX SCM BAKPIA</t>
  </si>
  <si>
    <t>premixscmbakpia</t>
  </si>
  <si>
    <t>PREMIX SCM BF DEKOR</t>
  </si>
  <si>
    <t>premixscmbfdekor</t>
  </si>
  <si>
    <t>PREMIX SCM BLACKFOREST</t>
  </si>
  <si>
    <t>premixscmblackforest</t>
  </si>
  <si>
    <t>PREMIX SCM BOLLEN</t>
  </si>
  <si>
    <t>PREMIX SCM BOLU GULUNG EKONOMIS</t>
  </si>
  <si>
    <t>premixscmbolugulungekonomis</t>
  </si>
  <si>
    <t>PREMIX SCM BOLU KETAN</t>
  </si>
  <si>
    <t>premixscmboluketan</t>
  </si>
  <si>
    <t>PREMIX SCM BOLU PISANG</t>
  </si>
  <si>
    <t>PREMIX SCM BOLU TAPE</t>
  </si>
  <si>
    <t>premixscmbolutape</t>
  </si>
  <si>
    <t>PREMIX SCM BROWNIES</t>
  </si>
  <si>
    <t>premixscmbrownies</t>
  </si>
  <si>
    <t>PREMIX SCM BUTTER SUGAR</t>
  </si>
  <si>
    <t>PREMIX SCM CAKE FLOWER</t>
  </si>
  <si>
    <t>premixscmcakeflower</t>
  </si>
  <si>
    <t>PREMIX SCM CHIFFON</t>
  </si>
  <si>
    <t>premixscmchiffon</t>
  </si>
  <si>
    <t>PREMIX SCM CHOCOROLL</t>
  </si>
  <si>
    <t>PREMIX SCM HOLE TIRAMISU</t>
  </si>
  <si>
    <t>premixscmholetiramisu</t>
  </si>
  <si>
    <t>PREMIX SCM ISI MOCHI A GULA HALUS</t>
  </si>
  <si>
    <t>premixscmisimochiagulahalus</t>
  </si>
  <si>
    <t>PREMIX SCM ISI MOCHI A MAIZENA</t>
  </si>
  <si>
    <t>premixscmisimochiamaizena</t>
  </si>
  <si>
    <t>PREMIX SCM ISI MOCHI A SUSU BUBUK</t>
  </si>
  <si>
    <t>premixscmisimochiasusububuk</t>
  </si>
  <si>
    <t>PREMIX SCM ISI MOCHI B SUSU BUBUK</t>
  </si>
  <si>
    <t>premixscmisimochibsusububuk</t>
  </si>
  <si>
    <t>PREMIX SCM JAPPANESE CAKE</t>
  </si>
  <si>
    <t>PREMIX SCM LAPIS TALAS</t>
  </si>
  <si>
    <t>PREMIX SCM MILKBATH</t>
  </si>
  <si>
    <t>PREMIX SCM MOCHI</t>
  </si>
  <si>
    <t>PREMIX SCM MOULTEN</t>
  </si>
  <si>
    <t>premixscmmoulten</t>
  </si>
  <si>
    <t>PREMIX SCM RAINBOW</t>
  </si>
  <si>
    <t>premixscmrainbow</t>
  </si>
  <si>
    <t>PREMIX SCM RED VELVET HOLE</t>
  </si>
  <si>
    <t>premixscmredvelvethole</t>
  </si>
  <si>
    <t>PREMIX SCM ROLL CAKE</t>
  </si>
  <si>
    <t>PREMIX SCM ROTI FRENCH BREAD</t>
  </si>
  <si>
    <t>premixscmrotifrenchbread</t>
  </si>
  <si>
    <t>PREMIX SCM ROTI GANDUM</t>
  </si>
  <si>
    <t>premixscmrotigandum</t>
  </si>
  <si>
    <t>PREMIX SCM ROTI MANIS</t>
  </si>
  <si>
    <t>PREMIX SCM ROTI TAWAR</t>
  </si>
  <si>
    <t>PREMIX SCM SBY DEKOR</t>
  </si>
  <si>
    <t>premixscmsbydekor</t>
  </si>
  <si>
    <t>PREMIX SCM LAPIS SURABAYA</t>
  </si>
  <si>
    <t>premixscmlapissurabaya</t>
  </si>
  <si>
    <t>PREMIX SCM SPONGE CAKE COKLAT</t>
  </si>
  <si>
    <t>PREMIX SCM SPONGE CAKE VANILA</t>
  </si>
  <si>
    <t>premixscmspongecakevanila</t>
  </si>
  <si>
    <t>PREMIX SCM SUS</t>
  </si>
  <si>
    <t>PREMIX SCM TART</t>
  </si>
  <si>
    <t>PREMIX SCM TIRAMISU</t>
  </si>
  <si>
    <t>premixscmtiramisu</t>
  </si>
  <si>
    <t>PREMIX SCM TOPPING MEXICO</t>
  </si>
  <si>
    <t>premixscmtoppingmexico</t>
  </si>
  <si>
    <t>PREMIX SCM VLA SUS</t>
  </si>
  <si>
    <t>SP Sarang keju</t>
  </si>
  <si>
    <t>spsarangkeju</t>
  </si>
  <si>
    <t>Premix chiffon sensasi</t>
  </si>
  <si>
    <t>premixchiffonsensasi</t>
  </si>
  <si>
    <t>Premix cromboloni</t>
  </si>
  <si>
    <t>premixcromboloni</t>
  </si>
  <si>
    <t>Premix gula chiffon sensasi</t>
  </si>
  <si>
    <t>premixgulachiffonsensasi</t>
  </si>
  <si>
    <t>SP Chiffon sensasi</t>
  </si>
  <si>
    <t>spchiffonsensasi</t>
  </si>
  <si>
    <t>Premix gula cromboloni</t>
  </si>
  <si>
    <t>premixgulacromboloni</t>
  </si>
  <si>
    <t>EKL Roti manis</t>
  </si>
  <si>
    <t>eklrotimanis</t>
  </si>
  <si>
    <t>Bahan Tambahan Bolu Gulung Ekonomis</t>
  </si>
  <si>
    <t>bahantambahanbolugulungekonomis</t>
  </si>
  <si>
    <t>SP BF Dekor</t>
  </si>
  <si>
    <t>spbfdekor</t>
  </si>
  <si>
    <t>Premix chiffon sensasi coklat</t>
  </si>
  <si>
    <t>premixchiffonsensasicoklat</t>
  </si>
  <si>
    <t xml:space="preserve">PREMIX GULA BOPIS SETENGAH </t>
  </si>
  <si>
    <t>premixgulabopissetengah</t>
  </si>
  <si>
    <t xml:space="preserve">PREMIX GULA TALAS SETENGAH </t>
  </si>
  <si>
    <t>premixgulatalassetengah</t>
  </si>
  <si>
    <t xml:space="preserve">PREMIX BOLU PISANG SETENGAH </t>
  </si>
  <si>
    <t>premixbolupisangsetengah</t>
  </si>
  <si>
    <t xml:space="preserve">PREMIX BROWNIES  SETENGAH </t>
  </si>
  <si>
    <t>premixbrowniessetengah</t>
  </si>
  <si>
    <t xml:space="preserve">PREMIX LAPIS TALAS SETENGAH </t>
  </si>
  <si>
    <t>premixlapistalassetengah</t>
  </si>
  <si>
    <t xml:space="preserve">PREMIX TART SETENGAH </t>
  </si>
  <si>
    <t>premixtartsetengah</t>
  </si>
  <si>
    <t xml:space="preserve">PREMIX GULA BROWNIES SETENGAH </t>
  </si>
  <si>
    <t>premixgulabrowniessetengah</t>
  </si>
  <si>
    <t xml:space="preserve">PREMIX GULA TART SETENGAH </t>
  </si>
  <si>
    <t>premixgulatartsetengah</t>
  </si>
  <si>
    <t>SP BOLU PISANG SETENGAH</t>
  </si>
  <si>
    <t>spbolupisangsetengah</t>
  </si>
  <si>
    <t xml:space="preserve">SP LAPIS  TALAS SETENGAH </t>
  </si>
  <si>
    <t>splapistalassetengah</t>
  </si>
  <si>
    <t>SP BROWNIES SETENGAH</t>
  </si>
  <si>
    <t>spbrowniessetengah</t>
  </si>
  <si>
    <t>SP TART SETENGAH</t>
  </si>
  <si>
    <t>sptartsetengah</t>
  </si>
  <si>
    <t>BAHAN TAMBAHAN BOLU PISANG SETENGAH</t>
  </si>
  <si>
    <t>bahantambahanbolupisangsetengah</t>
  </si>
  <si>
    <t>BAHAN TAMBAHAN LAPIS TALAS SETENGAH</t>
  </si>
  <si>
    <t>bahantambahanlapistalassetengah</t>
  </si>
  <si>
    <t>BAHAN TAMBAHAN BROWNIES SETENGAH</t>
  </si>
  <si>
    <t>bahantambahanbrowniessetengah</t>
  </si>
  <si>
    <t>BAHAN TAMBAHAN TART SETENGAH</t>
  </si>
  <si>
    <t>bahantambahantartsetengah</t>
  </si>
  <si>
    <t>MAIZENA KILOAN</t>
  </si>
  <si>
    <t>maizenakiloan</t>
  </si>
  <si>
    <t>COKLAT BUBUK KILOAN</t>
  </si>
  <si>
    <t>coklatbubukkiloan</t>
  </si>
  <si>
    <t>SODA BOLU PISANG SETENGAH</t>
  </si>
  <si>
    <t>sodabolupisangsetengah</t>
  </si>
  <si>
    <t>PREMIX SCM ROTI TAWAR EKONOMIS</t>
  </si>
  <si>
    <t>PREMIX GULA ROTI TAWAR EKONOMIS</t>
  </si>
  <si>
    <t>TERIGU TALI MAS KILOAN</t>
  </si>
  <si>
    <t>terigutalimaskiloan</t>
  </si>
  <si>
    <t>Premix gula chiffon sensasi coklat</t>
  </si>
  <si>
    <t>premixgulachiffonsensasicoklat</t>
  </si>
  <si>
    <t>SP chiffon sensasi coklat</t>
  </si>
  <si>
    <t>spchiffonsensasicoklat</t>
  </si>
  <si>
    <t>Bahan Tambahan Chiffon Sensasi</t>
  </si>
  <si>
    <t>bahantambahanchiffonsensasi</t>
  </si>
  <si>
    <t>TERIGU STUPA KILOAN</t>
  </si>
  <si>
    <t>terigustupakiloan</t>
  </si>
  <si>
    <t>SUSU BUBUK KILOAN</t>
  </si>
  <si>
    <t>susububukkiloan</t>
  </si>
  <si>
    <t>PREMIX SCM DANISH COKLAT BELEPOTAN</t>
  </si>
  <si>
    <t>PREMIX GULA DANISH COKLAT BELEPOTAN</t>
  </si>
  <si>
    <t>PREMIX BAKING POWDER</t>
  </si>
  <si>
    <t>premixbakingpowder</t>
  </si>
  <si>
    <t>PREMIX COOKIES LIDAH KUCING</t>
  </si>
  <si>
    <t>premixcookieslidahkucing</t>
  </si>
  <si>
    <t>PREMIX COOKIES NASTAR SULTAN</t>
  </si>
  <si>
    <t>premixcookiesnastarsultan</t>
  </si>
  <si>
    <t>PREMIX COOKIES KASTANGLES</t>
  </si>
  <si>
    <t>premixcookieskastangles</t>
  </si>
  <si>
    <t>PREMIX COOKIES PUTRI SALJU</t>
  </si>
  <si>
    <t>premixcookiesputrisalju</t>
  </si>
  <si>
    <t>PREMIX FILLING COKLAT RIMBO</t>
  </si>
  <si>
    <t>COKLAT STICK BELEPOTAN</t>
  </si>
  <si>
    <t>coklatstickbelepotan</t>
  </si>
  <si>
    <t>PREMIX DUBAI CHEWY COOKIE</t>
  </si>
  <si>
    <t>PREMIX MENTEGA BASIC</t>
  </si>
  <si>
    <t>PREMIX MENTEGA ROTI</t>
  </si>
  <si>
    <t>premixmentegaroti</t>
  </si>
  <si>
    <t>PREMIX MENTEGA DUBAI</t>
  </si>
  <si>
    <t>premixmentegadubai</t>
  </si>
  <si>
    <t>SISA PRODUKSI</t>
  </si>
  <si>
    <t>BAKING POWDER XENADA @1X25KG</t>
  </si>
  <si>
    <t>Bag</t>
  </si>
  <si>
    <t>BEIKA P 500</t>
  </si>
  <si>
    <t>bag</t>
  </si>
  <si>
    <t>CALSIUM @20KG</t>
  </si>
  <si>
    <t>CHEFAMATE COCOA POWDER ZAK 10KG</t>
  </si>
  <si>
    <t>DISHWASH 5LITER</t>
  </si>
  <si>
    <t>Jar</t>
  </si>
  <si>
    <t>GARAM</t>
  </si>
  <si>
    <t>HAND GLOVE NUTRILE SENSI</t>
  </si>
  <si>
    <t>Pak</t>
  </si>
  <si>
    <t>handglovenutrilesensi</t>
  </si>
  <si>
    <t xml:space="preserve">JUMBO ROLL TISSUE </t>
  </si>
  <si>
    <t>K. H. ROBERT</t>
  </si>
  <si>
    <t>MAIZENA CHEILJEDANG @25KG</t>
  </si>
  <si>
    <t>PALMIA BOS @1X15KG</t>
  </si>
  <si>
    <t>PALMIA SUPERCAKE @1X15KG</t>
  </si>
  <si>
    <t>PLASTIK PE 12X30 (CAP BAWANG)</t>
  </si>
  <si>
    <t>PLASTIK PE 14X35 (CAP BAWANG)</t>
  </si>
  <si>
    <t>PLASTIK PE 20X40 (CAP BAWANG)</t>
  </si>
  <si>
    <t>PLASTIK PE 3,8X25 (CAP BAWANG)</t>
  </si>
  <si>
    <t>PLASTIK PE 40X60 (CAP BAWANG)</t>
  </si>
  <si>
    <t>POLIBAG</t>
  </si>
  <si>
    <t>POTASIUM SORBAT @25KG</t>
  </si>
  <si>
    <t>RED HANDSOAP 5LITER</t>
  </si>
  <si>
    <t>SASA SANTAN BUBUK @10X12X23GR</t>
  </si>
  <si>
    <t>sasasantanbubuk10x12x23gr</t>
  </si>
  <si>
    <t>SODA KUE MALAN @25KG</t>
  </si>
  <si>
    <t>SPONTAN 88 @1X20KG</t>
  </si>
  <si>
    <t>Pail</t>
  </si>
  <si>
    <t>SUSU BUBUK F-04 @ 25 KG</t>
  </si>
  <si>
    <t>TEPUNG SPONGEMIX VANILA @1X10KG</t>
  </si>
  <si>
    <t>TERIGU BOLA SALJU @1X25KG</t>
  </si>
  <si>
    <t>TERIGU PREMIUM HANA CHIFFON 10KG</t>
  </si>
  <si>
    <t>TEPUNG KETAN ROSEBRAND @20X500GR</t>
  </si>
  <si>
    <t>TEPUNG KETAN HITAM @20X250 GRAM</t>
  </si>
  <si>
    <t>TERIGU LONCENG HIJAU @1X25 KG</t>
  </si>
  <si>
    <t>TERIGU PERDANA @1X25 KG</t>
  </si>
  <si>
    <t>VANILI CRYSTAL</t>
  </si>
  <si>
    <t>HAND GLOVE LATEX</t>
  </si>
  <si>
    <t>HAIRNET @100 PCS</t>
  </si>
  <si>
    <t>SKU</t>
  </si>
  <si>
    <t>Nama Produk</t>
  </si>
  <si>
    <t>Kategori</t>
  </si>
  <si>
    <t>Stok Tersedia</t>
  </si>
  <si>
    <t>Stok Minimal</t>
  </si>
  <si>
    <t>Status</t>
  </si>
  <si>
    <t>Nilai Stok (Rp)</t>
  </si>
  <si>
    <t>RM-FS-26-008</t>
  </si>
  <si>
    <t>Fruits &amp; Seeds</t>
  </si>
  <si>
    <t>AMAN</t>
  </si>
  <si>
    <t>RM-FS-26-034</t>
  </si>
  <si>
    <t>Abon Ayam Pedas</t>
  </si>
  <si>
    <t>RM-FS-26-032</t>
  </si>
  <si>
    <t>Abon Sapi Piala @4X1Kg</t>
  </si>
  <si>
    <t>WARNING</t>
  </si>
  <si>
    <t>RM-FS-26-033</t>
  </si>
  <si>
    <t>Abon Sapi Piala Pedas @4X1Kg</t>
  </si>
  <si>
    <t>HABIS</t>
  </si>
  <si>
    <t>RM-TF-26-061</t>
  </si>
  <si>
    <t>Agar-Agar Swallow</t>
  </si>
  <si>
    <t>Toping/Filling</t>
  </si>
  <si>
    <t>RM-PX-26-128</t>
  </si>
  <si>
    <t>Air Mineral 200 Ml</t>
  </si>
  <si>
    <t>Premix</t>
  </si>
  <si>
    <t>RM-PX-26-145</t>
  </si>
  <si>
    <t>Air Mineral 220 Ml</t>
  </si>
  <si>
    <t>RM-PX-26-149</t>
  </si>
  <si>
    <t>Air Mineral 330 Ml</t>
  </si>
  <si>
    <t>RM-AL-26-001</t>
  </si>
  <si>
    <t>Alas Kue</t>
  </si>
  <si>
    <t>RM-AL-26-020</t>
  </si>
  <si>
    <t>Alas Kotak 10X10</t>
  </si>
  <si>
    <t>RM-AL-26-015</t>
  </si>
  <si>
    <t>Alas Kotak Emas Kecil</t>
  </si>
  <si>
    <t>RM-AK-26-002</t>
  </si>
  <si>
    <t>Aksesoris</t>
  </si>
  <si>
    <t>RM-FS-26-002</t>
  </si>
  <si>
    <t>RM-GC-26-026</t>
  </si>
  <si>
    <t>General/Chemical</t>
  </si>
  <si>
    <t>ROLL</t>
  </si>
  <si>
    <t>RM-MM-26-001</t>
  </si>
  <si>
    <t>Minyak &amp; Mentega</t>
  </si>
  <si>
    <t>RM-FR-26-001</t>
  </si>
  <si>
    <t>Frozen</t>
  </si>
  <si>
    <t>RM-FS-26-039</t>
  </si>
  <si>
    <t>Anggur</t>
  </si>
  <si>
    <t>RM-FS-26-042</t>
  </si>
  <si>
    <t>Ayam Fillet</t>
  </si>
  <si>
    <t>GR</t>
  </si>
  <si>
    <t>RM-AK-26-003</t>
  </si>
  <si>
    <t>RM-AK-26-004</t>
  </si>
  <si>
    <t>RM-AK-26-005</t>
  </si>
  <si>
    <t>RM-AK-26-006</t>
  </si>
  <si>
    <t>RM-AK-26-007</t>
  </si>
  <si>
    <t>RM-AK-26-008</t>
  </si>
  <si>
    <t>RM-AK-26-009</t>
  </si>
  <si>
    <t>RM-AK-26-010</t>
  </si>
  <si>
    <t>RM-AK-26-011</t>
  </si>
  <si>
    <t>RM-AK-26-012</t>
  </si>
  <si>
    <t>RM-AK-26-013</t>
  </si>
  <si>
    <t>RM-AK-26-017</t>
  </si>
  <si>
    <t>RM-AK-26-014</t>
  </si>
  <si>
    <t>RM-AK-26-015</t>
  </si>
  <si>
    <t>RM-AK-26-016</t>
  </si>
  <si>
    <t>Backround Kecil Upin Ipin</t>
  </si>
  <si>
    <t>backroundkecilupinipin</t>
  </si>
  <si>
    <t>RM-AK-26-018</t>
  </si>
  <si>
    <t>Backround Kuda Poni</t>
  </si>
  <si>
    <t>RM-AK-26-019</t>
  </si>
  <si>
    <t>Backround Marsha</t>
  </si>
  <si>
    <t>backroundmarsha</t>
  </si>
  <si>
    <t>RM-AK-26-020</t>
  </si>
  <si>
    <t>Backround Minion</t>
  </si>
  <si>
    <t>RM-AK-26-021</t>
  </si>
  <si>
    <t>Backround Mouse</t>
  </si>
  <si>
    <t>backroundmouse</t>
  </si>
  <si>
    <t>RM-AK-26-022</t>
  </si>
  <si>
    <t>Backround Princess</t>
  </si>
  <si>
    <t>backroundprincess</t>
  </si>
  <si>
    <t>RM-AK-26-023</t>
  </si>
  <si>
    <t>Backround Shortcake</t>
  </si>
  <si>
    <t>RM-AK-26-024</t>
  </si>
  <si>
    <t>Backround Sofia</t>
  </si>
  <si>
    <t>backroundsofia</t>
  </si>
  <si>
    <t>RM-AK-26-025</t>
  </si>
  <si>
    <t>RM-AK-26-026</t>
  </si>
  <si>
    <t>RM-AK-26-027</t>
  </si>
  <si>
    <t>RM-PX-26-103</t>
  </si>
  <si>
    <t>RM-PX-26-001</t>
  </si>
  <si>
    <t>Bahan Tambahan Bolu Pisang</t>
  </si>
  <si>
    <t>RM-PX-26-005</t>
  </si>
  <si>
    <t>Bahan Tambahan Brownies</t>
  </si>
  <si>
    <t>RM-PX-26-127</t>
  </si>
  <si>
    <t>RM-PX-26-002</t>
  </si>
  <si>
    <t>Bahan Tambahan Lapis Talas</t>
  </si>
  <si>
    <t>RM-FR-26-032</t>
  </si>
  <si>
    <t>Bake Wall Whipping Cream (Blue)</t>
  </si>
  <si>
    <t>RM-EM-26-031</t>
  </si>
  <si>
    <t>Bakerin Plus 20X500 Gr</t>
  </si>
  <si>
    <t>Emulisi</t>
  </si>
  <si>
    <t>RM-CS-26-049</t>
  </si>
  <si>
    <t>Baking Paper 40X60 Cm @500 Sheet</t>
  </si>
  <si>
    <t>Case/Sticker</t>
  </si>
  <si>
    <t>RM-EM-26-001</t>
  </si>
  <si>
    <t>RM-AK-26-133</t>
  </si>
  <si>
    <t>Balon Foil Angka 0-9 @10 Pack</t>
  </si>
  <si>
    <t>RM-AK-26-134</t>
  </si>
  <si>
    <t>Balon Foil Huruf A-Z @10 Pack</t>
  </si>
  <si>
    <t>RM-AK-26-030</t>
  </si>
  <si>
    <t>RM-VG-26-002</t>
  </si>
  <si>
    <t>Vegetable</t>
  </si>
  <si>
    <t>RM-VG-26-001</t>
  </si>
  <si>
    <t>RM-VG-26-021</t>
  </si>
  <si>
    <t>Bawang Merah @ 1 Kg</t>
  </si>
  <si>
    <t>RM-VG-26-008</t>
  </si>
  <si>
    <t>Bawang Putih @ 1 Kg</t>
  </si>
  <si>
    <t>RM-FS-26-053</t>
  </si>
  <si>
    <t>Beras Ketan Putih</t>
  </si>
  <si>
    <t>RM-VG-26-016</t>
  </si>
  <si>
    <t>Bihun</t>
  </si>
  <si>
    <t>RM-TF-26-058</t>
  </si>
  <si>
    <t>Biskuit Marie</t>
  </si>
  <si>
    <t>PACK</t>
  </si>
  <si>
    <t>RM-TF-26-059</t>
  </si>
  <si>
    <t>Biskuit Rodeo</t>
  </si>
  <si>
    <t>RM-CD-26-001</t>
  </si>
  <si>
    <t>Coklat/Dekorative</t>
  </si>
  <si>
    <t>RM-FS-26-043</t>
  </si>
  <si>
    <t>Bumbu Kare Indofood</t>
  </si>
  <si>
    <t>RM-TF-26-048</t>
  </si>
  <si>
    <t>RM-TF-26-047</t>
  </si>
  <si>
    <t>RM-AK-26-173</t>
  </si>
  <si>
    <t>Bunga</t>
  </si>
  <si>
    <t>RM-PX-14-05552</t>
  </si>
  <si>
    <t>Butter Cream</t>
  </si>
  <si>
    <t>buttercream</t>
  </si>
  <si>
    <t>RM-MM-26-024</t>
  </si>
  <si>
    <t>Butter Wysman</t>
  </si>
  <si>
    <t>RM-VG-26-024</t>
  </si>
  <si>
    <t>Cabe Rawit</t>
  </si>
  <si>
    <t>RM-PX-26-007</t>
  </si>
  <si>
    <t>Cairan Brownies</t>
  </si>
  <si>
    <t>RM-CS-26-044</t>
  </si>
  <si>
    <t>Cake Case</t>
  </si>
  <si>
    <t>RM-EM-26-002</t>
  </si>
  <si>
    <t>RM-EM-26-027</t>
  </si>
  <si>
    <t>Calsium Propionate Niacet @1X25Kg</t>
  </si>
  <si>
    <t>RM-OP-26-001</t>
  </si>
  <si>
    <t>Opp/Pe</t>
  </si>
  <si>
    <t>RM-KJ-26-008</t>
  </si>
  <si>
    <t>Keju</t>
  </si>
  <si>
    <t>RM-CD-26-020</t>
  </si>
  <si>
    <t>RM-TF-26-023</t>
  </si>
  <si>
    <t>RM-TF-26-028</t>
  </si>
  <si>
    <t>RM-TF-26-025</t>
  </si>
  <si>
    <t>RM-CD-26-004</t>
  </si>
  <si>
    <t>RM-CD-26-005</t>
  </si>
  <si>
    <t>RM-TF-26-041</t>
  </si>
  <si>
    <t>Chefmate Paste Choco Crunch 4X5 Kg</t>
  </si>
  <si>
    <t>RM-CD-26-009</t>
  </si>
  <si>
    <t>RM-CD-26-012</t>
  </si>
  <si>
    <t>RM-FS-26-035</t>
  </si>
  <si>
    <t>Cherry Wilmond @ 2Kg</t>
  </si>
  <si>
    <t>RM-FR-26-006</t>
  </si>
  <si>
    <t>RM-SP-26-022</t>
  </si>
  <si>
    <t>Chicken Seasoning Powder Knorr @ 1 Kg</t>
  </si>
  <si>
    <t>Sauce/Powder</t>
  </si>
  <si>
    <t>RM-EM-26-033</t>
  </si>
  <si>
    <t>CMC @43 Gr</t>
  </si>
  <si>
    <t>RM-CD-26-014</t>
  </si>
  <si>
    <t>Coklat Bubuk Bordeux</t>
  </si>
  <si>
    <t>coklatbubukbordeux</t>
  </si>
  <si>
    <t>100313</t>
  </si>
  <si>
    <t>Coklat Bubuk Danish Grade A</t>
  </si>
  <si>
    <t>(Tanpa Kategori)</t>
  </si>
  <si>
    <t>100314</t>
  </si>
  <si>
    <t>Coklat Bubuk Danish Grade B</t>
  </si>
  <si>
    <t>RM-TF-26-075</t>
  </si>
  <si>
    <t>Coklat Bubuk Diamond @5 Kg</t>
  </si>
  <si>
    <t>RM-TF-26-083</t>
  </si>
  <si>
    <t>Coklat Filling Filoku @4X5Kg</t>
  </si>
  <si>
    <t>RM-TF-26-086</t>
  </si>
  <si>
    <t>Coklat Pasta Rimbo</t>
  </si>
  <si>
    <t>RM-TF-26-088</t>
  </si>
  <si>
    <t>Coklat Stick Belepotan</t>
  </si>
  <si>
    <t>RM-CD-26-015</t>
  </si>
  <si>
    <t>RM-CD-26-016</t>
  </si>
  <si>
    <t>Collata Choco Stick 8X1.2Kg</t>
  </si>
  <si>
    <t>collatachocostick8x12kg</t>
  </si>
  <si>
    <t>RM-TF-26-093</t>
  </si>
  <si>
    <t>Collata Glaze Dark</t>
  </si>
  <si>
    <t>RM-TF-26-095</t>
  </si>
  <si>
    <t>Collata Glaze Greentea</t>
  </si>
  <si>
    <t>RM-TF-26-094</t>
  </si>
  <si>
    <t>Collata Glaze Strawbery</t>
  </si>
  <si>
    <t>RM-TF-26-096</t>
  </si>
  <si>
    <t>Collata Glaze Tiramisu</t>
  </si>
  <si>
    <t>RM-TF-26-092</t>
  </si>
  <si>
    <t>Collata Glaze White</t>
  </si>
  <si>
    <t>RM-FR-26-029</t>
  </si>
  <si>
    <t>Cooking Cream Anchor @ 1 Liter</t>
  </si>
  <si>
    <t>RM-CS-26-001</t>
  </si>
  <si>
    <t>RM-CS-26-002</t>
  </si>
  <si>
    <t>RM-CS-26-003</t>
  </si>
  <si>
    <t>RM-CS-26-035</t>
  </si>
  <si>
    <t>Cover Dessert Panacota</t>
  </si>
  <si>
    <t>RM-CS-26-004</t>
  </si>
  <si>
    <t>Cover Hampers</t>
  </si>
  <si>
    <t>RM-TF-26-082</t>
  </si>
  <si>
    <t>Cracker Ball Warna Kuning</t>
  </si>
  <si>
    <t>RM-TF-26-079</t>
  </si>
  <si>
    <t>Crackerball Warna Coklat</t>
  </si>
  <si>
    <t>RM-TF-26-080</t>
  </si>
  <si>
    <t>Crackerball Warna Pink</t>
  </si>
  <si>
    <t>RM-TF-26-078</t>
  </si>
  <si>
    <t>Crackerball Warna Putih</t>
  </si>
  <si>
    <t>RM-TF-26-081</t>
  </si>
  <si>
    <t>Crackerball Warna Ungu</t>
  </si>
  <si>
    <t>RM-TF-26-106</t>
  </si>
  <si>
    <t>Creamfill Classic Banana</t>
  </si>
  <si>
    <t>Topping/Filling</t>
  </si>
  <si>
    <t>RM-TF-26-053</t>
  </si>
  <si>
    <t>Creamfill Vanila 5Kg</t>
  </si>
  <si>
    <t>RM-TF-26-004</t>
  </si>
  <si>
    <t>RM-CS-26-038</t>
  </si>
  <si>
    <t>Cup Bento Cake</t>
  </si>
  <si>
    <t>RM-SS-26-010</t>
  </si>
  <si>
    <t>Dancow Coklat 1Kg</t>
  </si>
  <si>
    <t>Susu</t>
  </si>
  <si>
    <t>RM-SS-26-011</t>
  </si>
  <si>
    <t>Dancow Instant 1Kg</t>
  </si>
  <si>
    <t>RM-VG-26-015</t>
  </si>
  <si>
    <t>Daun Jeruk</t>
  </si>
  <si>
    <t>daunjeruk</t>
  </si>
  <si>
    <t>RM-VG-26-023</t>
  </si>
  <si>
    <t>Daun Pisang</t>
  </si>
  <si>
    <t>RM-VG-26-013</t>
  </si>
  <si>
    <t>Daun Salam</t>
  </si>
  <si>
    <t>RM-GC-26-001</t>
  </si>
  <si>
    <t>LTR</t>
  </si>
  <si>
    <t>RM-GC-26-002</t>
  </si>
  <si>
    <t>RM-AL-26-021</t>
  </si>
  <si>
    <t>Doilies Paper</t>
  </si>
  <si>
    <t>RM-FR-26-008</t>
  </si>
  <si>
    <t>Domino Smoked Beef @100X250Gr</t>
  </si>
  <si>
    <t>dominosmokedbeef100x250gr</t>
  </si>
  <si>
    <t>RM-ID-26-061</t>
  </si>
  <si>
    <t>Duplek</t>
  </si>
  <si>
    <t>Ivory/Duplex</t>
  </si>
  <si>
    <t>RM-ID-26-001</t>
  </si>
  <si>
    <t>RM-ID-26-002</t>
  </si>
  <si>
    <t>RM-ID-26-003</t>
  </si>
  <si>
    <t>Dus 22X22 Bf Ultah Besar Kuning</t>
  </si>
  <si>
    <t>dus22x22bfultahbesarkuning</t>
  </si>
  <si>
    <t>RM-ID-26-005</t>
  </si>
  <si>
    <t>Dus Bf Ultah 22X22</t>
  </si>
  <si>
    <t>RM-ID-26-004</t>
  </si>
  <si>
    <t>Dus Bf Ultah 28X28</t>
  </si>
  <si>
    <t>RM-ID-26-011</t>
  </si>
  <si>
    <t>RM-ID-26-012</t>
  </si>
  <si>
    <t>RM-ID-26-016</t>
  </si>
  <si>
    <t>RM-ID-26-020</t>
  </si>
  <si>
    <t>RM-ID-26-053</t>
  </si>
  <si>
    <t>RM-ID-26-023</t>
  </si>
  <si>
    <t>RM-ID-26-024</t>
  </si>
  <si>
    <t>RM-ID-26-052</t>
  </si>
  <si>
    <t>Dus Chiffon Sensasi</t>
  </si>
  <si>
    <t>RM-ID-26-027</t>
  </si>
  <si>
    <t>RM-ID-26-029</t>
  </si>
  <si>
    <t>RM-ID-26-048</t>
  </si>
  <si>
    <t>RM-ID-26-031</t>
  </si>
  <si>
    <t>RM-ID-26-032</t>
  </si>
  <si>
    <t>RM-ID-26-033</t>
  </si>
  <si>
    <t>RM-ID-26-056</t>
  </si>
  <si>
    <t>Dus Lapis Surabaya</t>
  </si>
  <si>
    <t>RM-ID-26-034</t>
  </si>
  <si>
    <t>RM-ID-26-037</t>
  </si>
  <si>
    <t>RM-ID-26-049</t>
  </si>
  <si>
    <t>RM-ID-26-038</t>
  </si>
  <si>
    <t>RM-ID-26-039</t>
  </si>
  <si>
    <t>RM-ID-26-040</t>
  </si>
  <si>
    <t>RM-ID-26-041</t>
  </si>
  <si>
    <t>RM-ID-26-042</t>
  </si>
  <si>
    <t>RM-ID-26-043</t>
  </si>
  <si>
    <t>RM-ID-26-058</t>
  </si>
  <si>
    <t>Dus Online Shop Isi 2</t>
  </si>
  <si>
    <t>RM-ID-26-059</t>
  </si>
  <si>
    <t>Dus Online Shop Isi 4</t>
  </si>
  <si>
    <t>RM-ID-26-060</t>
  </si>
  <si>
    <t>Dus Online Shop Isi 6</t>
  </si>
  <si>
    <t>RM-ID-26-050</t>
  </si>
  <si>
    <t>RM-ID-26-047</t>
  </si>
  <si>
    <t>RM-ID-26-055</t>
  </si>
  <si>
    <t>Dus Snackbox 12X12</t>
  </si>
  <si>
    <t>RM-ID-26-054</t>
  </si>
  <si>
    <t>Dus Snackbox 14X12</t>
  </si>
  <si>
    <t>RM-ID-26-057</t>
  </si>
  <si>
    <t>Dus Snackbox 14X12 Polos</t>
  </si>
  <si>
    <t>RM-ID-26-044</t>
  </si>
  <si>
    <t>RM-ID-26-045</t>
  </si>
  <si>
    <t>RM-GL-26-001</t>
  </si>
  <si>
    <t>Gula</t>
  </si>
  <si>
    <t>RM-FS-26-048</t>
  </si>
  <si>
    <t>Egg White Powder</t>
  </si>
  <si>
    <t>009</t>
  </si>
  <si>
    <t>Elmer Choco Chip</t>
  </si>
  <si>
    <t>RM-CD-26-080</t>
  </si>
  <si>
    <t>Elmer Choco Stick Dark @10 kg</t>
  </si>
  <si>
    <t>Umum</t>
  </si>
  <si>
    <t>elmerchocostickdark10kg</t>
  </si>
  <si>
    <t>RM-TF-26-008</t>
  </si>
  <si>
    <t>RM-TF-26-011</t>
  </si>
  <si>
    <t>Elmer Glaze Dark @2X5Kg</t>
  </si>
  <si>
    <t>RM-TF-26-012</t>
  </si>
  <si>
    <t>Elmer Glaze Greentea @2X5Kg</t>
  </si>
  <si>
    <t>RM-TF-26-016</t>
  </si>
  <si>
    <t>Elmer Glaze Strawberry @2X5Kg</t>
  </si>
  <si>
    <t>RM-TF-26-017</t>
  </si>
  <si>
    <t>RM-TF-26-018</t>
  </si>
  <si>
    <t>Elmer Glaze Tiramisu @2X5Kg</t>
  </si>
  <si>
    <t>RM-TF-26-019</t>
  </si>
  <si>
    <t>Elmer Glaze White @2X5Kg</t>
  </si>
  <si>
    <t>RM-PX-26-130</t>
  </si>
  <si>
    <t>Es Batu</t>
  </si>
  <si>
    <t>RM-MM-26-022</t>
  </si>
  <si>
    <t>Filma Puff Pastry@ 12 X 1 Kg</t>
  </si>
  <si>
    <t>RM-GC-26-007</t>
  </si>
  <si>
    <t>RM-TP-26-004</t>
  </si>
  <si>
    <t>Tepung</t>
  </si>
  <si>
    <t>RM-GL-26-002</t>
  </si>
  <si>
    <t>RM-SP-26-006</t>
  </si>
  <si>
    <t>RM-GC-26-036</t>
  </si>
  <si>
    <t>Garpu Plastik Kue Ultah</t>
  </si>
  <si>
    <t>RM-GC-26-010</t>
  </si>
  <si>
    <t>RM-GC-26-043</t>
  </si>
  <si>
    <t>Gas Portable</t>
  </si>
  <si>
    <t>RM-TF-26-006</t>
  </si>
  <si>
    <t>RM-PP-26-001</t>
  </si>
  <si>
    <t>Golden Brown Redvelvet</t>
  </si>
  <si>
    <t>Pasta &amp; Pewarna</t>
  </si>
  <si>
    <t>RM-TF-26-054</t>
  </si>
  <si>
    <t>RM-TF-26-097</t>
  </si>
  <si>
    <t>Gondenfil Choco Cruch @1 Kg</t>
  </si>
  <si>
    <t>RM-SP-26-008</t>
  </si>
  <si>
    <t>RM-SP-26-020</t>
  </si>
  <si>
    <t>Greentea Powder</t>
  </si>
  <si>
    <t>RM-GL-26-003</t>
  </si>
  <si>
    <t>RM-GL-26-015</t>
  </si>
  <si>
    <t>Gula Halus Claris Merah 4Kg</t>
  </si>
  <si>
    <t>RM-GL-26-020</t>
  </si>
  <si>
    <t>Gula Halus Claris Orange</t>
  </si>
  <si>
    <t>RM-GL-26-014</t>
  </si>
  <si>
    <t>Gula Halus Kis 10 Kg</t>
  </si>
  <si>
    <t>RM-PX-26-033</t>
  </si>
  <si>
    <t>Gula Pasir Kiloan</t>
  </si>
  <si>
    <t>RM-GL-26-016</t>
  </si>
  <si>
    <t>Gula Rafinasi @ 50Kg</t>
  </si>
  <si>
    <t>RM-GL-26-005</t>
  </si>
  <si>
    <t>RM-GC-26-012</t>
  </si>
  <si>
    <t>RM-GC-26-014</t>
  </si>
  <si>
    <t>RM-SO-26-0001</t>
  </si>
  <si>
    <t>RM-GC-26-013</t>
  </si>
  <si>
    <t>Hand Glove Plastik Liberty</t>
  </si>
  <si>
    <t>handgloveplastikliberty</t>
  </si>
  <si>
    <t>RM-GC-26-017</t>
  </si>
  <si>
    <t>Handsanityzer</t>
  </si>
  <si>
    <t>RM-EM-26-015</t>
  </si>
  <si>
    <t>Hira Manna Sp 20Kg</t>
  </si>
  <si>
    <t>RM-MM-26-003</t>
  </si>
  <si>
    <t>RM-GC-26-018</t>
  </si>
  <si>
    <t>1</t>
  </si>
  <si>
    <t>RM-EM-26-028</t>
  </si>
  <si>
    <t>If 100 @20X500 Gr</t>
  </si>
  <si>
    <t>RM-SP-26-009</t>
  </si>
  <si>
    <t>RM-FS-26-037</t>
  </si>
  <si>
    <t>RM-VG-26-019</t>
  </si>
  <si>
    <t>Jinten Bubuk</t>
  </si>
  <si>
    <t>jintenbubuk</t>
  </si>
  <si>
    <t>RM-PP-26-002</t>
  </si>
  <si>
    <t>RM-TF-26-056</t>
  </si>
  <si>
    <t>Kacang Cincang @1Kg X 10</t>
  </si>
  <si>
    <t>RM-TF-26-064</t>
  </si>
  <si>
    <t>Kacang Tanah</t>
  </si>
  <si>
    <t>RM-AK-26-174</t>
  </si>
  <si>
    <t>Kartu Ucapan 14x10</t>
  </si>
  <si>
    <t>RM-SP-26-024</t>
  </si>
  <si>
    <t>Kecap Manis @ 700Gr</t>
  </si>
  <si>
    <t>RM-KJ-26-015</t>
  </si>
  <si>
    <t>Keju Edam</t>
  </si>
  <si>
    <t>RM-KJ-26-013</t>
  </si>
  <si>
    <t>Keju Parmesan Anchor @ 1 Kg</t>
  </si>
  <si>
    <t>RM-KJ-26-004</t>
  </si>
  <si>
    <t>RM-KJ-26-014</t>
  </si>
  <si>
    <t>Keju Wincheez Custom C @8X2Kg</t>
  </si>
  <si>
    <t>RM-TF-26-077</t>
  </si>
  <si>
    <t>Kelapa Kering</t>
  </si>
  <si>
    <t>RM-VG-26-017</t>
  </si>
  <si>
    <t>Kemiri</t>
  </si>
  <si>
    <t>RM-VG-26-022</t>
  </si>
  <si>
    <t>Kentang</t>
  </si>
  <si>
    <t>RM-AK-26-035</t>
  </si>
  <si>
    <t>RM-CS-26-043</t>
  </si>
  <si>
    <t>Kertas Edible A4</t>
  </si>
  <si>
    <t>RM-CS-26-054</t>
  </si>
  <si>
    <t>Kertas Foto A4</t>
  </si>
  <si>
    <t>RM-CS-26-060</t>
  </si>
  <si>
    <t>Kertas Roti 12x22</t>
  </si>
  <si>
    <t>RM-CS-26-005</t>
  </si>
  <si>
    <t>RM-CS-26-006</t>
  </si>
  <si>
    <t>RM-CS-26-061</t>
  </si>
  <si>
    <t>Kertas Roti 22x22</t>
  </si>
  <si>
    <t>RM-CS-26-007</t>
  </si>
  <si>
    <t>RM-CS-26-008</t>
  </si>
  <si>
    <t>RM-CS-26-009</t>
  </si>
  <si>
    <t>RM-CS-26-047</t>
  </si>
  <si>
    <t>Kertas Roti Diameter 13</t>
  </si>
  <si>
    <t>RM-CS-26-046</t>
  </si>
  <si>
    <t>Kertas Roti Diameter 17</t>
  </si>
  <si>
    <t>RM-VG-26-018</t>
  </si>
  <si>
    <t>Ketumbar</t>
  </si>
  <si>
    <t>ketumbar</t>
  </si>
  <si>
    <t>RM-FS-26-006</t>
  </si>
  <si>
    <t>RM-FS-26-046</t>
  </si>
  <si>
    <t>Kiwi</t>
  </si>
  <si>
    <t>RM-TF-26-070</t>
  </si>
  <si>
    <t>Kopi Indocoffee Mix</t>
  </si>
  <si>
    <t>RM-AK-26-128</t>
  </si>
  <si>
    <t>RM-OP-26-002</t>
  </si>
  <si>
    <t>Kresek 24X30/47 @1000 (S)</t>
  </si>
  <si>
    <t>RM-OP-26-003</t>
  </si>
  <si>
    <t>Kresek 24X40/47 @750 (L)</t>
  </si>
  <si>
    <t>RM-OP-26-006</t>
  </si>
  <si>
    <t>RM-OP-26-011</t>
  </si>
  <si>
    <t>RM-OP-26-012</t>
  </si>
  <si>
    <t>RM-OP-26-015</t>
  </si>
  <si>
    <t>RM-OP-26-041</t>
  </si>
  <si>
    <t>Kresek Polos Uk 40</t>
  </si>
  <si>
    <t>RM-OP-26-017</t>
  </si>
  <si>
    <t>RM-TF-26-089</t>
  </si>
  <si>
    <t>Kunafa Kering</t>
  </si>
  <si>
    <t>RM-TF-26-076</t>
  </si>
  <si>
    <t>L'Agie Chic Choc</t>
  </si>
  <si>
    <t>RM-CS-26-010</t>
  </si>
  <si>
    <t>RM-CS-26-011</t>
  </si>
  <si>
    <t>RM-CS-26-012</t>
  </si>
  <si>
    <t>RM-CS-26-013</t>
  </si>
  <si>
    <t>RM-CS-26-014</t>
  </si>
  <si>
    <t>RM-CS-26-015</t>
  </si>
  <si>
    <t>RM-FS-26-044</t>
  </si>
  <si>
    <t>Lada Bubuk</t>
  </si>
  <si>
    <t>RM-PX-26-152</t>
  </si>
  <si>
    <t>Lavida Cup 200 Ml</t>
  </si>
  <si>
    <t>lavidacup200ml</t>
  </si>
  <si>
    <t>RM-FS-26-054</t>
  </si>
  <si>
    <t>Lemon</t>
  </si>
  <si>
    <t>RM-TF-26-031</t>
  </si>
  <si>
    <t>Lepatta Blueberry @1X10Kg</t>
  </si>
  <si>
    <t>RM-TF-26-032</t>
  </si>
  <si>
    <t>RM-TF-26-033</t>
  </si>
  <si>
    <t>Lepatta Strawberry @1X10Kg</t>
  </si>
  <si>
    <t>RM-AK-26-092</t>
  </si>
  <si>
    <t>Lilin Angka 0 Emas @1X100 Pcs</t>
  </si>
  <si>
    <t>RM-AK-26-093</t>
  </si>
  <si>
    <t>Lilin Angka 0 Gliter @1X12 Pcs</t>
  </si>
  <si>
    <t>RM-AK-26-083</t>
  </si>
  <si>
    <t>Lilin Angka 1 Emas @1X100 Pcs</t>
  </si>
  <si>
    <t>RM-AK-26-094</t>
  </si>
  <si>
    <t>Lilin Angka 1 Gliter @1X12 Pcs</t>
  </si>
  <si>
    <t>RM-AK-26-084</t>
  </si>
  <si>
    <t>Lilin Angka 2 Emas @1X100 Pcs</t>
  </si>
  <si>
    <t>RM-AK-26-095</t>
  </si>
  <si>
    <t>Lilin Angka 2 Gliter @1X12 Pcs</t>
  </si>
  <si>
    <t>RM-AK-26-085</t>
  </si>
  <si>
    <t>Lilin Angka 3 Emas @1X100 Pcs</t>
  </si>
  <si>
    <t>RM-AK-26-096</t>
  </si>
  <si>
    <t>Lilin Angka 3 Gliter @1X12 Pcs</t>
  </si>
  <si>
    <t>RM-AK-26-086</t>
  </si>
  <si>
    <t>Lilin Angka 4 Emas @1X100 Pcs</t>
  </si>
  <si>
    <t>RM-AK-26-097</t>
  </si>
  <si>
    <t>Lilin Angka 4 Gliter @1X12 Pcs</t>
  </si>
  <si>
    <t>RM-AK-26-087</t>
  </si>
  <si>
    <t>Lilin Angka 5 Emas @1X100 Pcs</t>
  </si>
  <si>
    <t>RM-AK-26-098</t>
  </si>
  <si>
    <t>Lilin Angka 5 Gliter @1X12 Pcs</t>
  </si>
  <si>
    <t>RM-AK-26-088</t>
  </si>
  <si>
    <t>Lilin Angka 6 Emas @1X100 Pcs</t>
  </si>
  <si>
    <t>RM-AK-26-099</t>
  </si>
  <si>
    <t>Lilin Angka 6 Gliter @1X12 Pcs</t>
  </si>
  <si>
    <t>RM-AK-26-089</t>
  </si>
  <si>
    <t>Lilin Angka 7 Emas @1X100 Pcs</t>
  </si>
  <si>
    <t>RM-AK-26-100</t>
  </si>
  <si>
    <t>Lilin Angka 7 Gliter @1X12 Pcs</t>
  </si>
  <si>
    <t>RM-AK-26-090</t>
  </si>
  <si>
    <t>Lilin Angka 8 Emas @1X100 Pcs</t>
  </si>
  <si>
    <t>RM-AK-26-101</t>
  </si>
  <si>
    <t>Lilin Angka 8 Gliter @1X12 Pcs</t>
  </si>
  <si>
    <t>RM-AK-26-091</t>
  </si>
  <si>
    <t>Lilin Angka 9 Emas @1X100 Pcs</t>
  </si>
  <si>
    <t>RM-AK-26-102</t>
  </si>
  <si>
    <t>Lilin Angka 9 Gliter @1X12 Pcs</t>
  </si>
  <si>
    <t>RM-AK-26-139</t>
  </si>
  <si>
    <t>Lilin Angka Merah 0</t>
  </si>
  <si>
    <t>RM-AK-26-140</t>
  </si>
  <si>
    <t>Lilin Angka Merah 1</t>
  </si>
  <si>
    <t>RM-AK-26-141</t>
  </si>
  <si>
    <t>Lilin Angka Merah 2</t>
  </si>
  <si>
    <t>RM-AK-26-142</t>
  </si>
  <si>
    <t>Lilin Angka Merah 3</t>
  </si>
  <si>
    <t>RM-AK-26-143</t>
  </si>
  <si>
    <t>Lilin Angka Merah 4</t>
  </si>
  <si>
    <t>RM-AK-26-144</t>
  </si>
  <si>
    <t>Lilin Angka Merah 5</t>
  </si>
  <si>
    <t>RM-AK-26-145</t>
  </si>
  <si>
    <t>Lilin Angka Merah 6</t>
  </si>
  <si>
    <t>RM-AK-26-146</t>
  </si>
  <si>
    <t>Lilin Angka Merah 7</t>
  </si>
  <si>
    <t>RM-AK-26-147</t>
  </si>
  <si>
    <t>Lilin Angka Merah 8</t>
  </si>
  <si>
    <t>RM-AK-26-148</t>
  </si>
  <si>
    <t>Lilin Angka Merah 9</t>
  </si>
  <si>
    <t>RM-AK-26-167</t>
  </si>
  <si>
    <t>Lilin Kriting Biru @1X100 Pack</t>
  </si>
  <si>
    <t>RM-AK-26-151</t>
  </si>
  <si>
    <t>Lilin Kriting Gold @1X100 Pack</t>
  </si>
  <si>
    <t>RM-AK-26-073</t>
  </si>
  <si>
    <t>Lilin Kriting Hijau @1X100 Pack</t>
  </si>
  <si>
    <t>RM-AK-26-166</t>
  </si>
  <si>
    <t>Lilin Kriting Merah @1X100 Pack</t>
  </si>
  <si>
    <t>RM-AK-26-168</t>
  </si>
  <si>
    <t>Lilin Kriting Mix @1X100 Pack</t>
  </si>
  <si>
    <t>RM-AK-26-150</t>
  </si>
  <si>
    <t>Lilin Kriting Pastel @1X100 Pack</t>
  </si>
  <si>
    <t>RM-AK-26-152</t>
  </si>
  <si>
    <t>Lilin Kriting Purple @1X100 Pack</t>
  </si>
  <si>
    <t>RM-AK-26-153</t>
  </si>
  <si>
    <t>Lilin Kriting Rose Gold @1X100 Pack</t>
  </si>
  <si>
    <t>RM-AK-26-149</t>
  </si>
  <si>
    <t>Lilin Kriting Silver @1X100 Pack</t>
  </si>
  <si>
    <t>RM-AK-26-107</t>
  </si>
  <si>
    <t>Lilin Magic @1X24 Pack</t>
  </si>
  <si>
    <t>RM-AK-26-106</t>
  </si>
  <si>
    <t>Lilin Pappermint @1X24 Pack</t>
  </si>
  <si>
    <t>RM-AK-26-103</t>
  </si>
  <si>
    <t>Lilin Spiral @1X12 Batang</t>
  </si>
  <si>
    <t>RM-AK-26-104</t>
  </si>
  <si>
    <t>Lilin Spiral @1X24 Batang</t>
  </si>
  <si>
    <t>RM-AK-26-078</t>
  </si>
  <si>
    <t>Lilin Spiral Pendek Blue @1X50 Pack</t>
  </si>
  <si>
    <t>RM-AK-26-081</t>
  </si>
  <si>
    <t>Lilin Spiral Pendek Gold @1X50 Pack</t>
  </si>
  <si>
    <t>RM-AK-26-079</t>
  </si>
  <si>
    <t>Lilin Spiral Pendek Green @1X50 Pack</t>
  </si>
  <si>
    <t>RM-AK-26-074</t>
  </si>
  <si>
    <t>Lilin Spiral Pendek Pink @1X50 Pack</t>
  </si>
  <si>
    <t>RM-AK-26-076</t>
  </si>
  <si>
    <t>Lilin Spiral Pendek Purple @1X50 Pack</t>
  </si>
  <si>
    <t>RM-AK-26-080</t>
  </si>
  <si>
    <t>Lilin Spiral Pendek Rainbow @1X50 Pack</t>
  </si>
  <si>
    <t>RM-AK-26-077</t>
  </si>
  <si>
    <t>Lilin Spiral Pendek Red @1X50 Pack</t>
  </si>
  <si>
    <t>RM-AK-26-082</t>
  </si>
  <si>
    <t>Lilin Spiral Pendek Rosegold @1X50 Pack</t>
  </si>
  <si>
    <t>RM-AK-26-075</t>
  </si>
  <si>
    <t>Lilin Spiral Pendek Silver @1X50 Pack</t>
  </si>
  <si>
    <t>RM-VG-26-007</t>
  </si>
  <si>
    <t>Lobak</t>
  </si>
  <si>
    <t>RM-TF-26-062</t>
  </si>
  <si>
    <t>Lotus Biscoff</t>
  </si>
  <si>
    <t>RM-FS-26-038</t>
  </si>
  <si>
    <t>RM-FS-26-051</t>
  </si>
  <si>
    <t>Madu TJ 150 gr</t>
  </si>
  <si>
    <t>RM-FR-26-016</t>
  </si>
  <si>
    <t>Madusari Smoked Beef</t>
  </si>
  <si>
    <t>RM-FR-26-015</t>
  </si>
  <si>
    <t>RM-PP-26-005</t>
  </si>
  <si>
    <t>RM-PP-26-084</t>
  </si>
  <si>
    <t>Maglam Pasta Taro @1Kg</t>
  </si>
  <si>
    <t>RM-PP-26-085</t>
  </si>
  <si>
    <t>Maglam Pasta Taro Talas Merah @1Kg</t>
  </si>
  <si>
    <t>RM-PP-26-004</t>
  </si>
  <si>
    <t>RM-TP-26-008</t>
  </si>
  <si>
    <t>Maizena Cornstrach 25Kg</t>
  </si>
  <si>
    <t>RM-MM-26-005</t>
  </si>
  <si>
    <t>RM-GC-26-040</t>
  </si>
  <si>
    <t>Mama Lemon 680 Ml</t>
  </si>
  <si>
    <t>RM-FS-26-003</t>
  </si>
  <si>
    <t>Mandarin Orange Wilmond</t>
  </si>
  <si>
    <t>JAR</t>
  </si>
  <si>
    <t>RM-FS-26-007</t>
  </si>
  <si>
    <t>RM-MM-26-023</t>
  </si>
  <si>
    <t>Margarin Delilen @15 Kg</t>
  </si>
  <si>
    <t>RM-TF-26-091</t>
  </si>
  <si>
    <t>Marshmellow</t>
  </si>
  <si>
    <t>RM-SP-26-021</t>
  </si>
  <si>
    <t>Masako Rasa Ayam @1Kg</t>
  </si>
  <si>
    <t>RM-EM-26-018</t>
  </si>
  <si>
    <t>RM-SP-26-026</t>
  </si>
  <si>
    <t>Mayonaise Gourmet</t>
  </si>
  <si>
    <t>RM-SP-26-003</t>
  </si>
  <si>
    <t>Mc Lewis Chili A004 5.5Kg</t>
  </si>
  <si>
    <t>RM-SP-26-005</t>
  </si>
  <si>
    <t>Mc Lewis Mayo Lppouch 1Kg</t>
  </si>
  <si>
    <t>RM-SP-26-004</t>
  </si>
  <si>
    <t>Mc Lewis Tomato A004 5.7Kg</t>
  </si>
  <si>
    <t>RM-CD-26-017</t>
  </si>
  <si>
    <t>RM-CD-26-065</t>
  </si>
  <si>
    <t>Meises Plaza Biru @12.5Kg</t>
  </si>
  <si>
    <t>RM-FS-26-041</t>
  </si>
  <si>
    <t>Melon</t>
  </si>
  <si>
    <t>RM-PX-26-006</t>
  </si>
  <si>
    <t>Mentega Cair</t>
  </si>
  <si>
    <t>RM-CD-26-074</t>
  </si>
  <si>
    <t>Mercolade Biscoa Spread@5Kg</t>
  </si>
  <si>
    <t>RM-CD-26-021</t>
  </si>
  <si>
    <t>RM-CD-26-023</t>
  </si>
  <si>
    <t>RM-CD-26-024</t>
  </si>
  <si>
    <t>RM-CD-26-025</t>
  </si>
  <si>
    <t>RM-CD-26-026</t>
  </si>
  <si>
    <t>RM-CD-26-027</t>
  </si>
  <si>
    <t>RM-CD-26-028</t>
  </si>
  <si>
    <t>RM-CD-26-029</t>
  </si>
  <si>
    <t>RM-CD-26-030</t>
  </si>
  <si>
    <t>RM-CD-26-031</t>
  </si>
  <si>
    <t>RM-MB-26-002</t>
  </si>
  <si>
    <t>Mika Base</t>
  </si>
  <si>
    <t>SET</t>
  </si>
  <si>
    <t>RM-MB-26-003</t>
  </si>
  <si>
    <t>RM-MB-26-020</t>
  </si>
  <si>
    <t>Mika Brownies S Putih</t>
  </si>
  <si>
    <t>RM-NF-26-002</t>
  </si>
  <si>
    <t>Non-Food</t>
  </si>
  <si>
    <t>RM-MB-26-008</t>
  </si>
  <si>
    <t>RM-MB-26-025</t>
  </si>
  <si>
    <t>Mika Mooncake</t>
  </si>
  <si>
    <t>RM-MB-26-004</t>
  </si>
  <si>
    <t>RM-OP-26-036</t>
  </si>
  <si>
    <t>Mika Roll 8</t>
  </si>
  <si>
    <t>METER</t>
  </si>
  <si>
    <t>RM-SS-26-014</t>
  </si>
  <si>
    <t>Milk Barn @ 8X2,5 Kg</t>
  </si>
  <si>
    <t>RM-MM-26-010</t>
  </si>
  <si>
    <t>RM-MM-26-009</t>
  </si>
  <si>
    <t>Minyak Fortune @12X1 Liter</t>
  </si>
  <si>
    <t>RM-MM-26-028</t>
  </si>
  <si>
    <t>Minyak Fortune @18 Liter</t>
  </si>
  <si>
    <t>minyakfortune18liter</t>
  </si>
  <si>
    <t>RM-MM-26-011</t>
  </si>
  <si>
    <t>RM-MM-26-025</t>
  </si>
  <si>
    <t>Minyak Kunci Mas</t>
  </si>
  <si>
    <t>minyakkuncimas</t>
  </si>
  <si>
    <t>RM-MM-26-026</t>
  </si>
  <si>
    <t>Minyak Sania</t>
  </si>
  <si>
    <t>minyaksania</t>
  </si>
  <si>
    <t>RM-MM-26-027</t>
  </si>
  <si>
    <t>Minyak Sovia</t>
  </si>
  <si>
    <t>minyaksovia</t>
  </si>
  <si>
    <t>RM-CD-26-056</t>
  </si>
  <si>
    <t>RM-CD-26-060</t>
  </si>
  <si>
    <t>RM-CD-26-047</t>
  </si>
  <si>
    <t>RM-GC-26-021</t>
  </si>
  <si>
    <t>RM-TF-26-099</t>
  </si>
  <si>
    <t>Mutiara Emas 4 mm</t>
  </si>
  <si>
    <t>RM-TF-26-101</t>
  </si>
  <si>
    <t>Mutiara Emas 6 mm</t>
  </si>
  <si>
    <t>RM-TF-26-109</t>
  </si>
  <si>
    <t>Mutiara Emas Bintang</t>
  </si>
  <si>
    <t>mutiaraemasbintang</t>
  </si>
  <si>
    <t>RM-TF-26-113</t>
  </si>
  <si>
    <t>Mutiara Emas Fake 2 mm</t>
  </si>
  <si>
    <t>mutiaraemasfake2mm</t>
  </si>
  <si>
    <t>RM-TF-26-114</t>
  </si>
  <si>
    <t>Mutiara Emas Fake 6 mm</t>
  </si>
  <si>
    <t>mutiaraemasfake6mm</t>
  </si>
  <si>
    <t>RM-TF-26-115</t>
  </si>
  <si>
    <t>Mutiara Emas Fake 8 mm</t>
  </si>
  <si>
    <t>mutiaraemasfake8mm</t>
  </si>
  <si>
    <t>RM-TF-26-107</t>
  </si>
  <si>
    <t>Mutiara Putih 10 mm</t>
  </si>
  <si>
    <t>mutiaraputih10mm</t>
  </si>
  <si>
    <t>RM-TF-26-102</t>
  </si>
  <si>
    <t>Mutiara Putih 14 mm</t>
  </si>
  <si>
    <t>RM-TF-26-108</t>
  </si>
  <si>
    <t>Mutiara Putih 2 mm</t>
  </si>
  <si>
    <t>mutiaraputih2mm</t>
  </si>
  <si>
    <t>RM-TF-26-098</t>
  </si>
  <si>
    <t>Mutiara Putih 4 mm</t>
  </si>
  <si>
    <t>RM-TF-26-104</t>
  </si>
  <si>
    <t>Mutiara Putih 8 mm</t>
  </si>
  <si>
    <t>RM-TF-26-110</t>
  </si>
  <si>
    <t>Mutiara Silver 10 mm</t>
  </si>
  <si>
    <t>mutiarasilver10mm</t>
  </si>
  <si>
    <t>RM-TF-26-103</t>
  </si>
  <si>
    <t>Mutiara Silver 14 mm</t>
  </si>
  <si>
    <t>RM-TF-26-111</t>
  </si>
  <si>
    <t>Mutiara Silver 2 mm</t>
  </si>
  <si>
    <t>mutiarasilver2mm</t>
  </si>
  <si>
    <t>RM-TF-26-100</t>
  </si>
  <si>
    <t>Mutiara Silver 6 mm</t>
  </si>
  <si>
    <t>RM-TF-26-105</t>
  </si>
  <si>
    <t>Mutiara Silver 8 mm</t>
  </si>
  <si>
    <t>RM-TF-26-112</t>
  </si>
  <si>
    <t>Mutiara Silver Bintang</t>
  </si>
  <si>
    <t>mutiarasilverbintang</t>
  </si>
  <si>
    <t>RM-TF-26-116</t>
  </si>
  <si>
    <t>Mutiara Warna</t>
  </si>
  <si>
    <t>mutiarawarna</t>
  </si>
  <si>
    <t>RM-EM-26-030</t>
  </si>
  <si>
    <t>Nevada Mauripan</t>
  </si>
  <si>
    <t>RM-CD-26-075</t>
  </si>
  <si>
    <t>Nucomal Silverqueen @5Kg</t>
  </si>
  <si>
    <t>RM-CD-26-076</t>
  </si>
  <si>
    <t>Nucomal Tine Crunchy @5Kg</t>
  </si>
  <si>
    <t>RM-OK-26-001</t>
  </si>
  <si>
    <t>Ongkir</t>
  </si>
  <si>
    <t>ongkir</t>
  </si>
  <si>
    <t>RM-VG-26-005</t>
  </si>
  <si>
    <t>RM-GC-26-044</t>
  </si>
  <si>
    <t>Oxygen Absorber</t>
  </si>
  <si>
    <t>RM-VG-26-011</t>
  </si>
  <si>
    <t>Pala Bubuk @ 65 Gr</t>
  </si>
  <si>
    <t>RM-MM-26-013</t>
  </si>
  <si>
    <t>RM-MM-26-015</t>
  </si>
  <si>
    <t>RM-MM-26-017</t>
  </si>
  <si>
    <t>RM-MB-26-011</t>
  </si>
  <si>
    <t>RM-CS-26-021</t>
  </si>
  <si>
    <t>RM-CS-26-016</t>
  </si>
  <si>
    <t>RM-CS-26-017</t>
  </si>
  <si>
    <t>RM-CS-26-027</t>
  </si>
  <si>
    <t>RM-CS-26-028</t>
  </si>
  <si>
    <t>RM-CS-26-029</t>
  </si>
  <si>
    <t>RM-CS-26-018</t>
  </si>
  <si>
    <t>RM-CS-26-019</t>
  </si>
  <si>
    <t>RM-CS-26-020</t>
  </si>
  <si>
    <t>RM-VG-26-004</t>
  </si>
  <si>
    <t>RM-VG-26-003</t>
  </si>
  <si>
    <t>RM-PP-26-008</t>
  </si>
  <si>
    <t>RM-PP-26-009</t>
  </si>
  <si>
    <t>RM-PP-26-010</t>
  </si>
  <si>
    <t>RM-PP-26-012</t>
  </si>
  <si>
    <t>RM-PP-26-070</t>
  </si>
  <si>
    <t>Pasta Pandan Lion Brother @25 Kg</t>
  </si>
  <si>
    <t>RM-TF-26-090</t>
  </si>
  <si>
    <t>Pasta Pistachio</t>
  </si>
  <si>
    <t>RM-PP-26-083</t>
  </si>
  <si>
    <t>Pasta Redbell Taro 55 Ml</t>
  </si>
  <si>
    <t>RM-PP-26-013</t>
  </si>
  <si>
    <t>RM-PP-26-015</t>
  </si>
  <si>
    <t>RM-PP-26-055</t>
  </si>
  <si>
    <t>Pasta Tofieco Blueberry</t>
  </si>
  <si>
    <t>RM-GL-26-018</t>
  </si>
  <si>
    <t>Pastricia Dusting Sugar @1X10Kg</t>
  </si>
  <si>
    <t>RM-GL-26-013</t>
  </si>
  <si>
    <t>Pastricia Icing Sugar @1X10Kg</t>
  </si>
  <si>
    <t>RM-AK-26-053</t>
  </si>
  <si>
    <t>RM-AK-26-056</t>
  </si>
  <si>
    <t>RM-AK-26-066</t>
  </si>
  <si>
    <t>RM-AK-26-067</t>
  </si>
  <si>
    <t>RM- GC-26-047</t>
  </si>
  <si>
    <t>Pengharum</t>
  </si>
  <si>
    <t>General Chemical</t>
  </si>
  <si>
    <t>RM-SP-26-027</t>
  </si>
  <si>
    <t>Penyedap Rasa Sasa</t>
  </si>
  <si>
    <t>RM-EM-26-004</t>
  </si>
  <si>
    <t>RM-PT-26-001</t>
  </si>
  <si>
    <t>Peti</t>
  </si>
  <si>
    <t>peti</t>
  </si>
  <si>
    <t>RM-PP-26-058</t>
  </si>
  <si>
    <t>Pewarna Biru Cap Kupu-Kupu</t>
  </si>
  <si>
    <t>RM-PP-26-060</t>
  </si>
  <si>
    <t>Pewarna Coklat Cap Kupu-Kupu</t>
  </si>
  <si>
    <t>RM-PP-26-071</t>
  </si>
  <si>
    <t>Pewarna Cross Black Phantom @450Ml</t>
  </si>
  <si>
    <t>RM-PP-26-063</t>
  </si>
  <si>
    <t>Pewarna Cross Black Phantom @60Ml</t>
  </si>
  <si>
    <t>RM-PP-26-073</t>
  </si>
  <si>
    <t>Pewarna Cross Chocolate @450Ml</t>
  </si>
  <si>
    <t>RM-PP-26-077</t>
  </si>
  <si>
    <t>Pewarna Cross Egg Yellow @450Ml</t>
  </si>
  <si>
    <t>RM-PP-26-082</t>
  </si>
  <si>
    <t>Pewarna Cross Egg Yellow @60Ml</t>
  </si>
  <si>
    <t>RM-PP-26-075</t>
  </si>
  <si>
    <t>Pewarna Cross Hijau @450Ml</t>
  </si>
  <si>
    <t>RM-PP-26-066</t>
  </si>
  <si>
    <t>Pewarna Cross Hijau @60Ml</t>
  </si>
  <si>
    <t>00190</t>
  </si>
  <si>
    <t>Pewarna Cross Orange @60 ml</t>
  </si>
  <si>
    <t>RM-PP-26-065</t>
  </si>
  <si>
    <t>Pewarna Cross Pink @60Ml</t>
  </si>
  <si>
    <t>RM-PP-26-079</t>
  </si>
  <si>
    <t>Pewarna Cross Rose Pink @450 Ml</t>
  </si>
  <si>
    <t>RM-PP-26-074</t>
  </si>
  <si>
    <t>Pewarna Cross Royal Blue @450Ml</t>
  </si>
  <si>
    <t>RM-PP-26-068</t>
  </si>
  <si>
    <t>Pewarna Cross Royal Blue @60Ml</t>
  </si>
  <si>
    <t>RM-PP-26-078</t>
  </si>
  <si>
    <t>Pewarna Cross Sky Blue @450 Ml</t>
  </si>
  <si>
    <t>RM-PP-26-069</t>
  </si>
  <si>
    <t>Pewarna Cross Sky Blue @60Ml</t>
  </si>
  <si>
    <t>RM-PP-26-072</t>
  </si>
  <si>
    <t>Pewarna Cross Super Red @450Ml</t>
  </si>
  <si>
    <t>RM-PP-26-064</t>
  </si>
  <si>
    <t>Pewarna Cross Super Red @60Ml</t>
  </si>
  <si>
    <t>RM-PP-26-076</t>
  </si>
  <si>
    <t>Pewarna Cross Violet @450Ml</t>
  </si>
  <si>
    <t>RM-PP-26-067</t>
  </si>
  <si>
    <t>Pewarna Cross Violet @60Ml</t>
  </si>
  <si>
    <t>RM-PP-26-032</t>
  </si>
  <si>
    <t>Pewarna Hijau Muda 30Ml</t>
  </si>
  <si>
    <t>RM-PP-26-062</t>
  </si>
  <si>
    <t>Pewarna Hijau Tua Cap Kupu-Kupu</t>
  </si>
  <si>
    <t>RM-PP-26-056</t>
  </si>
  <si>
    <t>Pewarna Hitam Cap Kupu-Kupu</t>
  </si>
  <si>
    <t>RM-PP-26-024</t>
  </si>
  <si>
    <t>RM-PP-26-061</t>
  </si>
  <si>
    <t>Pewarna Orange Cap Kupu-Kupu</t>
  </si>
  <si>
    <t>RM-PP-26-057</t>
  </si>
  <si>
    <t>Pewarna Pink Cap Kupu-Kupu</t>
  </si>
  <si>
    <t>RM-PP-26-052</t>
  </si>
  <si>
    <t>Pewarna Ungu Cap Kupu-Kupu</t>
  </si>
  <si>
    <t>RM-AK-26-170</t>
  </si>
  <si>
    <t>Pipet Fla</t>
  </si>
  <si>
    <t>RM-GC-26-037</t>
  </si>
  <si>
    <t>Piring Kue Emas @1X250X10 Pcs</t>
  </si>
  <si>
    <t>RM-GC-26-038</t>
  </si>
  <si>
    <t>Piring Kue Silver @1X300X10 Pcs</t>
  </si>
  <si>
    <t>RM-FS-26-013</t>
  </si>
  <si>
    <t>RM-FS-26-014</t>
  </si>
  <si>
    <t>RM-FS-26-016</t>
  </si>
  <si>
    <t>RM-FS-26-017</t>
  </si>
  <si>
    <t>RM-GC-26-024</t>
  </si>
  <si>
    <t>Pisau Kue Brownis</t>
  </si>
  <si>
    <t>RM-GC-26-023</t>
  </si>
  <si>
    <t>RM-GC-26-039</t>
  </si>
  <si>
    <t>Pita Merah</t>
  </si>
  <si>
    <t>RM-AK-26-108</t>
  </si>
  <si>
    <t>Pita Satin</t>
  </si>
  <si>
    <t>RM-OP-26-038</t>
  </si>
  <si>
    <t>Plastik Hd Polos 40X60</t>
  </si>
  <si>
    <t>RM-OP-26-035</t>
  </si>
  <si>
    <t>Plastik Kaku 17X30</t>
  </si>
  <si>
    <t>RM-OP-26-039</t>
  </si>
  <si>
    <t>Plastik Kaku 17X35</t>
  </si>
  <si>
    <t>plastikkaku17x35</t>
  </si>
  <si>
    <t>RM-OP-26-030</t>
  </si>
  <si>
    <t>RM-OP-26-040</t>
  </si>
  <si>
    <t>Plastik Opp 14x18</t>
  </si>
  <si>
    <t>RM-OP-26-044</t>
  </si>
  <si>
    <t>Plastik OPP 15x15</t>
  </si>
  <si>
    <t>plastikopp15x15</t>
  </si>
  <si>
    <t>RM-OP-26-022</t>
  </si>
  <si>
    <t>Plastik Opp 15X25 Polos</t>
  </si>
  <si>
    <t>plastikopp15x25polos</t>
  </si>
  <si>
    <t>RM-OP-26-023</t>
  </si>
  <si>
    <t>RM-OP-26-024</t>
  </si>
  <si>
    <t>RM-OP-26-025</t>
  </si>
  <si>
    <t>RM-OP-26-026</t>
  </si>
  <si>
    <t>RM-OP-26-027</t>
  </si>
  <si>
    <t>RM-OP-26-037</t>
  </si>
  <si>
    <t>Plastik Pe 50X85 Cm</t>
  </si>
  <si>
    <t>RM-OP-26-031</t>
  </si>
  <si>
    <t>Plastik Roti Tawar Hd Vol 11</t>
  </si>
  <si>
    <t>RM-OP-26-032</t>
  </si>
  <si>
    <t>Plastik Roti Tawar Hd Vol 22</t>
  </si>
  <si>
    <t>RM-OP-26-029</t>
  </si>
  <si>
    <t>RM-OP-26-028</t>
  </si>
  <si>
    <t>RM-MB-26-012</t>
  </si>
  <si>
    <t>RM-MB-26-013</t>
  </si>
  <si>
    <t>RM-CD-26-078</t>
  </si>
  <si>
    <t>Plaza Choco chip</t>
  </si>
  <si>
    <t>RM-CD-26-079</t>
  </si>
  <si>
    <t>Plaza Fiesta Violet</t>
  </si>
  <si>
    <t>RM-GL-26-019</t>
  </si>
  <si>
    <t>Plaza Gula Halus @500 Gr</t>
  </si>
  <si>
    <t>RM-GC-26-025</t>
  </si>
  <si>
    <t>RM-GC-26-028</t>
  </si>
  <si>
    <t>RM-OP-26-042</t>
  </si>
  <si>
    <t>Polibag 60x100</t>
  </si>
  <si>
    <t>RM-OP-26-043</t>
  </si>
  <si>
    <t>Polibag 90x120</t>
  </si>
  <si>
    <t>RM-EM-26-006</t>
  </si>
  <si>
    <t>RM-EM-26-029</t>
  </si>
  <si>
    <t>Premix Baking Powder</t>
  </si>
  <si>
    <t>RM-PX-26-097</t>
  </si>
  <si>
    <t>Premix Chiffon Sensasi</t>
  </si>
  <si>
    <t>RM-PX-26-105</t>
  </si>
  <si>
    <t>Premix Chiffon Sensasi Coklat</t>
  </si>
  <si>
    <t>RM-CD-26-072</t>
  </si>
  <si>
    <t>Premix Coklat Bubuk</t>
  </si>
  <si>
    <t>premixcoklatbubuk</t>
  </si>
  <si>
    <t>RM-PX-26-148</t>
  </si>
  <si>
    <t>Premix Cookies Kastangles</t>
  </si>
  <si>
    <t>RM-PX-26-146</t>
  </si>
  <si>
    <t>Premix Cookies Lidah Kucing</t>
  </si>
  <si>
    <t>RM-PX-26-147</t>
  </si>
  <si>
    <t>Premix Cookies Nastar Sultan</t>
  </si>
  <si>
    <t>RM-PX-26-150</t>
  </si>
  <si>
    <t>Premix Cookies Putri Salju</t>
  </si>
  <si>
    <t>RM-PX-26-151</t>
  </si>
  <si>
    <t>Premix Dubai Chewy Cookie</t>
  </si>
  <si>
    <t>RM-TF-26-087</t>
  </si>
  <si>
    <t>Premix Filling coklat rimbo</t>
  </si>
  <si>
    <t>RM-PX-26-010</t>
  </si>
  <si>
    <t>Premix Gula Bollen</t>
  </si>
  <si>
    <t>RM-PX-26-032</t>
  </si>
  <si>
    <t>Premix Gula Bolu Gulung Ekonomis</t>
  </si>
  <si>
    <t>RM-PX-26-011</t>
  </si>
  <si>
    <t>Premix Gula Bolu Pisang</t>
  </si>
  <si>
    <t>RM-PX-26-012</t>
  </si>
  <si>
    <t>Premix Gula Brownies</t>
  </si>
  <si>
    <t>RM-PX-26-101</t>
  </si>
  <si>
    <t>Premix Gula Chiffon Sensasi</t>
  </si>
  <si>
    <t>RM-PX-26-125</t>
  </si>
  <si>
    <t>Premix Gula Chiffon Sensasi Coklat</t>
  </si>
  <si>
    <t>RM-PX-26-013</t>
  </si>
  <si>
    <t>Premix Gula Chocoroll</t>
  </si>
  <si>
    <t>RM-PX-26-132</t>
  </si>
  <si>
    <t>Premix Gula Danish Coklat Belepotan</t>
  </si>
  <si>
    <t>RM-PX-26-020</t>
  </si>
  <si>
    <t>Premix Gula Lapis Surabaya</t>
  </si>
  <si>
    <t>RM-PX-26-014</t>
  </si>
  <si>
    <t>Premix Gula Lapis Talas</t>
  </si>
  <si>
    <t>RM-PX-26-015</t>
  </si>
  <si>
    <t>Premix Gula Milkbath</t>
  </si>
  <si>
    <t>RM-PX-26-028</t>
  </si>
  <si>
    <t>Premix Gula Mochi</t>
  </si>
  <si>
    <t>RM-PX-26-016</t>
  </si>
  <si>
    <t>Premix Gula Rainbow</t>
  </si>
  <si>
    <t>RM-PX-26-022</t>
  </si>
  <si>
    <t>Premix Gula Roll Cake</t>
  </si>
  <si>
    <t>RM-PX-26-017</t>
  </si>
  <si>
    <t>Premix Gula Roti Manis</t>
  </si>
  <si>
    <t>RM-PX-26-018</t>
  </si>
  <si>
    <t>Premix Gula Roti Tawar</t>
  </si>
  <si>
    <t>RM-PX-26-124</t>
  </si>
  <si>
    <t>Premix Gula Roti Tawar Ekonomis</t>
  </si>
  <si>
    <t>RM-PX-26-023</t>
  </si>
  <si>
    <t>Premix Gula Sponge Cake Coklat</t>
  </si>
  <si>
    <t>RM-PX-26-024</t>
  </si>
  <si>
    <t>Premix Gula Sponge Cake Vanila</t>
  </si>
  <si>
    <t>RM-PX-26-027</t>
  </si>
  <si>
    <t>Premix Gula Sus</t>
  </si>
  <si>
    <t>RM-PX-26-021</t>
  </si>
  <si>
    <t>Premix Gula Tart</t>
  </si>
  <si>
    <t>RM-TP-26-039</t>
  </si>
  <si>
    <t>Premix Maizena</t>
  </si>
  <si>
    <t>premixmaizena</t>
  </si>
  <si>
    <t>RM-PX-26-153</t>
  </si>
  <si>
    <t>RM-PX-26-155</t>
  </si>
  <si>
    <t>Premix Mentega Dubai</t>
  </si>
  <si>
    <t>RM-PX-26-154</t>
  </si>
  <si>
    <t>RM-PX-26-081</t>
  </si>
  <si>
    <t>Premix Scm American Brownies</t>
  </si>
  <si>
    <t>RM-PX-26-055</t>
  </si>
  <si>
    <t>Premix Scm Bollen</t>
  </si>
  <si>
    <t>RM-PX-26-093</t>
  </si>
  <si>
    <t>Premix Scm Bolu Gulung Ekonomis</t>
  </si>
  <si>
    <t>RM-PX-26-056</t>
  </si>
  <si>
    <t>Premix Scm Bolu Pisang</t>
  </si>
  <si>
    <t>RM-PX-26-057</t>
  </si>
  <si>
    <t>Premix Scm Brownies</t>
  </si>
  <si>
    <t>RM-PX-26-083</t>
  </si>
  <si>
    <t>Premix Scm Butter Sugar</t>
  </si>
  <si>
    <t>RM-PX-26-058</t>
  </si>
  <si>
    <t>Premix Scm Chocoroll</t>
  </si>
  <si>
    <t>RM-PX-26-131</t>
  </si>
  <si>
    <t>Premix Scm Danish Coklat Belepotan</t>
  </si>
  <si>
    <t>RM-PX-26-059</t>
  </si>
  <si>
    <t>Premix Scm Jappanese Cake</t>
  </si>
  <si>
    <t>RM-PX-26-066</t>
  </si>
  <si>
    <t>Premix Scm Lapis Surabaya</t>
  </si>
  <si>
    <t>RM-PX-26-060</t>
  </si>
  <si>
    <t>Premix Scm Lapis Talas</t>
  </si>
  <si>
    <t>RM-PX-26-061</t>
  </si>
  <si>
    <t>Premix Scm Milkbath</t>
  </si>
  <si>
    <t>RM-PX-26-074</t>
  </si>
  <si>
    <t>Premix Scm Mochi</t>
  </si>
  <si>
    <t>RM-PX-26-062</t>
  </si>
  <si>
    <t>Premix Scm Rainbow</t>
  </si>
  <si>
    <t>RM-PX-26-068</t>
  </si>
  <si>
    <t>Premix Scm Roll Cake</t>
  </si>
  <si>
    <t>RM-PX-26-063</t>
  </si>
  <si>
    <t>Premix Scm Roti Manis</t>
  </si>
  <si>
    <t>RM-PX-26-064</t>
  </si>
  <si>
    <t>Premix Scm Roti Tawar</t>
  </si>
  <si>
    <t>RM-PX-26-106</t>
  </si>
  <si>
    <t>Premix Scm Roti Tawar Ekonomis</t>
  </si>
  <si>
    <t>RM-PX-26-069</t>
  </si>
  <si>
    <t>Premix Scm Sponge Cake Coklat</t>
  </si>
  <si>
    <t>RM-PX-26-070</t>
  </si>
  <si>
    <t>Premix Scm Sponge Cake Vanila</t>
  </si>
  <si>
    <t>RM-PX-26-073</t>
  </si>
  <si>
    <t>Premix Scm Sus</t>
  </si>
  <si>
    <t>RM-PX-26-067</t>
  </si>
  <si>
    <t>Premix Scm Tart</t>
  </si>
  <si>
    <t>RM-PX-26-086</t>
  </si>
  <si>
    <t>Premix Scm Vla Sus</t>
  </si>
  <si>
    <t>RM-TP-26-042</t>
  </si>
  <si>
    <t>Premix Stupa Hijau</t>
  </si>
  <si>
    <t>premixstupahijau</t>
  </si>
  <si>
    <t>RM-SS-26-015</t>
  </si>
  <si>
    <t>Premix Susu Bubuk</t>
  </si>
  <si>
    <t>premixsusububuk</t>
  </si>
  <si>
    <t>RM-TP-26-040</t>
  </si>
  <si>
    <t>Premix Tali Mas</t>
  </si>
  <si>
    <t>premixtalimas</t>
  </si>
  <si>
    <t>RM-EM-26-032</t>
  </si>
  <si>
    <t>RM-PP-26-081</t>
  </si>
  <si>
    <t>Red bell Violet 30 Ml</t>
  </si>
  <si>
    <t>RM-FS-26-036</t>
  </si>
  <si>
    <t>Red Cherry @3.6 Kg</t>
  </si>
  <si>
    <t>redcherry36kg</t>
  </si>
  <si>
    <t>RM-GC-26-029</t>
  </si>
  <si>
    <t>RM-PP-26-080</t>
  </si>
  <si>
    <t>Redbell Dark Coklat 55 Ml</t>
  </si>
  <si>
    <t>redbelldarkcoklat55ml</t>
  </si>
  <si>
    <t>RM-SP-26-012</t>
  </si>
  <si>
    <t>RM-FR-26-020</t>
  </si>
  <si>
    <t>SOADD-RET-20260930</t>
  </si>
  <si>
    <t>Royal Egg Tart</t>
  </si>
  <si>
    <t>SOADD-RSC-20260930</t>
  </si>
  <si>
    <t>Royal Super Cream</t>
  </si>
  <si>
    <t>RM-FS-26-050</t>
  </si>
  <si>
    <t>Santan Cocomaxi 65 Ml</t>
  </si>
  <si>
    <t>RM-GC-26-030</t>
  </si>
  <si>
    <t>RM-FS-26-019</t>
  </si>
  <si>
    <t>RM-FS-26-020</t>
  </si>
  <si>
    <t>RM-FS-26-021</t>
  </si>
  <si>
    <t>RM-SP-26-023</t>
  </si>
  <si>
    <t>Saus Tiram @ 1 Liter</t>
  </si>
  <si>
    <t>RM-TF-26-055</t>
  </si>
  <si>
    <t>RM-TF-26-071</t>
  </si>
  <si>
    <t>Selai Nanas</t>
  </si>
  <si>
    <t>RM-TF-26-085</t>
  </si>
  <si>
    <t>Selai Nastar</t>
  </si>
  <si>
    <t>RM-VG-26-010</t>
  </si>
  <si>
    <t>Seledri @ 1 Kg</t>
  </si>
  <si>
    <t>RM-GC-26-034</t>
  </si>
  <si>
    <t>Sendok Kayu Oval</t>
  </si>
  <si>
    <t>RM-GC-26-031</t>
  </si>
  <si>
    <t>RM-GC-26-046</t>
  </si>
  <si>
    <t>Sendok Milkbun</t>
  </si>
  <si>
    <t>RM-VG-26-014</t>
  </si>
  <si>
    <t>Sereh</t>
  </si>
  <si>
    <t>sereh</t>
  </si>
  <si>
    <t>RM-GC-26-045</t>
  </si>
  <si>
    <t>Silica Gel</t>
  </si>
  <si>
    <t>RM-EM-26-024</t>
  </si>
  <si>
    <t>So Bagus Tb 20Kg</t>
  </si>
  <si>
    <t>RM-PX-26-034</t>
  </si>
  <si>
    <t>Soda Bolu Pisang</t>
  </si>
  <si>
    <t>RM-EM-26-008</t>
  </si>
  <si>
    <t>Soda Kue</t>
  </si>
  <si>
    <t>RM-EM-26-019</t>
  </si>
  <si>
    <t>RM-CS-26-051</t>
  </si>
  <si>
    <t>Solatif</t>
  </si>
  <si>
    <t>RM-FR-26-030</t>
  </si>
  <si>
    <t>Sosis Ayam @1 Kg</t>
  </si>
  <si>
    <t>RM-FR-26-031</t>
  </si>
  <si>
    <t>Sosis Sapi Mawar @ 500 Gr</t>
  </si>
  <si>
    <t>RM-PX-26-052</t>
  </si>
  <si>
    <t>Sp Bolu Gulung Ekonomis</t>
  </si>
  <si>
    <t>RM-PX-26-035</t>
  </si>
  <si>
    <t>Sp Bolu Pisang</t>
  </si>
  <si>
    <t>RM-PX-26-036</t>
  </si>
  <si>
    <t>Sp Brownies</t>
  </si>
  <si>
    <t>RM-PX-26-102</t>
  </si>
  <si>
    <t>Sp Chiffon Sensasi</t>
  </si>
  <si>
    <t>RM-PX-26-126</t>
  </si>
  <si>
    <t>Sp Chiffon Sensasi Coklat</t>
  </si>
  <si>
    <t>RM-PX-26-037</t>
  </si>
  <si>
    <t>Sp Chocoroll</t>
  </si>
  <si>
    <t>RM-PX-26-038</t>
  </si>
  <si>
    <t>Sp Jappanese Cake</t>
  </si>
  <si>
    <t>RM-PX-26-053</t>
  </si>
  <si>
    <t>Sp Kiloan</t>
  </si>
  <si>
    <t>RM-PX-26-040</t>
  </si>
  <si>
    <t>Sp Lapis Surabaya</t>
  </si>
  <si>
    <t>RM-PX-26-039</t>
  </si>
  <si>
    <t>Sp Lapis Talas</t>
  </si>
  <si>
    <t>RM-PX-26-042</t>
  </si>
  <si>
    <t>Sp Milkbath</t>
  </si>
  <si>
    <t>RM-PX-26-044</t>
  </si>
  <si>
    <t>Sp Roll Cake</t>
  </si>
  <si>
    <t>RM-PX-26-045</t>
  </si>
  <si>
    <t>Sp Sponge Cake Coklat</t>
  </si>
  <si>
    <t>RM-PX-26-046</t>
  </si>
  <si>
    <t>Sp Sponge Cake Vanila</t>
  </si>
  <si>
    <t>RM-PX-26-041</t>
  </si>
  <si>
    <t>Sp Tart</t>
  </si>
  <si>
    <t>RM-FS-26-022</t>
  </si>
  <si>
    <t>RM-EM-26-010</t>
  </si>
  <si>
    <t>RM-CS-26-041</t>
  </si>
  <si>
    <t>Sticker Bento</t>
  </si>
  <si>
    <t>RM-CS-26-023</t>
  </si>
  <si>
    <t>RM-CS-26-024</t>
  </si>
  <si>
    <t>RM-CS-26-053</t>
  </si>
  <si>
    <t>Sticker Cookies Hampers</t>
  </si>
  <si>
    <t>RM-CS-26-052</t>
  </si>
  <si>
    <t>Sticker Cookies Rasa</t>
  </si>
  <si>
    <t>RM-CS-26-050</t>
  </si>
  <si>
    <t>Sticker Cookies Tutup Toples</t>
  </si>
  <si>
    <t>RM-CS-26-055</t>
  </si>
  <si>
    <t>Sticker Dubai Chewy Cookies</t>
  </si>
  <si>
    <t>RM-CS-26-056</t>
  </si>
  <si>
    <t>Sticker Dubai Chewy Cookies Besar</t>
  </si>
  <si>
    <t>RM-CS-26-045</t>
  </si>
  <si>
    <t>Sticker Logo Pemkot</t>
  </si>
  <si>
    <t>RM-CS-26-037</t>
  </si>
  <si>
    <t>RM-CS-26-025</t>
  </si>
  <si>
    <t>RM-CS-26-048</t>
  </si>
  <si>
    <t>Sticker Roti Sisir</t>
  </si>
  <si>
    <t>RM-FS-26-040</t>
  </si>
  <si>
    <t>Strawberry</t>
  </si>
  <si>
    <t>RM-FS-26-052</t>
  </si>
  <si>
    <t>Sultana Raisin</t>
  </si>
  <si>
    <t>sultanaraisin</t>
  </si>
  <si>
    <t>RM-FS-26-049</t>
  </si>
  <si>
    <t>Sun Kara 1000 Ml</t>
  </si>
  <si>
    <t>RM-SS-26-001</t>
  </si>
  <si>
    <t>RM-SS-26-016</t>
  </si>
  <si>
    <t>Susu Bubuk Fitamil @25 Kg</t>
  </si>
  <si>
    <t>RM-SS-26-002</t>
  </si>
  <si>
    <t>RM-SS-26-003</t>
  </si>
  <si>
    <t>Susu F&amp;N</t>
  </si>
  <si>
    <t>RM-SS-26-004</t>
  </si>
  <si>
    <t>Susu Kental Manis Tiga Sapi @48X500 Ml</t>
  </si>
  <si>
    <t>RM-SS-26-017</t>
  </si>
  <si>
    <t>Susu Uht Full Cream Diamond @ 12 X 1 L</t>
  </si>
  <si>
    <t>RM-SS-26-018</t>
  </si>
  <si>
    <t>Susu Vamola</t>
  </si>
  <si>
    <t>RM-SP-26-014</t>
  </si>
  <si>
    <t>RM-AL-26-003</t>
  </si>
  <si>
    <t>RM-AL-26-004</t>
  </si>
  <si>
    <t>RM-AL-26-006</t>
  </si>
  <si>
    <t>RM-AL-26-018</t>
  </si>
  <si>
    <t>Tatakan 30X30 Kotak</t>
  </si>
  <si>
    <t>RM-AL-26-022</t>
  </si>
  <si>
    <t>Tatakan 40X40 Kotak</t>
  </si>
  <si>
    <t>RM-AL-26-016</t>
  </si>
  <si>
    <t>Tatakan Amor 22X22 Kotak</t>
  </si>
  <si>
    <t>RM-AL-26-008</t>
  </si>
  <si>
    <t>Tatakan Coklat Bulat 22X22</t>
  </si>
  <si>
    <t>tatakancoklatbulat22x22</t>
  </si>
  <si>
    <t>RM-AL-26-009</t>
  </si>
  <si>
    <t>Tatakan Coklat Bulat 26X26</t>
  </si>
  <si>
    <t>tatakancoklatbulat26x26</t>
  </si>
  <si>
    <t>RM-AL-26-010</t>
  </si>
  <si>
    <t>Tatakan Coklat Kotak 22X22</t>
  </si>
  <si>
    <t>RM-AL-26-011</t>
  </si>
  <si>
    <t>Tatakan Coklat Kotak 26X26</t>
  </si>
  <si>
    <t>tatakancoklatkotak26x26</t>
  </si>
  <si>
    <t>RM-TP-26-037</t>
  </si>
  <si>
    <t>Tegral Donat Prime @ 10Kg</t>
  </si>
  <si>
    <t>RM-TP-26-048</t>
  </si>
  <si>
    <t>Tegral Mochi Bread</t>
  </si>
  <si>
    <t>RM-PX-26-138</t>
  </si>
  <si>
    <t>Teh Botol Sosro 200Ml</t>
  </si>
  <si>
    <t>RM-FS-26-024</t>
  </si>
  <si>
    <t>Telur</t>
  </si>
  <si>
    <t>RM-TP-26-016</t>
  </si>
  <si>
    <t>RM-TP-26-017</t>
  </si>
  <si>
    <t>RM-TP-26-018</t>
  </si>
  <si>
    <t>RM-TP-26-043</t>
  </si>
  <si>
    <t>Tepung Panir</t>
  </si>
  <si>
    <t>RM-TP-26-050</t>
  </si>
  <si>
    <t>Tepung Sagu</t>
  </si>
  <si>
    <t>RM-SO-26-0002</t>
  </si>
  <si>
    <t>RM-TP-26-045</t>
  </si>
  <si>
    <t>Tepung Tapioka Pak Tani</t>
  </si>
  <si>
    <t>RM-TP-26-021</t>
  </si>
  <si>
    <t>Terigu Cakra Kembar @1X25Kg</t>
  </si>
  <si>
    <t>RM-TP-26-049</t>
  </si>
  <si>
    <t>Terigu Kunci Biru</t>
  </si>
  <si>
    <t>RM-TP-26-024</t>
  </si>
  <si>
    <t>RM-TP-26-031</t>
  </si>
  <si>
    <t>Terigu Segitiga Biru 25Kg</t>
  </si>
  <si>
    <t>RM-TP-26-034</t>
  </si>
  <si>
    <t>RM-TP-26-046</t>
  </si>
  <si>
    <t>Terigu Tali Biru @25 Kg</t>
  </si>
  <si>
    <t>RM-TP-26-035</t>
  </si>
  <si>
    <t>Terigu Tali Mas @25Kg</t>
  </si>
  <si>
    <t>RM-MB-26-014</t>
  </si>
  <si>
    <t>RM-AK-26-132</t>
  </si>
  <si>
    <t>Tirai Foil Dof</t>
  </si>
  <si>
    <t>RM-AK-26-131</t>
  </si>
  <si>
    <t>RM-PP-26-059</t>
  </si>
  <si>
    <t>Toffieco Durian @ 1 Kg</t>
  </si>
  <si>
    <t>toffiecodurian1kg</t>
  </si>
  <si>
    <t>RM-MB-26-026</t>
  </si>
  <si>
    <t>Toples 400 ml</t>
  </si>
  <si>
    <t>RM-MB-26-023</t>
  </si>
  <si>
    <t>Toples Tutup Gold @ 80X15 Cm</t>
  </si>
  <si>
    <t>RM-MB-26-024</t>
  </si>
  <si>
    <t>Toples Tutup Silver @ 85X85 Cm</t>
  </si>
  <si>
    <t>RM-AK-26-169</t>
  </si>
  <si>
    <t>Topper Akrilik @100 Pcs</t>
  </si>
  <si>
    <t>RM-AK-26-162</t>
  </si>
  <si>
    <t>RM-AK-26-163</t>
  </si>
  <si>
    <t>RM-AK-26-164</t>
  </si>
  <si>
    <t>Topper Akrilik Happy Bride To Be</t>
  </si>
  <si>
    <t>RM-AK-26-165</t>
  </si>
  <si>
    <t>Topper Akrilik Karakter</t>
  </si>
  <si>
    <t>RM-AK-26-130</t>
  </si>
  <si>
    <t>Topper Kertas @12 Set</t>
  </si>
  <si>
    <t>RM-AK-26-155</t>
  </si>
  <si>
    <t>Topper Kue Amorcake</t>
  </si>
  <si>
    <t>RM-AK-26-172</t>
  </si>
  <si>
    <t>Topper Kue Ultah Custom</t>
  </si>
  <si>
    <t>topperkueultahcustom</t>
  </si>
  <si>
    <t>RM-AK-26-119</t>
  </si>
  <si>
    <t>Topper Ultah Astronot @12Set</t>
  </si>
  <si>
    <t>RM-AK-26-111</t>
  </si>
  <si>
    <t>Topper Ultah Baby Shark @12 Set</t>
  </si>
  <si>
    <t>RM-AK-26-112</t>
  </si>
  <si>
    <t>Topper Ultah Hewan @12 Set</t>
  </si>
  <si>
    <t>RM-AK-26-123</t>
  </si>
  <si>
    <t>Topper Ultah Kuda Foni @12 Set</t>
  </si>
  <si>
    <t>RM-AK-26-125</t>
  </si>
  <si>
    <t>Topper Ultah Mermaid @12 Set</t>
  </si>
  <si>
    <t>RM-AK-26-124</t>
  </si>
  <si>
    <t>Topper Ultah Princess @12 Set</t>
  </si>
  <si>
    <t>RM-FR-26-024</t>
  </si>
  <si>
    <t>Trans Whipping Cream - Gold</t>
  </si>
  <si>
    <t>RM-FR-26-025</t>
  </si>
  <si>
    <t>Trans Whipping Cream - Silver</t>
  </si>
  <si>
    <t>RM-CD-26-073</t>
  </si>
  <si>
    <t>SHEET</t>
  </si>
  <si>
    <t>RM-CD-26-064</t>
  </si>
  <si>
    <t>Tulip Bordeux 2X2.5Kg</t>
  </si>
  <si>
    <t>RM-GC-26-041</t>
  </si>
  <si>
    <t>Tusuk Gigi</t>
  </si>
  <si>
    <t>RM-GC-26-042</t>
  </si>
  <si>
    <t>Tusuk Sate</t>
  </si>
  <si>
    <t>RM-SP-26-028</t>
  </si>
  <si>
    <t>Ube Powder</t>
  </si>
  <si>
    <t>RM-EM-26-020</t>
  </si>
  <si>
    <t>Vanila Cream Powder 1Kg</t>
  </si>
  <si>
    <t>RM-PP-26-050</t>
  </si>
  <si>
    <t>RM-EM-26-011</t>
  </si>
  <si>
    <t>RM-FS-26-030</t>
  </si>
  <si>
    <t>Wijen Putih @1Kg</t>
  </si>
  <si>
    <t>RM-PP-26-044</t>
  </si>
  <si>
    <t>RM-KJ-26-005</t>
  </si>
  <si>
    <t>RM-VG-26-009</t>
  </si>
  <si>
    <t>Wortel @ 1 Kg</t>
  </si>
  <si>
    <t>RM-TF-26-118</t>
  </si>
  <si>
    <t>Yupi Es Krim</t>
  </si>
  <si>
    <t>yupieskrim</t>
  </si>
  <si>
    <t>RM-TF-26-117</t>
  </si>
  <si>
    <t>Yupi Love</t>
  </si>
  <si>
    <t>yupilove</t>
  </si>
  <si>
    <t>RM-SS-26-012</t>
  </si>
  <si>
    <t>Zee Strawberry</t>
  </si>
  <si>
    <t>Keterangan 2</t>
  </si>
  <si>
    <t xml:space="preserve">yang betul stok 0 </t>
  </si>
  <si>
    <t xml:space="preserve">Yang betul stok 35 </t>
  </si>
  <si>
    <t>yang betul stok 1</t>
  </si>
  <si>
    <t>Yang betul stok 35 pak karena harga yang tercantum per pak</t>
  </si>
  <si>
    <t>yang betul 73.000 pcs stok fisiknya</t>
  </si>
  <si>
    <t xml:space="preserve">yang betul stok 83 </t>
  </si>
  <si>
    <t>yang betul 100 kg</t>
  </si>
  <si>
    <t>nominal yang betul 120.000</t>
  </si>
  <si>
    <t>yang betul stok 4800</t>
  </si>
  <si>
    <t>yang betul stok 4000</t>
  </si>
  <si>
    <t>yang betul stok 160</t>
  </si>
  <si>
    <t>yang betul stok 2350</t>
  </si>
  <si>
    <t>yang betul stok 25</t>
  </si>
  <si>
    <t>yang betul stok nya 0</t>
  </si>
  <si>
    <t>yang betul 0 di stok nominal jg 0</t>
  </si>
  <si>
    <t>yang betul stok 80</t>
  </si>
  <si>
    <t>yang betul stok 20 karena stok nya cuman 1 ball yang ini</t>
  </si>
  <si>
    <t>yang betul stok 1100</t>
  </si>
  <si>
    <t>yang betul stok 1950</t>
  </si>
  <si>
    <t>yang betul stok 93.1</t>
  </si>
  <si>
    <t>yang betul 14.000</t>
  </si>
  <si>
    <t>yang betul 800, di so nominal juga 800</t>
  </si>
  <si>
    <t>yang betul stok 0 karena barang sudah expire</t>
  </si>
  <si>
    <t>yang betul stok 1698</t>
  </si>
  <si>
    <t>yang betul stok 4872 (deadstok)</t>
  </si>
  <si>
    <t>yang betul stok (deadstok)</t>
  </si>
  <si>
    <t>yang betul stok 290 (deadstok)</t>
  </si>
  <si>
    <t>yang betul 1400</t>
  </si>
  <si>
    <t>yang betul stok 5800</t>
  </si>
  <si>
    <t>yang betul stok 78900</t>
  </si>
  <si>
    <t>yang betul 1400 (deadstok)</t>
  </si>
  <si>
    <t>yang betul 0 di so nominal juga 0</t>
  </si>
  <si>
    <t>yang betul 45 karena 1 ctn nya 5 kg</t>
  </si>
  <si>
    <t>yang betul 44.2</t>
  </si>
  <si>
    <t>yang betul stok 0</t>
  </si>
  <si>
    <t>yang betul stok 0 yang ukuran 450 ml</t>
  </si>
  <si>
    <t>yang betul 2400 pcs harga 600 atau sama dengan  240 pak harga 6000</t>
  </si>
  <si>
    <t>yang betul 5500 pcs tapi harga 600 atau sama dengan 550 pak harga 6000</t>
  </si>
  <si>
    <t>yang betul 129 (deadstok)</t>
  </si>
  <si>
    <t>yang betul 2000 pcs harga 600 atau sama dengan  200 pak harga 6000</t>
  </si>
  <si>
    <t>yang betul 2290 pcs harga 600 atau sama dengan  229 pak harga 6000</t>
  </si>
  <si>
    <t>yang betul red hand soap 90 di sistem ke hadwash jasmine</t>
  </si>
  <si>
    <t>yang betul 800 (deadstok)</t>
  </si>
  <si>
    <t>yang betul 161 (deadstok)</t>
  </si>
  <si>
    <t>yang betul 0</t>
  </si>
  <si>
    <t>yang betul 1500  pcs harga 600 atau sama dengan  150 pak harga 6000</t>
  </si>
  <si>
    <t>yang betul 175 (deadstok)</t>
  </si>
  <si>
    <t>yang betul 19</t>
  </si>
  <si>
    <t>yang betul stok 204</t>
  </si>
  <si>
    <t>yang betul stok 180</t>
  </si>
  <si>
    <t>yang betul stok 177</t>
  </si>
  <si>
    <t>yang betul stok 40</t>
  </si>
  <si>
    <t>yang betul stok 91</t>
  </si>
  <si>
    <t>yang betul stok 156</t>
  </si>
  <si>
    <t>yang betul stok 260</t>
  </si>
  <si>
    <t>yang betul stok 61</t>
  </si>
  <si>
    <t>yang betul stok 144</t>
  </si>
  <si>
    <t>yang betul stok 132</t>
  </si>
  <si>
    <t>yang betul stok 250</t>
  </si>
  <si>
    <t>yang betul stok 32</t>
  </si>
  <si>
    <t>yang betul stok 14</t>
  </si>
  <si>
    <t>yang betul stok 72</t>
  </si>
  <si>
    <t>yang betul stok 2</t>
  </si>
  <si>
    <t>yang betul stok 205</t>
  </si>
  <si>
    <t>yang betul stok 7</t>
  </si>
  <si>
    <t>yang betul stok 25 karena di so nominal juga 25</t>
  </si>
  <si>
    <t>yang betul stok 488 (deadstok)</t>
  </si>
  <si>
    <t>yang betul stok 55 (deadstok)</t>
  </si>
  <si>
    <t>yang betul stok 250 (deadstok)</t>
  </si>
  <si>
    <t>ini sama dengan lilin kriting hijau (belum ke edit nama barang nya)</t>
  </si>
  <si>
    <t>yang betul stok 3500</t>
  </si>
  <si>
    <t>yang betul stok 436 (deadstok)</t>
  </si>
  <si>
    <t>yang betul stok 40 (deadstok)</t>
  </si>
  <si>
    <t>yang betul stok 68 (deadstok)</t>
  </si>
  <si>
    <t>yang betul stok 35 (deadstok)</t>
  </si>
  <si>
    <t>yang betul stok 22 (deadstok)</t>
  </si>
  <si>
    <t xml:space="preserve">yang betul 24 di so nominal </t>
  </si>
  <si>
    <t xml:space="preserve">di so nominal masuk ke tepung tapioka aja </t>
  </si>
  <si>
    <t>yang betul stok 0, salah nama harusnya susu kental manis tiga sapi</t>
  </si>
  <si>
    <t>yang betul stok 725, di so nominal juga 725</t>
  </si>
  <si>
    <t>nominal yng betul 5.520.000</t>
  </si>
  <si>
    <t>yang betul stok 1000</t>
  </si>
  <si>
    <t>yang betul stok 30 (deadstok)</t>
  </si>
  <si>
    <t>yang betul stok 21 (deadstok)</t>
  </si>
  <si>
    <t>yang betul stok 618 (deadstok)</t>
  </si>
  <si>
    <t>yang betul stok 19 (deadstok)</t>
  </si>
  <si>
    <t>yang betul stok 84 (deadstok)</t>
  </si>
  <si>
    <t>yang betul stok 25 (deadstok)</t>
  </si>
  <si>
    <t>yang betul stok 18 (deadstok)</t>
  </si>
  <si>
    <t>yang betul stok 23 (deadstok)</t>
  </si>
  <si>
    <t>yang betul stok 2 (deadstok)</t>
  </si>
  <si>
    <t>yang betul stok 10 (deadstok)</t>
  </si>
  <si>
    <t>yang betul stok 6 (deadstok)</t>
  </si>
  <si>
    <t>disistem masuk nya ke tepung tapioka pak tani</t>
  </si>
  <si>
    <t>yang betul stok 0.5</t>
  </si>
  <si>
    <t>yang betul stok 5 pak</t>
  </si>
  <si>
    <t>yang betul stok nya 15.2</t>
  </si>
  <si>
    <t>yang betul stok 60 pcs harga 600 atau sama dengan 6 pak harga 6000</t>
  </si>
  <si>
    <t>yang betul 228 kg</t>
  </si>
  <si>
    <t>yang betul stok 2 diinput di mauripan di so nominal</t>
  </si>
  <si>
    <t>yang betul stok 2 diinput di mauripan</t>
  </si>
  <si>
    <t>yang betul stok 24</t>
  </si>
  <si>
    <t>Yang betul stok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</si>
</sst>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(#,##0\);\-"/>
    <numFmt numFmtId="165" formatCode="#,##0.##;\(#,##0.##\);\-"/>
  </numFmts>
  <fonts count="6" x14ac:knownFonts="1">
    <font>
      <sz val="11"/>
      <color theme="1"/>
      <name val="Calibri"/>
      <family val="2"/>
      <charset val="1"/>
    </font>
    <font>
      <b/>
      <sz val="13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0" fontId="4" fillId="0" borderId="1" xfId="0" applyFont="1" applyBorder="1"/>
    <xf numFmtId="164" fontId="4" fillId="0" borderId="1" xfId="0" applyNumberFormat="1" applyFont="1" applyBorder="1"/>
    <xf numFmtId="0" fontId="5" fillId="0" borderId="0" xfId="0" applyFont="1"/>
    <xf numFmtId="0" fontId="2" fillId="2" borderId="1" xfId="0" applyFont="1" applyFill="1" applyBorder="1" applyAlignment="1">
      <alignment horizontal="center" vertical="center" wrapText="1"/>
    </xf>
    <xf numFmtId="165" fontId="3" fillId="0" borderId="1" xfId="0" applyNumberFormat="1" applyFont="1" applyBorder="1"/>
    <xf numFmtId="0" fontId="0" fillId="0" borderId="0" xfId="0" applyAlignment="1"/>
    <xf numFmtId="0" fontId="3" fillId="0" borderId="1" xfId="0" applyFont="1" applyBorder="1" applyAlignment="1"/>
    <xf numFmtId="164" fontId="3" fillId="0" borderId="1" xfId="0" applyNumberFormat="1" applyFont="1" applyBorder="1" applyAlignment="1"/>
    <xf numFmtId="165" fontId="3" fillId="0" borderId="1" xfId="0" applyNumberFormat="1" applyFont="1" applyBorder="1" applyAlignment="1"/>
    <xf numFmtId="49" fontId="3" fillId="0" borderId="1" xfId="0" applyNumberFormat="1" applyFont="1" applyBorder="1" applyAlignment="1"/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color rgb="FFC00000"/>
        <name val="Arial"/>
      </font>
    </dxf>
    <dxf>
      <font>
        <color rgb="FFC00000"/>
        <name val="Arial"/>
      </font>
    </dxf>
    <dxf>
      <font>
        <b/>
        <color rgb="FF1F4E78"/>
        <name val="Arial"/>
      </font>
      <fill>
        <patternFill>
          <bgColor rgb="FFDDEBF7"/>
        </patternFill>
      </fill>
    </dxf>
    <dxf>
      <font>
        <b/>
        <color rgb="FF9C5700"/>
        <name val="Arial"/>
      </font>
      <fill>
        <patternFill>
          <bgColor rgb="FFFFEB9C"/>
        </patternFill>
      </fill>
    </dxf>
    <dxf>
      <font>
        <b/>
        <color rgb="FF9C5700"/>
        <name val="Arial"/>
      </font>
      <fill>
        <patternFill>
          <bgColor rgb="FFFFEB9C"/>
        </patternFill>
      </fill>
    </dxf>
    <dxf>
      <font>
        <b/>
        <color rgb="FF9C0006"/>
        <name val="Arial"/>
      </font>
      <fill>
        <patternFill>
          <bgColor rgb="FFFFC7CE"/>
        </patternFill>
      </fill>
    </dxf>
    <dxf>
      <font>
        <b/>
        <color rgb="FF9C0006"/>
        <name val="Arial"/>
      </font>
      <fill>
        <patternFill>
          <bgColor rgb="FFFFC7CE"/>
        </patternFill>
      </fill>
    </dxf>
    <dxf>
      <font>
        <b/>
        <color rgb="FF006100"/>
        <name val="Arial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showGridLines="0" zoomScaleNormal="100" workbookViewId="0"/>
  </sheetViews>
  <sheetFormatPr defaultColWidth="8.7109375" defaultRowHeight="15" x14ac:dyDescent="0.25"/>
  <cols>
    <col min="1" max="1" width="30" customWidth="1"/>
    <col min="2" max="2" width="20" customWidth="1"/>
    <col min="3" max="3" width="22" customWidth="1"/>
  </cols>
  <sheetData>
    <row r="1" spans="1:3" ht="16.5" x14ac:dyDescent="0.25">
      <c r="A1" s="1" t="s">
        <v>0</v>
      </c>
    </row>
    <row r="3" spans="1:3" x14ac:dyDescent="0.25">
      <c r="A3" s="2"/>
      <c r="B3" s="2" t="s">
        <v>1</v>
      </c>
    </row>
    <row r="4" spans="1:3" x14ac:dyDescent="0.25">
      <c r="A4" s="3" t="s">
        <v>2</v>
      </c>
      <c r="B4" s="4">
        <f>SUM('Data SO'!$G$2:$G$1085)</f>
        <v>2084489732.4787035</v>
      </c>
    </row>
    <row r="5" spans="1:3" x14ac:dyDescent="0.25">
      <c r="A5" s="3" t="s">
        <v>3</v>
      </c>
      <c r="B5" s="4">
        <f>SUM('Data SCM'!$H$2:$H$698)</f>
        <v>2068025459.0836</v>
      </c>
    </row>
    <row r="6" spans="1:3" x14ac:dyDescent="0.25">
      <c r="A6" s="5" t="s">
        <v>4</v>
      </c>
      <c r="B6" s="6">
        <f>B5-B4</f>
        <v>-16464273.395103455</v>
      </c>
    </row>
    <row r="8" spans="1:3" x14ac:dyDescent="0.25">
      <c r="A8" s="2" t="s">
        <v>5</v>
      </c>
      <c r="B8" s="2" t="s">
        <v>6</v>
      </c>
      <c r="C8" s="2" t="s">
        <v>7</v>
      </c>
    </row>
    <row r="9" spans="1:3" x14ac:dyDescent="0.25">
      <c r="A9" s="3" t="s">
        <v>8</v>
      </c>
      <c r="B9" s="3">
        <f>COUNTIF(Perbandingan!$I$2:$I$453,A9)</f>
        <v>320</v>
      </c>
      <c r="C9" s="4">
        <f>SUMIF(Perbandingan!$I$2:$I$453,A9,Perbandingan!$H$2:$H$453)</f>
        <v>-0.40290366820136114</v>
      </c>
    </row>
    <row r="10" spans="1:3" x14ac:dyDescent="0.25">
      <c r="A10" s="3" t="s">
        <v>9</v>
      </c>
      <c r="B10" s="3">
        <f>COUNTIF(Perbandingan!$I$2:$I$453,A10)</f>
        <v>2</v>
      </c>
      <c r="C10" s="4">
        <f>SUMIF(Perbandingan!$I$2:$I$453,A10,Perbandingan!$H$2:$H$453)</f>
        <v>-7451538.5039999997</v>
      </c>
    </row>
    <row r="11" spans="1:3" x14ac:dyDescent="0.25">
      <c r="A11" s="3" t="s">
        <v>10</v>
      </c>
      <c r="B11" s="3">
        <f>COUNTIF(Perbandingan!$I$2:$I$453,A11)</f>
        <v>5</v>
      </c>
      <c r="C11" s="4">
        <f>SUMIF(Perbandingan!$I$2:$I$453,A11,Perbandingan!$H$2:$H$453)</f>
        <v>0.22800000011920929</v>
      </c>
    </row>
    <row r="12" spans="1:3" x14ac:dyDescent="0.25">
      <c r="A12" s="3" t="s">
        <v>11</v>
      </c>
      <c r="B12" s="3">
        <f>COUNTIF(Perbandingan!$I$2:$I$453,A12)</f>
        <v>88</v>
      </c>
      <c r="C12" s="4">
        <f>SUMIF(Perbandingan!$I$2:$I$453,A12,Perbandingan!$H$2:$H$453)</f>
        <v>27653532.06880001</v>
      </c>
    </row>
    <row r="13" spans="1:3" x14ac:dyDescent="0.25">
      <c r="A13" s="3" t="s">
        <v>12</v>
      </c>
      <c r="B13" s="3">
        <f>COUNTIF(Perbandingan!$I$2:$I$453,A13)</f>
        <v>29</v>
      </c>
      <c r="C13" s="4">
        <f>SUMIF(Perbandingan!$I$2:$I$453,A13,Perbandingan!$H$2:$H$453)</f>
        <v>-41057435.5</v>
      </c>
    </row>
    <row r="14" spans="1:3" x14ac:dyDescent="0.25">
      <c r="A14" s="3" t="s">
        <v>13</v>
      </c>
      <c r="B14" s="3">
        <f>COUNTIF(Perbandingan!$I$2:$I$453,A14)</f>
        <v>8</v>
      </c>
      <c r="C14" s="4">
        <f>SUMIF(Perbandingan!$I$2:$I$453,A14,Perbandingan!$H$2:$H$453)</f>
        <v>4391168.7149999999</v>
      </c>
    </row>
    <row r="15" spans="1:3" x14ac:dyDescent="0.25">
      <c r="A15" s="5" t="s">
        <v>14</v>
      </c>
      <c r="B15" s="5">
        <f>SUM(B9:B14)</f>
        <v>452</v>
      </c>
      <c r="C15" s="6">
        <f>SUM(C9:C14)</f>
        <v>-16464273.395103659</v>
      </c>
    </row>
    <row r="17" spans="1:1" x14ac:dyDescent="0.25">
      <c r="A17" s="7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3"/>
  <sheetViews>
    <sheetView tabSelected="1" zoomScaleNormal="100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M128" sqref="M128"/>
    </sheetView>
  </sheetViews>
  <sheetFormatPr defaultColWidth="8.7109375" defaultRowHeight="15" x14ac:dyDescent="0.25"/>
  <cols>
    <col min="1" max="1" width="46" customWidth="1"/>
    <col min="2" max="2" width="9" customWidth="1"/>
    <col min="3" max="5" width="12" customWidth="1"/>
    <col min="6" max="8" width="18" customWidth="1"/>
    <col min="9" max="9" width="22" customWidth="1"/>
    <col min="10" max="11" width="10" hidden="1" customWidth="1"/>
    <col min="12" max="12" width="8.42578125" hidden="1" customWidth="1"/>
    <col min="13" max="13" width="63.85546875" customWidth="1"/>
  </cols>
  <sheetData>
    <row r="1" spans="1:13" ht="30" customHeight="1" x14ac:dyDescent="0.25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  <c r="G1" s="8" t="s">
        <v>22</v>
      </c>
      <c r="H1" s="8" t="s">
        <v>7</v>
      </c>
      <c r="I1" s="8" t="s">
        <v>5</v>
      </c>
      <c r="J1" s="8" t="s">
        <v>23</v>
      </c>
      <c r="K1" s="8" t="s">
        <v>24</v>
      </c>
      <c r="L1" s="8" t="s">
        <v>25</v>
      </c>
      <c r="M1" s="15" t="s">
        <v>3405</v>
      </c>
    </row>
    <row r="2" spans="1:13" x14ac:dyDescent="0.25">
      <c r="A2" s="3" t="str">
        <f>IFERROR(INDEX('Data SO'!$C$2:$C$1085,MATCH($J2,'Data SO'!$H$2:$H$1085,0)),INDEX('Data SCM'!$B$2:$B$698,MATCH($J2,'Data SCM'!$I$2:$I$698,0)))</f>
        <v xml:space="preserve">TRANS WHIPPING CREAM - GOLD </v>
      </c>
      <c r="B2" s="3" t="str">
        <f>IFERROR(INDEX('Data SO'!$D$2:$D$1085,MATCH($J2,'Data SO'!$H$2:$H$1085,0)),K2)</f>
        <v>Kg</v>
      </c>
      <c r="C2" s="9">
        <f>SUMIF('Data SO'!$H$2:$H$1085,$J2,'Data SO'!$F$2:$F$1085)</f>
        <v>0</v>
      </c>
      <c r="D2" s="9">
        <f>SUMIF('Data SCM'!$I$2:$I$698,$J2,'Data SCM'!$E$2:$E$698)*L2</f>
        <v>563.99919599999998</v>
      </c>
      <c r="E2" s="9">
        <f t="shared" ref="E2:E65" si="0">D2-C2</f>
        <v>563.99919599999998</v>
      </c>
      <c r="F2" s="4">
        <f>SUMIF('Data SO'!$H$2:$H$1085,$J2,'Data SO'!$G$2:$G$1085)</f>
        <v>0</v>
      </c>
      <c r="G2" s="4">
        <f>SUMIF('Data SCM'!$I$2:$I$698,$J2,'Data SCM'!$H$2:$H$698)</f>
        <v>27071961.408</v>
      </c>
      <c r="H2" s="4">
        <f t="shared" ref="H2:H65" si="1">G2-F2</f>
        <v>27071961.408</v>
      </c>
      <c r="I2" s="3" t="str">
        <f>IF(COUNTIF('Data SCM'!$I$2:$I$698,$J2)=0,"Hanya di SO",IF(COUNTIF('Data SO'!$H$2:$H$1085,$J2)=0,"Hanya di SCM",IF(AND(ABS(E2)&lt;0.01,ABS(H2)&lt;1),"Sama",IF(ABS(E2)&lt;0.01,"Selisih nominal",IF(ABS(H2)&lt;1,"Selisih qty","Selisih qty &amp; nominal")))))</f>
        <v>Selisih qty &amp; nominal</v>
      </c>
      <c r="J2" t="s">
        <v>26</v>
      </c>
      <c r="K2" t="str">
        <f>IFERROR(INDEX('Data SCM'!$D$2:$D$698,MATCH($J2,'Data SCM'!$I$2:$I$698,0)),"")</f>
        <v>KG</v>
      </c>
      <c r="L2">
        <f t="shared" ref="L2:L65" si="2">IF(OR(AND(K2="GR",LOWER(B2)="kg"),AND(K2="ML",LOWER(B2)="liter")),0.001,1)</f>
        <v>1</v>
      </c>
      <c r="M2" t="s">
        <v>3406</v>
      </c>
    </row>
    <row r="3" spans="1:13" x14ac:dyDescent="0.25">
      <c r="A3" s="3" t="str">
        <f>IFERROR(INDEX('Data SO'!$C$2:$C$1085,MATCH($J3,'Data SO'!$H$2:$H$1085,0)),INDEX('Data SCM'!$B$2:$B$698,MATCH($J3,'Data SCM'!$I$2:$I$698,0)))</f>
        <v>Hand Glove Plastik</v>
      </c>
      <c r="B3" s="3" t="str">
        <f>IFERROR(INDEX('Data SO'!$D$2:$D$1085,MATCH($J3,'Data SO'!$H$2:$H$1085,0)),K3)</f>
        <v>Pcs</v>
      </c>
      <c r="C3" s="9">
        <f>SUMIF('Data SO'!$H$2:$H$1085,$J3,'Data SO'!$F$2:$F$1085)</f>
        <v>35</v>
      </c>
      <c r="D3" s="9">
        <f>SUMIF('Data SCM'!$I$2:$I$698,$J3,'Data SCM'!$E$2:$E$698)*L3</f>
        <v>3500</v>
      </c>
      <c r="E3" s="9">
        <f t="shared" si="0"/>
        <v>3465</v>
      </c>
      <c r="F3" s="4">
        <f>SUMIF('Data SO'!$H$2:$H$1085,$J3,'Data SO'!$G$2:$G$1085)</f>
        <v>239750</v>
      </c>
      <c r="G3" s="4">
        <f>SUMIF('Data SCM'!$I$2:$I$698,$J3,'Data SCM'!$H$2:$H$698)</f>
        <v>23975000</v>
      </c>
      <c r="H3" s="4">
        <f t="shared" si="1"/>
        <v>23735250</v>
      </c>
      <c r="I3" s="3" t="str">
        <f>IF(COUNTIF('Data SCM'!$I$2:$I$698,$J3)=0,"Hanya di SO",IF(COUNTIF('Data SO'!$H$2:$H$1085,$J3)=0,"Hanya di SCM",IF(AND(ABS(E3)&lt;0.01,ABS(H3)&lt;1),"Sama",IF(ABS(E3)&lt;0.01,"Selisih nominal",IF(ABS(H3)&lt;1,"Selisih qty","Selisih qty &amp; nominal")))))</f>
        <v>Selisih qty &amp; nominal</v>
      </c>
      <c r="J3" t="s">
        <v>27</v>
      </c>
      <c r="K3" t="str">
        <f>IFERROR(INDEX('Data SCM'!$D$2:$D$698,MATCH($J3,'Data SCM'!$I$2:$I$698,0)),"")</f>
        <v>PCS</v>
      </c>
      <c r="L3">
        <f t="shared" si="2"/>
        <v>1</v>
      </c>
      <c r="M3" t="s">
        <v>3409</v>
      </c>
    </row>
    <row r="4" spans="1:13" x14ac:dyDescent="0.25">
      <c r="A4" s="3" t="str">
        <f>IFERROR(INDEX('Data SO'!$C$2:$C$1085,MATCH($J4,'Data SO'!$H$2:$H$1085,0)),INDEX('Data SCM'!$B$2:$B$698,MATCH($J4,'Data SCM'!$I$2:$I$698,0)))</f>
        <v xml:space="preserve">Plastik Opp 15X25 </v>
      </c>
      <c r="B4" s="3" t="str">
        <f>IFERROR(INDEX('Data SO'!$D$2:$D$1085,MATCH($J4,'Data SO'!$H$2:$H$1085,0)),K4)</f>
        <v>Pcs</v>
      </c>
      <c r="C4" s="9">
        <f>SUMIF('Data SO'!$H$2:$H$1085,$J4,'Data SO'!$F$2:$F$1085)</f>
        <v>73000</v>
      </c>
      <c r="D4" s="9">
        <f>SUMIF('Data SCM'!$I$2:$I$698,$J4,'Data SCM'!$E$2:$E$698)*L4</f>
        <v>0</v>
      </c>
      <c r="E4" s="9">
        <f t="shared" si="0"/>
        <v>-73000</v>
      </c>
      <c r="F4" s="4">
        <f>SUMIF('Data SO'!$H$2:$H$1085,$J4,'Data SO'!$G$2:$G$1085)</f>
        <v>23652000</v>
      </c>
      <c r="G4" s="4">
        <f>SUMIF('Data SCM'!$I$2:$I$698,$J4,'Data SCM'!$H$2:$H$698)</f>
        <v>0</v>
      </c>
      <c r="H4" s="4">
        <f t="shared" si="1"/>
        <v>-23652000</v>
      </c>
      <c r="I4" s="3" t="str">
        <f>IF(COUNTIF('Data SCM'!$I$2:$I$698,$J4)=0,"Hanya di SO",IF(COUNTIF('Data SO'!$H$2:$H$1085,$J4)=0,"Hanya di SCM",IF(AND(ABS(E4)&lt;0.01,ABS(H4)&lt;1),"Sama",IF(ABS(E4)&lt;0.01,"Selisih nominal",IF(ABS(H4)&lt;1,"Selisih qty","Selisih qty &amp; nominal")))))</f>
        <v>Hanya di SO</v>
      </c>
      <c r="J4" t="s">
        <v>28</v>
      </c>
      <c r="K4" t="str">
        <f>IFERROR(INDEX('Data SCM'!$D$2:$D$698,MATCH($J4,'Data SCM'!$I$2:$I$698,0)),"")</f>
        <v/>
      </c>
      <c r="L4">
        <f t="shared" si="2"/>
        <v>1</v>
      </c>
      <c r="M4" t="s">
        <v>3410</v>
      </c>
    </row>
    <row r="5" spans="1:13" x14ac:dyDescent="0.25">
      <c r="A5" s="3" t="str">
        <f>IFERROR(INDEX('Data SO'!$C$2:$C$1085,MATCH($J5,'Data SO'!$H$2:$H$1085,0)),INDEX('Data SCM'!$B$2:$B$698,MATCH($J5,'Data SCM'!$I$2:$I$698,0)))</f>
        <v>PREMIX GULA BROWNIES</v>
      </c>
      <c r="B5" s="3" t="str">
        <f>IFERROR(INDEX('Data SO'!$D$2:$D$1085,MATCH($J5,'Data SO'!$H$2:$H$1085,0)),K5)</f>
        <v>Pcs</v>
      </c>
      <c r="C5" s="9">
        <f>SUMIF('Data SO'!$H$2:$H$1085,$J5,'Data SO'!$F$2:$F$1085)</f>
        <v>0</v>
      </c>
      <c r="D5" s="9">
        <f>SUMIF('Data SCM'!$I$2:$I$698,$J5,'Data SCM'!$E$2:$E$698)*L5</f>
        <v>83</v>
      </c>
      <c r="E5" s="9">
        <f t="shared" si="0"/>
        <v>83</v>
      </c>
      <c r="F5" s="4">
        <f>SUMIF('Data SO'!$H$2:$H$1085,$J5,'Data SO'!$G$2:$G$1085)</f>
        <v>0</v>
      </c>
      <c r="G5" s="4">
        <f>SUMIF('Data SCM'!$I$2:$I$698,$J5,'Data SCM'!$H$2:$H$698)</f>
        <v>12191750.9365</v>
      </c>
      <c r="H5" s="4">
        <f t="shared" si="1"/>
        <v>12191750.9365</v>
      </c>
      <c r="I5" s="3" t="str">
        <f>IF(COUNTIF('Data SCM'!$I$2:$I$698,$J5)=0,"Hanya di SO",IF(COUNTIF('Data SO'!$H$2:$H$1085,$J5)=0,"Hanya di SCM",IF(AND(ABS(E5)&lt;0.01,ABS(H5)&lt;1),"Sama",IF(ABS(E5)&lt;0.01,"Selisih nominal",IF(ABS(H5)&lt;1,"Selisih qty","Selisih qty &amp; nominal")))))</f>
        <v>Selisih qty &amp; nominal</v>
      </c>
      <c r="J5" t="s">
        <v>29</v>
      </c>
      <c r="K5" t="str">
        <f>IFERROR(INDEX('Data SCM'!$D$2:$D$698,MATCH($J5,'Data SCM'!$I$2:$I$698,0)),"")</f>
        <v>PCS</v>
      </c>
      <c r="L5">
        <f t="shared" si="2"/>
        <v>1</v>
      </c>
      <c r="M5" t="s">
        <v>3411</v>
      </c>
    </row>
    <row r="6" spans="1:13" x14ac:dyDescent="0.25">
      <c r="A6" s="3" t="str">
        <f>IFERROR(INDEX('Data SO'!$C$2:$C$1085,MATCH($J6,'Data SO'!$H$2:$H$1085,0)),INDEX('Data SCM'!$B$2:$B$698,MATCH($J6,'Data SCM'!$I$2:$I$698,0)))</f>
        <v>TEGRAL MOCHI BREAD</v>
      </c>
      <c r="B6" s="3" t="str">
        <f>IFERROR(INDEX('Data SO'!$D$2:$D$1085,MATCH($J6,'Data SO'!$H$2:$H$1085,0)),K6)</f>
        <v>kg</v>
      </c>
      <c r="C6" s="9">
        <f>SUMIF('Data SO'!$H$2:$H$1085,$J6,'Data SO'!$F$2:$F$1085)</f>
        <v>0</v>
      </c>
      <c r="D6" s="9">
        <f>SUMIF('Data SCM'!$I$2:$I$698,$J6,'Data SCM'!$E$2:$E$698)*L6</f>
        <v>100</v>
      </c>
      <c r="E6" s="9">
        <f t="shared" si="0"/>
        <v>100</v>
      </c>
      <c r="F6" s="4">
        <f>SUMIF('Data SO'!$H$2:$H$1085,$J6,'Data SO'!$G$2:$G$1085)</f>
        <v>0</v>
      </c>
      <c r="G6" s="4">
        <f>SUMIF('Data SCM'!$I$2:$I$698,$J6,'Data SCM'!$H$2:$H$698)</f>
        <v>8580300</v>
      </c>
      <c r="H6" s="4">
        <f t="shared" si="1"/>
        <v>8580300</v>
      </c>
      <c r="I6" s="3" t="str">
        <f>IF(COUNTIF('Data SCM'!$I$2:$I$698,$J6)=0,"Hanya di SO",IF(COUNTIF('Data SO'!$H$2:$H$1085,$J6)=0,"Hanya di SCM",IF(AND(ABS(E6)&lt;0.01,ABS(H6)&lt;1),"Sama",IF(ABS(E6)&lt;0.01,"Selisih nominal",IF(ABS(H6)&lt;1,"Selisih qty","Selisih qty &amp; nominal")))))</f>
        <v>Selisih qty &amp; nominal</v>
      </c>
      <c r="J6" t="s">
        <v>30</v>
      </c>
      <c r="K6" t="str">
        <f>IFERROR(INDEX('Data SCM'!$D$2:$D$698,MATCH($J6,'Data SCM'!$I$2:$I$698,0)),"")</f>
        <v>KG</v>
      </c>
      <c r="L6">
        <f t="shared" si="2"/>
        <v>1</v>
      </c>
      <c r="M6" t="s">
        <v>3412</v>
      </c>
    </row>
    <row r="7" spans="1:13" x14ac:dyDescent="0.25">
      <c r="A7" s="3" t="str">
        <f>IFERROR(INDEX('Data SO'!$C$2:$C$1085,MATCH($J7,'Data SO'!$H$2:$H$1085,0)),INDEX('Data SCM'!$B$2:$B$698,MATCH($J7,'Data SCM'!$I$2:$I$698,0)))</f>
        <v>PEWARNA CROSS ORANGE @60 ML</v>
      </c>
      <c r="B7" s="3" t="str">
        <f>IFERROR(INDEX('Data SO'!$D$2:$D$1085,MATCH($J7,'Data SO'!$H$2:$H$1085,0)),K7)</f>
        <v>Pcs</v>
      </c>
      <c r="C7" s="9">
        <f>SUMIF('Data SO'!$H$2:$H$1085,$J7,'Data SO'!$F$2:$F$1085)</f>
        <v>240</v>
      </c>
      <c r="D7" s="9">
        <f>SUMIF('Data SCM'!$I$2:$I$698,$J7,'Data SCM'!$E$2:$E$698)*L7</f>
        <v>240</v>
      </c>
      <c r="E7" s="9">
        <f t="shared" si="0"/>
        <v>0</v>
      </c>
      <c r="F7" s="4">
        <f>SUMIF('Data SO'!$H$2:$H$1085,$J7,'Data SO'!$G$2:$G$1085)</f>
        <v>7200000</v>
      </c>
      <c r="G7" s="4">
        <f>SUMIF('Data SCM'!$I$2:$I$698,$J7,'Data SCM'!$H$2:$H$698)</f>
        <v>120000</v>
      </c>
      <c r="H7" s="4">
        <f t="shared" si="1"/>
        <v>-7080000</v>
      </c>
      <c r="I7" s="3" t="str">
        <f>IF(COUNTIF('Data SCM'!$I$2:$I$698,$J7)=0,"Hanya di SO",IF(COUNTIF('Data SO'!$H$2:$H$1085,$J7)=0,"Hanya di SCM",IF(AND(ABS(E7)&lt;0.01,ABS(H7)&lt;1),"Sama",IF(ABS(E7)&lt;0.01,"Selisih nominal",IF(ABS(H7)&lt;1,"Selisih qty","Selisih qty &amp; nominal")))))</f>
        <v>Selisih nominal</v>
      </c>
      <c r="J7" t="s">
        <v>31</v>
      </c>
      <c r="K7" t="str">
        <f>IFERROR(INDEX('Data SCM'!$D$2:$D$698,MATCH($J7,'Data SCM'!$I$2:$I$698,0)),"")</f>
        <v>ML</v>
      </c>
      <c r="L7">
        <f t="shared" si="2"/>
        <v>1</v>
      </c>
      <c r="M7" t="s">
        <v>3413</v>
      </c>
    </row>
    <row r="8" spans="1:13" x14ac:dyDescent="0.25">
      <c r="A8" s="3" t="str">
        <f>IFERROR(INDEX('Data SO'!$C$2:$C$1085,MATCH($J8,'Data SO'!$H$2:$H$1085,0)),INDEX('Data SCM'!$B$2:$B$698,MATCH($J8,'Data SCM'!$I$2:$I$698,0)))</f>
        <v>Cover Dessert Blueberry</v>
      </c>
      <c r="B8" s="3" t="str">
        <f>IFERROR(INDEX('Data SO'!$D$2:$D$1085,MATCH($J8,'Data SO'!$H$2:$H$1085,0)),K8)</f>
        <v>Pcs</v>
      </c>
      <c r="C8" s="9">
        <f>SUMIF('Data SO'!$H$2:$H$1085,$J8,'Data SO'!$F$2:$F$1085)</f>
        <v>4800</v>
      </c>
      <c r="D8" s="9">
        <f>SUMIF('Data SCM'!$I$2:$I$698,$J8,'Data SCM'!$E$2:$E$698)*L8</f>
        <v>0</v>
      </c>
      <c r="E8" s="9">
        <f t="shared" si="0"/>
        <v>-4800</v>
      </c>
      <c r="F8" s="4">
        <f>SUMIF('Data SO'!$H$2:$H$1085,$J8,'Data SO'!$G$2:$G$1085)</f>
        <v>6960000</v>
      </c>
      <c r="G8" s="4">
        <f>SUMIF('Data SCM'!$I$2:$I$698,$J8,'Data SCM'!$H$2:$H$698)</f>
        <v>0</v>
      </c>
      <c r="H8" s="4">
        <f t="shared" si="1"/>
        <v>-6960000</v>
      </c>
      <c r="I8" s="3" t="str">
        <f>IF(COUNTIF('Data SCM'!$I$2:$I$698,$J8)=0,"Hanya di SO",IF(COUNTIF('Data SO'!$H$2:$H$1085,$J8)=0,"Hanya di SCM",IF(AND(ABS(E8)&lt;0.01,ABS(H8)&lt;1),"Sama",IF(ABS(E8)&lt;0.01,"Selisih nominal",IF(ABS(H8)&lt;1,"Selisih qty","Selisih qty &amp; nominal")))))</f>
        <v>Selisih qty &amp; nominal</v>
      </c>
      <c r="J8" t="s">
        <v>32</v>
      </c>
      <c r="K8" t="str">
        <f>IFERROR(INDEX('Data SCM'!$D$2:$D$698,MATCH($J8,'Data SCM'!$I$2:$I$698,0)),"")</f>
        <v>PCS</v>
      </c>
      <c r="L8">
        <f t="shared" si="2"/>
        <v>1</v>
      </c>
      <c r="M8" t="s">
        <v>3414</v>
      </c>
    </row>
    <row r="9" spans="1:13" x14ac:dyDescent="0.25">
      <c r="A9" s="3" t="str">
        <f>IFERROR(INDEX('Data SO'!$C$2:$C$1085,MATCH($J9,'Data SO'!$H$2:$H$1085,0)),INDEX('Data SCM'!$B$2:$B$698,MATCH($J9,'Data SCM'!$I$2:$I$698,0)))</f>
        <v>PASTRICIA DUSTING SUGAR  @1X10KG</v>
      </c>
      <c r="B9" s="3" t="str">
        <f>IFERROR(INDEX('Data SO'!$D$2:$D$1085,MATCH($J9,'Data SO'!$H$2:$H$1085,0)),K9)</f>
        <v>Kg</v>
      </c>
      <c r="C9" s="9">
        <f>SUMIF('Data SO'!$H$2:$H$1085,$J9,'Data SO'!$F$2:$F$1085)</f>
        <v>160</v>
      </c>
      <c r="D9" s="9">
        <f>SUMIF('Data SCM'!$I$2:$I$698,$J9,'Data SCM'!$E$2:$E$698)*L9</f>
        <v>16</v>
      </c>
      <c r="E9" s="9">
        <f t="shared" si="0"/>
        <v>-144</v>
      </c>
      <c r="F9" s="4">
        <f>SUMIF('Data SO'!$H$2:$H$1085,$J9,'Data SO'!$G$2:$G$1085)</f>
        <v>7104000</v>
      </c>
      <c r="G9" s="4">
        <f>SUMIF('Data SCM'!$I$2:$I$698,$J9,'Data SCM'!$H$2:$H$698)</f>
        <v>710400</v>
      </c>
      <c r="H9" s="4">
        <f t="shared" si="1"/>
        <v>-6393600</v>
      </c>
      <c r="I9" s="3" t="str">
        <f>IF(COUNTIF('Data SCM'!$I$2:$I$698,$J9)=0,"Hanya di SO",IF(COUNTIF('Data SO'!$H$2:$H$1085,$J9)=0,"Hanya di SCM",IF(AND(ABS(E9)&lt;0.01,ABS(H9)&lt;1),"Sama",IF(ABS(E9)&lt;0.01,"Selisih nominal",IF(ABS(H9)&lt;1,"Selisih qty","Selisih qty &amp; nominal")))))</f>
        <v>Selisih qty &amp; nominal</v>
      </c>
      <c r="J9" t="s">
        <v>33</v>
      </c>
      <c r="K9" t="str">
        <f>IFERROR(INDEX('Data SCM'!$D$2:$D$698,MATCH($J9,'Data SCM'!$I$2:$I$698,0)),"")</f>
        <v>GR</v>
      </c>
      <c r="L9">
        <f t="shared" si="2"/>
        <v>1E-3</v>
      </c>
      <c r="M9" t="s">
        <v>3416</v>
      </c>
    </row>
    <row r="10" spans="1:13" x14ac:dyDescent="0.25">
      <c r="A10" s="3" t="str">
        <f>IFERROR(INDEX('Data SO'!$C$2:$C$1085,MATCH($J10,'Data SO'!$H$2:$H$1085,0)),INDEX('Data SCM'!$B$2:$B$698,MATCH($J10,'Data SCM'!$I$2:$I$698,0)))</f>
        <v>Dus General @250 Pcs</v>
      </c>
      <c r="B10" s="3" t="str">
        <f>IFERROR(INDEX('Data SO'!$D$2:$D$1085,MATCH($J10,'Data SO'!$H$2:$H$1085,0)),K10)</f>
        <v>pcs</v>
      </c>
      <c r="C10" s="9">
        <f>SUMIF('Data SO'!$H$2:$H$1085,$J10,'Data SO'!$F$2:$F$1085)</f>
        <v>2350</v>
      </c>
      <c r="D10" s="9">
        <f>SUMIF('Data SCM'!$I$2:$I$698,$J10,'Data SCM'!$E$2:$E$698)*L10</f>
        <v>0</v>
      </c>
      <c r="E10" s="9">
        <f t="shared" si="0"/>
        <v>-2350</v>
      </c>
      <c r="F10" s="4">
        <f>SUMIF('Data SO'!$H$2:$H$1085,$J10,'Data SO'!$G$2:$G$1085)</f>
        <v>6129975</v>
      </c>
      <c r="G10" s="4">
        <f>SUMIF('Data SCM'!$I$2:$I$698,$J10,'Data SCM'!$H$2:$H$698)</f>
        <v>0</v>
      </c>
      <c r="H10" s="4">
        <f t="shared" si="1"/>
        <v>-6129975</v>
      </c>
      <c r="I10" s="3" t="str">
        <f>IF(COUNTIF('Data SCM'!$I$2:$I$698,$J10)=0,"Hanya di SO",IF(COUNTIF('Data SO'!$H$2:$H$1085,$J10)=0,"Hanya di SCM",IF(AND(ABS(E10)&lt;0.01,ABS(H10)&lt;1),"Sama",IF(ABS(E10)&lt;0.01,"Selisih nominal",IF(ABS(H10)&lt;1,"Selisih qty","Selisih qty &amp; nominal")))))</f>
        <v>Selisih qty &amp; nominal</v>
      </c>
      <c r="J10" t="s">
        <v>34</v>
      </c>
      <c r="K10" t="str">
        <f>IFERROR(INDEX('Data SCM'!$D$2:$D$698,MATCH($J10,'Data SCM'!$I$2:$I$698,0)),"")</f>
        <v>PCS</v>
      </c>
      <c r="L10">
        <f t="shared" si="2"/>
        <v>1</v>
      </c>
      <c r="M10" t="s">
        <v>3417</v>
      </c>
    </row>
    <row r="11" spans="1:13" x14ac:dyDescent="0.25">
      <c r="A11" s="3" t="str">
        <f>IFERROR(INDEX('Data SO'!$C$2:$C$1085,MATCH($J11,'Data SO'!$H$2:$H$1085,0)),INDEX('Data SCM'!$B$2:$B$698,MATCH($J11,'Data SCM'!$I$2:$I$698,0)))</f>
        <v>Terigu Stupa Hijau @25Kg</v>
      </c>
      <c r="B11" s="3" t="str">
        <f>IFERROR(INDEX('Data SO'!$D$2:$D$1085,MATCH($J11,'Data SO'!$H$2:$H$1085,0)),K11)</f>
        <v>kg</v>
      </c>
      <c r="C11" s="9">
        <f>SUMIF('Data SO'!$H$2:$H$1085,$J11,'Data SO'!$F$2:$F$1085)</f>
        <v>0</v>
      </c>
      <c r="D11" s="9">
        <f>SUMIF('Data SCM'!$I$2:$I$698,$J11,'Data SCM'!$E$2:$E$698)*L11</f>
        <v>725</v>
      </c>
      <c r="E11" s="9">
        <f t="shared" si="0"/>
        <v>725</v>
      </c>
      <c r="F11" s="4">
        <f>SUMIF('Data SO'!$H$2:$H$1085,$J11,'Data SO'!$G$2:$G$1085)</f>
        <v>0</v>
      </c>
      <c r="G11" s="4">
        <f>SUMIF('Data SCM'!$I$2:$I$698,$J11,'Data SCM'!$H$2:$H$698)</f>
        <v>5951158.9474999998</v>
      </c>
      <c r="H11" s="4">
        <f t="shared" si="1"/>
        <v>5951158.9474999998</v>
      </c>
      <c r="I11" s="3" t="str">
        <f>IF(COUNTIF('Data SCM'!$I$2:$I$698,$J11)=0,"Hanya di SO",IF(COUNTIF('Data SO'!$H$2:$H$1085,$J11)=0,"Hanya di SCM",IF(AND(ABS(E11)&lt;0.01,ABS(H11)&lt;1),"Sama",IF(ABS(E11)&lt;0.01,"Selisih nominal",IF(ABS(H11)&lt;1,"Selisih qty","Selisih qty &amp; nominal")))))</f>
        <v>Selisih qty &amp; nominal</v>
      </c>
      <c r="J11" t="s">
        <v>35</v>
      </c>
      <c r="K11" t="str">
        <f>IFERROR(INDEX('Data SCM'!$D$2:$D$698,MATCH($J11,'Data SCM'!$I$2:$I$698,0)),"")</f>
        <v>KG</v>
      </c>
      <c r="L11">
        <f t="shared" si="2"/>
        <v>1</v>
      </c>
      <c r="M11" t="s">
        <v>3419</v>
      </c>
    </row>
    <row r="12" spans="1:13" x14ac:dyDescent="0.25">
      <c r="A12" s="3" t="str">
        <f>IFERROR(INDEX('Data SO'!$C$2:$C$1085,MATCH($J12,'Data SO'!$H$2:$H$1085,0)),INDEX('Data SCM'!$B$2:$B$698,MATCH($J12,'Data SCM'!$I$2:$I$698,0)))</f>
        <v>HIRA MANNA SP 20KG</v>
      </c>
      <c r="B12" s="3" t="str">
        <f>IFERROR(INDEX('Data SO'!$D$2:$D$1085,MATCH($J12,'Data SO'!$H$2:$H$1085,0)),K12)</f>
        <v>kg</v>
      </c>
      <c r="C12" s="9">
        <f>SUMIF('Data SO'!$H$2:$H$1085,$J12,'Data SO'!$F$2:$F$1085)</f>
        <v>7</v>
      </c>
      <c r="D12" s="9">
        <f>SUMIF('Data SCM'!$I$2:$I$698,$J12,'Data SCM'!$E$2:$E$698)*L12</f>
        <v>0</v>
      </c>
      <c r="E12" s="9">
        <f t="shared" si="0"/>
        <v>-7</v>
      </c>
      <c r="F12" s="4">
        <f>SUMIF('Data SO'!$H$2:$H$1085,$J12,'Data SO'!$G$2:$G$1085)</f>
        <v>5530000</v>
      </c>
      <c r="G12" s="4">
        <f>SUMIF('Data SCM'!$I$2:$I$698,$J12,'Data SCM'!$H$2:$H$698)</f>
        <v>0</v>
      </c>
      <c r="H12" s="4">
        <f t="shared" si="1"/>
        <v>-5530000</v>
      </c>
      <c r="I12" s="3" t="str">
        <f>IF(COUNTIF('Data SCM'!$I$2:$I$698,$J12)=0,"Hanya di SO",IF(COUNTIF('Data SO'!$H$2:$H$1085,$J12)=0,"Hanya di SCM",IF(AND(ABS(E12)&lt;0.01,ABS(H12)&lt;1),"Sama",IF(ABS(E12)&lt;0.01,"Selisih nominal",IF(ABS(H12)&lt;1,"Selisih qty","Selisih qty &amp; nominal")))))</f>
        <v>Selisih qty &amp; nominal</v>
      </c>
      <c r="J12" t="s">
        <v>36</v>
      </c>
      <c r="K12" t="str">
        <f>IFERROR(INDEX('Data SCM'!$D$2:$D$698,MATCH($J12,'Data SCM'!$I$2:$I$698,0)),"")</f>
        <v>KG</v>
      </c>
      <c r="L12">
        <f t="shared" si="2"/>
        <v>1</v>
      </c>
      <c r="M12" t="s">
        <v>3420</v>
      </c>
    </row>
    <row r="13" spans="1:13" x14ac:dyDescent="0.25">
      <c r="A13" s="3" t="str">
        <f>IFERROR(INDEX('Data SO'!$C$2:$C$1085,MATCH($J13,'Data SO'!$H$2:$H$1085,0)),INDEX('Data SCM'!$B$2:$B$698,MATCH($J13,'Data SCM'!$I$2:$I$698,0)))</f>
        <v>Crystal Jelly @5Kg</v>
      </c>
      <c r="B13" s="3" t="str">
        <f>IFERROR(INDEX('Data SO'!$D$2:$D$1085,MATCH($J13,'Data SO'!$H$2:$H$1085,0)),K13)</f>
        <v>kg</v>
      </c>
      <c r="C13" s="9">
        <f>SUMIF('Data SO'!$H$2:$H$1085,$J13,'Data SO'!$F$2:$F$1085)</f>
        <v>5</v>
      </c>
      <c r="D13" s="9">
        <f>SUMIF('Data SCM'!$I$2:$I$698,$J13,'Data SCM'!$E$2:$E$698)*L13</f>
        <v>80</v>
      </c>
      <c r="E13" s="9">
        <f t="shared" si="0"/>
        <v>75</v>
      </c>
      <c r="F13" s="4">
        <f>SUMIF('Data SO'!$H$2:$H$1085,$J13,'Data SO'!$G$2:$G$1085)</f>
        <v>355963</v>
      </c>
      <c r="G13" s="4">
        <f>SUMIF('Data SCM'!$I$2:$I$698,$J13,'Data SCM'!$H$2:$H$698)</f>
        <v>5695408</v>
      </c>
      <c r="H13" s="4">
        <f t="shared" si="1"/>
        <v>5339445</v>
      </c>
      <c r="I13" s="3" t="str">
        <f>IF(COUNTIF('Data SCM'!$I$2:$I$698,$J13)=0,"Hanya di SO",IF(COUNTIF('Data SO'!$H$2:$H$1085,$J13)=0,"Hanya di SCM",IF(AND(ABS(E13)&lt;0.01,ABS(H13)&lt;1),"Sama",IF(ABS(E13)&lt;0.01,"Selisih nominal",IF(ABS(H13)&lt;1,"Selisih qty","Selisih qty &amp; nominal")))))</f>
        <v>Selisih qty &amp; nominal</v>
      </c>
      <c r="J13" t="s">
        <v>37</v>
      </c>
      <c r="K13" t="str">
        <f>IFERROR(INDEX('Data SCM'!$D$2:$D$698,MATCH($J13,'Data SCM'!$I$2:$I$698,0)),"")</f>
        <v>KG</v>
      </c>
      <c r="L13">
        <f t="shared" si="2"/>
        <v>1</v>
      </c>
      <c r="M13" t="s">
        <v>3421</v>
      </c>
    </row>
    <row r="14" spans="1:13" x14ac:dyDescent="0.25">
      <c r="A14" s="3" t="str">
        <f>IFERROR(INDEX('Data SO'!$C$2:$C$1085,MATCH($J14,'Data SO'!$H$2:$H$1085,0)),INDEX('Data SCM'!$B$2:$B$698,MATCH($J14,'Data SCM'!$I$2:$I$698,0)))</f>
        <v>Dus Mochi Choco Crunchy</v>
      </c>
      <c r="B14" s="3" t="str">
        <f>IFERROR(INDEX('Data SO'!$D$2:$D$1085,MATCH($J14,'Data SO'!$H$2:$H$1085,0)),K14)</f>
        <v>pcs</v>
      </c>
      <c r="C14" s="9">
        <f>SUMIF('Data SO'!$H$2:$H$1085,$J14,'Data SO'!$F$2:$F$1085)</f>
        <v>4000</v>
      </c>
      <c r="D14" s="9">
        <f>SUMIF('Data SCM'!$I$2:$I$698,$J14,'Data SCM'!$E$2:$E$698)*L14</f>
        <v>0</v>
      </c>
      <c r="E14" s="9">
        <f t="shared" si="0"/>
        <v>-4000</v>
      </c>
      <c r="F14" s="4">
        <f>SUMIF('Data SO'!$H$2:$H$1085,$J14,'Data SO'!$G$2:$G$1085)</f>
        <v>5100000</v>
      </c>
      <c r="G14" s="4">
        <f>SUMIF('Data SCM'!$I$2:$I$698,$J14,'Data SCM'!$H$2:$H$698)</f>
        <v>0</v>
      </c>
      <c r="H14" s="4">
        <f t="shared" si="1"/>
        <v>-5100000</v>
      </c>
      <c r="I14" s="3" t="str">
        <f>IF(COUNTIF('Data SCM'!$I$2:$I$698,$J14)=0,"Hanya di SO",IF(COUNTIF('Data SO'!$H$2:$H$1085,$J14)=0,"Hanya di SCM",IF(AND(ABS(E14)&lt;0.01,ABS(H14)&lt;1),"Sama",IF(ABS(E14)&lt;0.01,"Selisih nominal",IF(ABS(H14)&lt;1,"Selisih qty","Selisih qty &amp; nominal")))))</f>
        <v>Selisih qty &amp; nominal</v>
      </c>
      <c r="J14" t="s">
        <v>38</v>
      </c>
      <c r="K14" t="str">
        <f>IFERROR(INDEX('Data SCM'!$D$2:$D$698,MATCH($J14,'Data SCM'!$I$2:$I$698,0)),"")</f>
        <v>PCS</v>
      </c>
      <c r="L14">
        <f t="shared" si="2"/>
        <v>1</v>
      </c>
      <c r="M14" t="s">
        <v>3415</v>
      </c>
    </row>
    <row r="15" spans="1:13" x14ac:dyDescent="0.25">
      <c r="A15" s="3" t="str">
        <f>IFERROR(INDEX('Data SO'!$C$2:$C$1085,MATCH($J15,'Data SO'!$H$2:$H$1085,0)),INDEX('Data SCM'!$B$2:$B$698,MATCH($J15,'Data SCM'!$I$2:$I$698,0)))</f>
        <v>Calsium @20Kg</v>
      </c>
      <c r="B15" s="3" t="str">
        <f>IFERROR(INDEX('Data SO'!$D$2:$D$1085,MATCH($J15,'Data SO'!$H$2:$H$1085,0)),K15)</f>
        <v>kg</v>
      </c>
      <c r="C15" s="9">
        <f>SUMIF('Data SO'!$H$2:$H$1085,$J15,'Data SO'!$F$2:$F$1085)</f>
        <v>20</v>
      </c>
      <c r="D15" s="9">
        <f>SUMIF('Data SCM'!$I$2:$I$698,$J15,'Data SCM'!$E$2:$E$698)*L15</f>
        <v>80</v>
      </c>
      <c r="E15" s="9">
        <f t="shared" si="0"/>
        <v>60</v>
      </c>
      <c r="F15" s="4">
        <f>SUMIF('Data SO'!$H$2:$H$1085,$J15,'Data SO'!$G$2:$G$1085)</f>
        <v>1650000</v>
      </c>
      <c r="G15" s="4">
        <f>SUMIF('Data SCM'!$I$2:$I$698,$J15,'Data SCM'!$H$2:$H$698)</f>
        <v>6600000</v>
      </c>
      <c r="H15" s="4">
        <f t="shared" si="1"/>
        <v>4950000</v>
      </c>
      <c r="I15" s="3" t="str">
        <f>IF(COUNTIF('Data SCM'!$I$2:$I$698,$J15)=0,"Hanya di SO",IF(COUNTIF('Data SO'!$H$2:$H$1085,$J15)=0,"Hanya di SCM",IF(AND(ABS(E15)&lt;0.01,ABS(H15)&lt;1),"Sama",IF(ABS(E15)&lt;0.01,"Selisih nominal",IF(ABS(H15)&lt;1,"Selisih qty","Selisih qty &amp; nominal")))))</f>
        <v>Selisih qty &amp; nominal</v>
      </c>
      <c r="J15" t="s">
        <v>39</v>
      </c>
      <c r="K15" t="str">
        <f>IFERROR(INDEX('Data SCM'!$D$2:$D$698,MATCH($J15,'Data SCM'!$I$2:$I$698,0)),"")</f>
        <v>KG</v>
      </c>
      <c r="L15">
        <f t="shared" si="2"/>
        <v>1</v>
      </c>
      <c r="M15" t="s">
        <v>3422</v>
      </c>
    </row>
    <row r="16" spans="1:13" x14ac:dyDescent="0.25">
      <c r="A16" s="3" t="str">
        <f>IFERROR(INDEX('Data SO'!$C$2:$C$1085,MATCH($J16,'Data SO'!$H$2:$H$1085,0)),INDEX('Data SCM'!$B$2:$B$698,MATCH($J16,'Data SCM'!$I$2:$I$698,0)))</f>
        <v>Gula Rafinasi @ 50kg</v>
      </c>
      <c r="B16" s="3" t="str">
        <f>IFERROR(INDEX('Data SO'!$D$2:$D$1085,MATCH($J16,'Data SO'!$H$2:$H$1085,0)),K16)</f>
        <v>kg</v>
      </c>
      <c r="C16" s="9">
        <f>SUMIF('Data SO'!$H$2:$H$1085,$J16,'Data SO'!$F$2:$F$1085)</f>
        <v>1105.5</v>
      </c>
      <c r="D16" s="9">
        <f>SUMIF('Data SCM'!$I$2:$I$698,$J16,'Data SCM'!$E$2:$E$698)*L16</f>
        <v>1100</v>
      </c>
      <c r="E16" s="9">
        <f t="shared" si="0"/>
        <v>-5.5</v>
      </c>
      <c r="F16" s="4">
        <f>SUMIF('Data SO'!$H$2:$H$1085,$J16,'Data SO'!$G$2:$G$1085)</f>
        <v>23925000</v>
      </c>
      <c r="G16" s="4">
        <f>SUMIF('Data SCM'!$I$2:$I$698,$J16,'Data SCM'!$H$2:$H$698)</f>
        <v>19140000</v>
      </c>
      <c r="H16" s="4">
        <f t="shared" si="1"/>
        <v>-4785000</v>
      </c>
      <c r="I16" s="3" t="str">
        <f>IF(COUNTIF('Data SCM'!$I$2:$I$698,$J16)=0,"Hanya di SO",IF(COUNTIF('Data SO'!$H$2:$H$1085,$J16)=0,"Hanya di SCM",IF(AND(ABS(E16)&lt;0.01,ABS(H16)&lt;1),"Sama",IF(ABS(E16)&lt;0.01,"Selisih nominal",IF(ABS(H16)&lt;1,"Selisih qty","Selisih qty &amp; nominal")))))</f>
        <v>Selisih qty &amp; nominal</v>
      </c>
      <c r="J16" t="s">
        <v>40</v>
      </c>
      <c r="K16" t="str">
        <f>IFERROR(INDEX('Data SCM'!$D$2:$D$698,MATCH($J16,'Data SCM'!$I$2:$I$698,0)),"")</f>
        <v>GR</v>
      </c>
      <c r="L16">
        <f t="shared" si="2"/>
        <v>1E-3</v>
      </c>
      <c r="M16" t="s">
        <v>3423</v>
      </c>
    </row>
    <row r="17" spans="1:13" x14ac:dyDescent="0.25">
      <c r="A17" s="3" t="str">
        <f>IFERROR(INDEX('Data SO'!$C$2:$C$1085,MATCH($J17,'Data SO'!$H$2:$H$1085,0)),INDEX('Data SCM'!$B$2:$B$698,MATCH($J17,'Data SCM'!$I$2:$I$698,0)))</f>
        <v>Dus Bolu Pisang Coklat Keju</v>
      </c>
      <c r="B17" s="3" t="str">
        <f>IFERROR(INDEX('Data SO'!$D$2:$D$1085,MATCH($J17,'Data SO'!$H$2:$H$1085,0)),K17)</f>
        <v>Pcs</v>
      </c>
      <c r="C17" s="9">
        <f>SUMIF('Data SO'!$H$2:$H$1085,$J17,'Data SO'!$F$2:$F$1085)</f>
        <v>1950</v>
      </c>
      <c r="D17" s="9">
        <f>SUMIF('Data SCM'!$I$2:$I$698,$J17,'Data SCM'!$E$2:$E$698)*L17</f>
        <v>0</v>
      </c>
      <c r="E17" s="9">
        <f t="shared" si="0"/>
        <v>-1950</v>
      </c>
      <c r="F17" s="4">
        <f>SUMIF('Data SO'!$H$2:$H$1085,$J17,'Data SO'!$G$2:$G$1085)</f>
        <v>4290000</v>
      </c>
      <c r="G17" s="4">
        <f>SUMIF('Data SCM'!$I$2:$I$698,$J17,'Data SCM'!$H$2:$H$698)</f>
        <v>0</v>
      </c>
      <c r="H17" s="4">
        <f t="shared" si="1"/>
        <v>-4290000</v>
      </c>
      <c r="I17" s="3" t="str">
        <f>IF(COUNTIF('Data SCM'!$I$2:$I$698,$J17)=0,"Hanya di SO",IF(COUNTIF('Data SO'!$H$2:$H$1085,$J17)=0,"Hanya di SCM",IF(AND(ABS(E17)&lt;0.01,ABS(H17)&lt;1),"Sama",IF(ABS(E17)&lt;0.01,"Selisih nominal",IF(ABS(H17)&lt;1,"Selisih qty","Selisih qty &amp; nominal")))))</f>
        <v>Selisih qty &amp; nominal</v>
      </c>
      <c r="J17" t="s">
        <v>41</v>
      </c>
      <c r="K17" t="str">
        <f>IFERROR(INDEX('Data SCM'!$D$2:$D$698,MATCH($J17,'Data SCM'!$I$2:$I$698,0)),"")</f>
        <v>PCS</v>
      </c>
      <c r="L17">
        <f t="shared" si="2"/>
        <v>1</v>
      </c>
      <c r="M17" t="s">
        <v>3424</v>
      </c>
    </row>
    <row r="18" spans="1:13" x14ac:dyDescent="0.25">
      <c r="A18" s="3" t="str">
        <f>IFERROR(INDEX('Data SO'!$C$2:$C$1085,MATCH($J18,'Data SO'!$H$2:$H$1085,0)),INDEX('Data SCM'!$B$2:$B$698,MATCH($J18,'Data SCM'!$I$2:$I$698,0)))</f>
        <v>Chessy Process Cream Cheese @1.9Kg</v>
      </c>
      <c r="B18" s="3" t="str">
        <f>IFERROR(INDEX('Data SO'!$D$2:$D$1085,MATCH($J18,'Data SO'!$H$2:$H$1085,0)),K18)</f>
        <v>Kg</v>
      </c>
      <c r="C18" s="9">
        <f>SUMIF('Data SO'!$H$2:$H$1085,$J18,'Data SO'!$F$2:$F$1085)</f>
        <v>93.1</v>
      </c>
      <c r="D18" s="9">
        <f>SUMIF('Data SCM'!$I$2:$I$698,$J18,'Data SCM'!$E$2:$E$698)*L18</f>
        <v>49</v>
      </c>
      <c r="E18" s="9">
        <f t="shared" si="0"/>
        <v>-44.099999999999994</v>
      </c>
      <c r="F18" s="4">
        <f>SUMIF('Data SO'!$H$2:$H$1085,$J18,'Data SO'!$G$2:$G$1085)</f>
        <v>8134000</v>
      </c>
      <c r="G18" s="4">
        <f>SUMIF('Data SCM'!$I$2:$I$698,$J18,'Data SCM'!$H$2:$H$698)</f>
        <v>4281052.6338999998</v>
      </c>
      <c r="H18" s="4">
        <f t="shared" si="1"/>
        <v>-3852947.3661000002</v>
      </c>
      <c r="I18" s="3" t="str">
        <f>IF(COUNTIF('Data SCM'!$I$2:$I$698,$J18)=0,"Hanya di SO",IF(COUNTIF('Data SO'!$H$2:$H$1085,$J18)=0,"Hanya di SCM",IF(AND(ABS(E18)&lt;0.01,ABS(H18)&lt;1),"Sama",IF(ABS(E18)&lt;0.01,"Selisih nominal",IF(ABS(H18)&lt;1,"Selisih qty","Selisih qty &amp; nominal")))))</f>
        <v>Selisih qty &amp; nominal</v>
      </c>
      <c r="J18" t="s">
        <v>42</v>
      </c>
      <c r="K18" t="str">
        <f>IFERROR(INDEX('Data SCM'!$D$2:$D$698,MATCH($J18,'Data SCM'!$I$2:$I$698,0)),"")</f>
        <v>KG</v>
      </c>
      <c r="L18">
        <f t="shared" si="2"/>
        <v>1</v>
      </c>
      <c r="M18" t="s">
        <v>3425</v>
      </c>
    </row>
    <row r="19" spans="1:13" x14ac:dyDescent="0.25">
      <c r="A19" s="3" t="str">
        <f>IFERROR(INDEX('Data SO'!$C$2:$C$1085,MATCH($J19,'Data SO'!$H$2:$H$1085,0)),INDEX('Data SCM'!$B$2:$B$698,MATCH($J19,'Data SCM'!$I$2:$I$698,0)))</f>
        <v>GULA PASIR KILOAN</v>
      </c>
      <c r="B19" s="3" t="str">
        <f>IFERROR(INDEX('Data SO'!$D$2:$D$1085,MATCH($J19,'Data SO'!$H$2:$H$1085,0)),K19)</f>
        <v>kg</v>
      </c>
      <c r="C19" s="9">
        <f>SUMIF('Data SO'!$H$2:$H$1085,$J19,'Data SO'!$F$2:$F$1085)</f>
        <v>0</v>
      </c>
      <c r="D19" s="9">
        <f>SUMIF('Data SCM'!$I$2:$I$698,$J19,'Data SCM'!$E$2:$E$698)*L19</f>
        <v>1100</v>
      </c>
      <c r="E19" s="9">
        <f t="shared" si="0"/>
        <v>1100</v>
      </c>
      <c r="F19" s="4">
        <f>SUMIF('Data SO'!$H$2:$H$1085,$J19,'Data SO'!$G$2:$G$1085)</f>
        <v>0</v>
      </c>
      <c r="G19" s="4">
        <f>SUMIF('Data SCM'!$I$2:$I$698,$J19,'Data SCM'!$H$2:$H$698)</f>
        <v>3844637.5</v>
      </c>
      <c r="H19" s="4">
        <f t="shared" si="1"/>
        <v>3844637.5</v>
      </c>
      <c r="I19" s="3" t="str">
        <f>IF(COUNTIF('Data SCM'!$I$2:$I$698,$J19)=0,"Hanya di SO",IF(COUNTIF('Data SO'!$H$2:$H$1085,$J19)=0,"Hanya di SCM",IF(AND(ABS(E19)&lt;0.01,ABS(H19)&lt;1),"Sama",IF(ABS(E19)&lt;0.01,"Selisih nominal",IF(ABS(H19)&lt;1,"Selisih qty","Selisih qty &amp; nominal")))))</f>
        <v>Selisih qty &amp; nominal</v>
      </c>
      <c r="J19" t="s">
        <v>43</v>
      </c>
      <c r="K19" t="str">
        <f>IFERROR(INDEX('Data SCM'!$D$2:$D$698,MATCH($J19,'Data SCM'!$I$2:$I$698,0)),"")</f>
        <v>KG</v>
      </c>
      <c r="L19">
        <f t="shared" si="2"/>
        <v>1</v>
      </c>
      <c r="M19" t="s">
        <v>3406</v>
      </c>
    </row>
    <row r="20" spans="1:13" x14ac:dyDescent="0.25">
      <c r="A20" s="3" t="str">
        <f>IFERROR(INDEX('Data SO'!$C$2:$C$1085,MATCH($J20,'Data SO'!$H$2:$H$1085,0)),INDEX('Data SCM'!$B$2:$B$698,MATCH($J20,'Data SCM'!$I$2:$I$698,0)))</f>
        <v>PATUNG SEPAKBOLA</v>
      </c>
      <c r="B20" s="3" t="str">
        <f>IFERROR(INDEX('Data SO'!$D$2:$D$1085,MATCH($J20,'Data SO'!$H$2:$H$1085,0)),K20)</f>
        <v>Pcs</v>
      </c>
      <c r="C20" s="9">
        <f>SUMIF('Data SO'!$H$2:$H$1085,$J20,'Data SO'!$F$2:$F$1085)</f>
        <v>290</v>
      </c>
      <c r="D20" s="9">
        <f>SUMIF('Data SCM'!$I$2:$I$698,$J20,'Data SCM'!$E$2:$E$698)*L20</f>
        <v>0</v>
      </c>
      <c r="E20" s="9">
        <f t="shared" si="0"/>
        <v>-290</v>
      </c>
      <c r="F20" s="4">
        <f>SUMIF('Data SO'!$H$2:$H$1085,$J20,'Data SO'!$G$2:$G$1085)</f>
        <v>3625000</v>
      </c>
      <c r="G20" s="4">
        <f>SUMIF('Data SCM'!$I$2:$I$698,$J20,'Data SCM'!$H$2:$H$698)</f>
        <v>0</v>
      </c>
      <c r="H20" s="4">
        <f t="shared" si="1"/>
        <v>-3625000</v>
      </c>
      <c r="I20" s="3" t="str">
        <f>IF(COUNTIF('Data SCM'!$I$2:$I$698,$J20)=0,"Hanya di SO",IF(COUNTIF('Data SO'!$H$2:$H$1085,$J20)=0,"Hanya di SCM",IF(AND(ABS(E20)&lt;0.01,ABS(H20)&lt;1),"Sama",IF(ABS(E20)&lt;0.01,"Selisih nominal",IF(ABS(H20)&lt;1,"Selisih qty","Selisih qty &amp; nominal")))))</f>
        <v>Hanya di SO</v>
      </c>
      <c r="J20" t="s">
        <v>44</v>
      </c>
      <c r="K20" t="str">
        <f>IFERROR(INDEX('Data SCM'!$D$2:$D$698,MATCH($J20,'Data SCM'!$I$2:$I$698,0)),"")</f>
        <v/>
      </c>
      <c r="L20">
        <f t="shared" si="2"/>
        <v>1</v>
      </c>
      <c r="M20" t="s">
        <v>3432</v>
      </c>
    </row>
    <row r="21" spans="1:13" x14ac:dyDescent="0.25">
      <c r="A21" s="3" t="str">
        <f>IFERROR(INDEX('Data SO'!$C$2:$C$1085,MATCH($J21,'Data SO'!$H$2:$H$1085,0)),INDEX('Data SCM'!$B$2:$B$698,MATCH($J21,'Data SCM'!$I$2:$I$698,0)))</f>
        <v>Paper Case - 3029 (G1) Bulat</v>
      </c>
      <c r="B21" s="3" t="str">
        <f>IFERROR(INDEX('Data SO'!$D$2:$D$1085,MATCH($J21,'Data SO'!$H$2:$H$1085,0)),K21)</f>
        <v>pcs</v>
      </c>
      <c r="C21" s="9">
        <f>SUMIF('Data SO'!$H$2:$H$1085,$J21,'Data SO'!$F$2:$F$1085)</f>
        <v>2200</v>
      </c>
      <c r="D21" s="9">
        <f>SUMIF('Data SCM'!$I$2:$I$698,$J21,'Data SCM'!$E$2:$E$698)*L21</f>
        <v>14000</v>
      </c>
      <c r="E21" s="9">
        <f t="shared" si="0"/>
        <v>11800</v>
      </c>
      <c r="F21" s="4">
        <f>SUMIF('Data SO'!$H$2:$H$1085,$J21,'Data SO'!$G$2:$G$1085)</f>
        <v>649000</v>
      </c>
      <c r="G21" s="4">
        <f>SUMIF('Data SCM'!$I$2:$I$698,$J21,'Data SCM'!$H$2:$H$698)</f>
        <v>4130000</v>
      </c>
      <c r="H21" s="4">
        <f t="shared" si="1"/>
        <v>3481000</v>
      </c>
      <c r="I21" s="3" t="str">
        <f>IF(COUNTIF('Data SCM'!$I$2:$I$698,$J21)=0,"Hanya di SO",IF(COUNTIF('Data SO'!$H$2:$H$1085,$J21)=0,"Hanya di SCM",IF(AND(ABS(E21)&lt;0.01,ABS(H21)&lt;1),"Sama",IF(ABS(E21)&lt;0.01,"Selisih nominal",IF(ABS(H21)&lt;1,"Selisih qty","Selisih qty &amp; nominal")))))</f>
        <v>Selisih qty &amp; nominal</v>
      </c>
      <c r="J21" t="s">
        <v>45</v>
      </c>
      <c r="K21" t="str">
        <f>IFERROR(INDEX('Data SCM'!$D$2:$D$698,MATCH($J21,'Data SCM'!$I$2:$I$698,0)),"")</f>
        <v>PCS</v>
      </c>
      <c r="L21">
        <f t="shared" si="2"/>
        <v>1</v>
      </c>
      <c r="M21" t="s">
        <v>3426</v>
      </c>
    </row>
    <row r="22" spans="1:13" x14ac:dyDescent="0.25">
      <c r="A22" s="3" t="str">
        <f>IFERROR(INDEX('Data SO'!$C$2:$C$1085,MATCH($J22,'Data SO'!$H$2:$H$1085,0)),INDEX('Data SCM'!$B$2:$B$698,MATCH($J22,'Data SCM'!$I$2:$I$698,0)))</f>
        <v>Terigu Tali Mas @25kg</v>
      </c>
      <c r="B22" s="3" t="str">
        <f>IFERROR(INDEX('Data SO'!$D$2:$D$1085,MATCH($J22,'Data SO'!$H$2:$H$1085,0)),K22)</f>
        <v>kg</v>
      </c>
      <c r="C22" s="9">
        <f>SUMIF('Data SO'!$H$2:$H$1085,$J22,'Data SO'!$F$2:$F$1085)</f>
        <v>815</v>
      </c>
      <c r="D22" s="9">
        <f>SUMIF('Data SCM'!$I$2:$I$698,$J22,'Data SCM'!$E$2:$E$698)*L22</f>
        <v>800</v>
      </c>
      <c r="E22" s="9">
        <f t="shared" si="0"/>
        <v>-15</v>
      </c>
      <c r="F22" s="4">
        <f>SUMIF('Data SO'!$H$2:$H$1085,$J22,'Data SO'!$G$2:$G$1085)</f>
        <v>10626000</v>
      </c>
      <c r="G22" s="4">
        <f>SUMIF('Data SCM'!$I$2:$I$698,$J22,'Data SCM'!$H$2:$H$698)</f>
        <v>7296000</v>
      </c>
      <c r="H22" s="4">
        <f t="shared" si="1"/>
        <v>-3330000</v>
      </c>
      <c r="I22" s="3" t="str">
        <f>IF(COUNTIF('Data SCM'!$I$2:$I$698,$J22)=0,"Hanya di SO",IF(COUNTIF('Data SO'!$H$2:$H$1085,$J22)=0,"Hanya di SCM",IF(AND(ABS(E22)&lt;0.01,ABS(H22)&lt;1),"Sama",IF(ABS(E22)&lt;0.01,"Selisih nominal",IF(ABS(H22)&lt;1,"Selisih qty","Selisih qty &amp; nominal")))))</f>
        <v>Selisih qty &amp; nominal</v>
      </c>
      <c r="J22" t="s">
        <v>46</v>
      </c>
      <c r="K22" t="str">
        <f>IFERROR(INDEX('Data SCM'!$D$2:$D$698,MATCH($J22,'Data SCM'!$I$2:$I$698,0)),"")</f>
        <v>KG</v>
      </c>
      <c r="L22">
        <f t="shared" si="2"/>
        <v>1</v>
      </c>
      <c r="M22" t="s">
        <v>3427</v>
      </c>
    </row>
    <row r="23" spans="1:13" x14ac:dyDescent="0.25">
      <c r="A23" s="3" t="str">
        <f>IFERROR(INDEX('Data SO'!$C$2:$C$1085,MATCH($J23,'Data SO'!$H$2:$H$1085,0)),INDEX('Data SCM'!$B$2:$B$698,MATCH($J23,'Data SCM'!$I$2:$I$698,0)))</f>
        <v>Lilin Spiral Pendek Gold @1x50 Pack</v>
      </c>
      <c r="B23" s="3" t="str">
        <f>IFERROR(INDEX('Data SO'!$D$2:$D$1085,MATCH($J23,'Data SO'!$H$2:$H$1085,0)),K23)</f>
        <v>Pcs</v>
      </c>
      <c r="C23" s="9">
        <f>SUMIF('Data SO'!$H$2:$H$1085,$J23,'Data SO'!$F$2:$F$1085)</f>
        <v>5500</v>
      </c>
      <c r="D23" s="9">
        <f>SUMIF('Data SCM'!$I$2:$I$698,$J23,'Data SCM'!$E$2:$E$698)*L23</f>
        <v>550</v>
      </c>
      <c r="E23" s="9">
        <f t="shared" si="0"/>
        <v>-4950</v>
      </c>
      <c r="F23" s="4">
        <f>SUMIF('Data SO'!$H$2:$H$1085,$J23,'Data SO'!$G$2:$G$1085)</f>
        <v>3300000</v>
      </c>
      <c r="G23" s="4">
        <f>SUMIF('Data SCM'!$I$2:$I$698,$J23,'Data SCM'!$H$2:$H$698)</f>
        <v>330000</v>
      </c>
      <c r="H23" s="4">
        <f t="shared" si="1"/>
        <v>-2970000</v>
      </c>
      <c r="I23" s="3" t="str">
        <f>IF(COUNTIF('Data SCM'!$I$2:$I$698,$J23)=0,"Hanya di SO",IF(COUNTIF('Data SO'!$H$2:$H$1085,$J23)=0,"Hanya di SCM",IF(AND(ABS(E23)&lt;0.01,ABS(H23)&lt;1),"Sama",IF(ABS(E23)&lt;0.01,"Selisih nominal",IF(ABS(H23)&lt;1,"Selisih qty","Selisih qty &amp; nominal")))))</f>
        <v>Selisih qty &amp; nominal</v>
      </c>
      <c r="J23" t="s">
        <v>47</v>
      </c>
      <c r="K23" t="str">
        <f>IFERROR(INDEX('Data SCM'!$D$2:$D$698,MATCH($J23,'Data SCM'!$I$2:$I$698,0)),"")</f>
        <v>PCS</v>
      </c>
      <c r="L23">
        <f t="shared" si="2"/>
        <v>1</v>
      </c>
      <c r="M23" t="s">
        <v>3443</v>
      </c>
    </row>
    <row r="24" spans="1:13" x14ac:dyDescent="0.25">
      <c r="A24" s="3" t="str">
        <f>IFERROR(INDEX('Data SO'!$C$2:$C$1085,MATCH($J24,'Data SO'!$H$2:$H$1085,0)),INDEX('Data SCM'!$B$2:$B$698,MATCH($J24,'Data SCM'!$I$2:$I$698,0)))</f>
        <v>Dus Donat - Vol.6</v>
      </c>
      <c r="B24" s="3" t="str">
        <f>IFERROR(INDEX('Data SO'!$D$2:$D$1085,MATCH($J24,'Data SO'!$H$2:$H$1085,0)),K24)</f>
        <v>Pcs</v>
      </c>
      <c r="C24" s="9">
        <f>SUMIF('Data SO'!$H$2:$H$1085,$J24,'Data SO'!$F$2:$F$1085)</f>
        <v>0</v>
      </c>
      <c r="D24" s="9">
        <f>SUMIF('Data SCM'!$I$2:$I$698,$J24,'Data SCM'!$E$2:$E$698)*L24</f>
        <v>1000</v>
      </c>
      <c r="E24" s="9">
        <f t="shared" si="0"/>
        <v>1000</v>
      </c>
      <c r="F24" s="4">
        <f>SUMIF('Data SO'!$H$2:$H$1085,$J24,'Data SO'!$G$2:$G$1085)</f>
        <v>0</v>
      </c>
      <c r="G24" s="4">
        <f>SUMIF('Data SCM'!$I$2:$I$698,$J24,'Data SCM'!$H$2:$H$698)</f>
        <v>2850000</v>
      </c>
      <c r="H24" s="4">
        <f t="shared" si="1"/>
        <v>2850000</v>
      </c>
      <c r="I24" s="3" t="str">
        <f>IF(COUNTIF('Data SCM'!$I$2:$I$698,$J24)=0,"Hanya di SO",IF(COUNTIF('Data SO'!$H$2:$H$1085,$J24)=0,"Hanya di SCM",IF(AND(ABS(E24)&lt;0.01,ABS(H24)&lt;1),"Sama",IF(ABS(E24)&lt;0.01,"Selisih nominal",IF(ABS(H24)&lt;1,"Selisih qty","Selisih qty &amp; nominal")))))</f>
        <v>Selisih qty &amp; nominal</v>
      </c>
      <c r="J24" t="s">
        <v>48</v>
      </c>
      <c r="K24" t="str">
        <f>IFERROR(INDEX('Data SCM'!$D$2:$D$698,MATCH($J24,'Data SCM'!$I$2:$I$698,0)),"")</f>
        <v>PCS</v>
      </c>
      <c r="L24">
        <f t="shared" si="2"/>
        <v>1</v>
      </c>
      <c r="M24" t="s">
        <v>3406</v>
      </c>
    </row>
    <row r="25" spans="1:13" x14ac:dyDescent="0.25">
      <c r="A25" s="3" t="str">
        <f>IFERROR(INDEX('Data SO'!$C$2:$C$1085,MATCH($J25,'Data SO'!$H$2:$H$1085,0)),INDEX('Data SCM'!$B$2:$B$698,MATCH($J25,'Data SCM'!$I$2:$I$698,0)))</f>
        <v>Cover Dessert Mango</v>
      </c>
      <c r="B25" s="3" t="str">
        <f>IFERROR(INDEX('Data SO'!$D$2:$D$1085,MATCH($J25,'Data SO'!$H$2:$H$1085,0)),K25)</f>
        <v>Pcs</v>
      </c>
      <c r="C25" s="9">
        <f>SUMIF('Data SO'!$H$2:$H$1085,$J25,'Data SO'!$F$2:$F$1085)</f>
        <v>1698</v>
      </c>
      <c r="D25" s="9">
        <f>SUMIF('Data SCM'!$I$2:$I$698,$J25,'Data SCM'!$E$2:$E$698)*L25</f>
        <v>0</v>
      </c>
      <c r="E25" s="9">
        <f t="shared" si="0"/>
        <v>-1698</v>
      </c>
      <c r="F25" s="4">
        <f>SUMIF('Data SO'!$H$2:$H$1085,$J25,'Data SO'!$G$2:$G$1085)</f>
        <v>2462100</v>
      </c>
      <c r="G25" s="4">
        <f>SUMIF('Data SCM'!$I$2:$I$698,$J25,'Data SCM'!$H$2:$H$698)</f>
        <v>0</v>
      </c>
      <c r="H25" s="4">
        <f t="shared" si="1"/>
        <v>-2462100</v>
      </c>
      <c r="I25" s="3" t="str">
        <f>IF(COUNTIF('Data SCM'!$I$2:$I$698,$J25)=0,"Hanya di SO",IF(COUNTIF('Data SO'!$H$2:$H$1085,$J25)=0,"Hanya di SCM",IF(AND(ABS(E25)&lt;0.01,ABS(H25)&lt;1),"Sama",IF(ABS(E25)&lt;0.01,"Selisih nominal",IF(ABS(H25)&lt;1,"Selisih qty","Selisih qty &amp; nominal")))))</f>
        <v>Selisih qty &amp; nominal</v>
      </c>
      <c r="J25" t="s">
        <v>49</v>
      </c>
      <c r="K25" t="str">
        <f>IFERROR(INDEX('Data SCM'!$D$2:$D$698,MATCH($J25,'Data SCM'!$I$2:$I$698,0)),"")</f>
        <v>PCS</v>
      </c>
      <c r="L25">
        <f t="shared" si="2"/>
        <v>1</v>
      </c>
      <c r="M25" t="s">
        <v>3429</v>
      </c>
    </row>
    <row r="26" spans="1:13" x14ac:dyDescent="0.25">
      <c r="A26" s="3" t="str">
        <f>IFERROR(INDEX('Data SO'!$C$2:$C$1085,MATCH($J26,'Data SO'!$H$2:$H$1085,0)),INDEX('Data SCM'!$B$2:$B$698,MATCH($J26,'Data SCM'!$I$2:$I$698,0)))</f>
        <v>NUCOMAL TINE CRUNCHY @5KG</v>
      </c>
      <c r="B26" s="3" t="str">
        <f>IFERROR(INDEX('Data SO'!$D$2:$D$1085,MATCH($J26,'Data SO'!$H$2:$H$1085,0)),K26)</f>
        <v>kg</v>
      </c>
      <c r="C26" s="9">
        <f>SUMIF('Data SO'!$H$2:$H$1085,$J26,'Data SO'!$F$2:$F$1085)</f>
        <v>0</v>
      </c>
      <c r="D26" s="9">
        <f>SUMIF('Data SCM'!$I$2:$I$698,$J26,'Data SCM'!$E$2:$E$698)*L26</f>
        <v>30</v>
      </c>
      <c r="E26" s="9">
        <f t="shared" si="0"/>
        <v>30</v>
      </c>
      <c r="F26" s="4">
        <f>SUMIF('Data SO'!$H$2:$H$1085,$J26,'Data SO'!$G$2:$G$1085)</f>
        <v>0</v>
      </c>
      <c r="G26" s="4">
        <f>SUMIF('Data SCM'!$I$2:$I$698,$J26,'Data SCM'!$H$2:$H$698)</f>
        <v>2422800</v>
      </c>
      <c r="H26" s="4">
        <f t="shared" si="1"/>
        <v>2422800</v>
      </c>
      <c r="I26" s="3" t="str">
        <f>IF(COUNTIF('Data SCM'!$I$2:$I$698,$J26)=0,"Hanya di SO",IF(COUNTIF('Data SO'!$H$2:$H$1085,$J26)=0,"Hanya di SCM",IF(AND(ABS(E26)&lt;0.01,ABS(H26)&lt;1),"Sama",IF(ABS(E26)&lt;0.01,"Selisih nominal",IF(ABS(H26)&lt;1,"Selisih qty","Selisih qty &amp; nominal")))))</f>
        <v>Selisih qty &amp; nominal</v>
      </c>
      <c r="J26" t="s">
        <v>50</v>
      </c>
      <c r="K26" t="str">
        <f>IFERROR(INDEX('Data SCM'!$D$2:$D$698,MATCH($J26,'Data SCM'!$I$2:$I$698,0)),"")</f>
        <v>KG</v>
      </c>
      <c r="L26">
        <f t="shared" si="2"/>
        <v>1</v>
      </c>
      <c r="M26" t="s">
        <v>3428</v>
      </c>
    </row>
    <row r="27" spans="1:13" x14ac:dyDescent="0.25">
      <c r="A27" s="3" t="str">
        <f>IFERROR(INDEX('Data SO'!$C$2:$C$1085,MATCH($J27,'Data SO'!$H$2:$H$1085,0)),INDEX('Data SCM'!$B$2:$B$698,MATCH($J27,'Data SCM'!$I$2:$I$698,0)))</f>
        <v>Patung Hellokity Besar</v>
      </c>
      <c r="B27" s="3" t="str">
        <f>IFERROR(INDEX('Data SO'!$D$2:$D$1085,MATCH($J27,'Data SO'!$H$2:$H$1085,0)),K27)</f>
        <v>Pcs</v>
      </c>
      <c r="C27" s="9">
        <f>SUMIF('Data SO'!$H$2:$H$1085,$J27,'Data SO'!$F$2:$F$1085)</f>
        <v>4872</v>
      </c>
      <c r="D27" s="9">
        <f>SUMIF('Data SCM'!$I$2:$I$698,$J27,'Data SCM'!$E$2:$E$698)*L27</f>
        <v>0</v>
      </c>
      <c r="E27" s="9">
        <f t="shared" si="0"/>
        <v>-4872</v>
      </c>
      <c r="F27" s="4">
        <f>SUMIF('Data SO'!$H$2:$H$1085,$J27,'Data SO'!$G$2:$G$1085)</f>
        <v>2334500</v>
      </c>
      <c r="G27" s="4">
        <f>SUMIF('Data SCM'!$I$2:$I$698,$J27,'Data SCM'!$H$2:$H$698)</f>
        <v>0</v>
      </c>
      <c r="H27" s="4">
        <f t="shared" si="1"/>
        <v>-2334500</v>
      </c>
      <c r="I27" s="3" t="str">
        <f>IF(COUNTIF('Data SCM'!$I$2:$I$698,$J27)=0,"Hanya di SO",IF(COUNTIF('Data SO'!$H$2:$H$1085,$J27)=0,"Hanya di SCM",IF(AND(ABS(E27)&lt;0.01,ABS(H27)&lt;1),"Sama",IF(ABS(E27)&lt;0.01,"Selisih nominal",IF(ABS(H27)&lt;1,"Selisih qty","Selisih qty &amp; nominal")))))</f>
        <v>Selisih qty &amp; nominal</v>
      </c>
      <c r="J27" t="s">
        <v>51</v>
      </c>
      <c r="K27" t="str">
        <f>IFERROR(INDEX('Data SCM'!$D$2:$D$698,MATCH($J27,'Data SCM'!$I$2:$I$698,0)),"")</f>
        <v>PCS</v>
      </c>
      <c r="L27">
        <f t="shared" si="2"/>
        <v>1</v>
      </c>
      <c r="M27" t="s">
        <v>3430</v>
      </c>
    </row>
    <row r="28" spans="1:13" x14ac:dyDescent="0.25">
      <c r="A28" s="3" t="str">
        <f>IFERROR(INDEX('Data SO'!$C$2:$C$1085,MATCH($J28,'Data SO'!$H$2:$H$1085,0)),INDEX('Data SCM'!$B$2:$B$698,MATCH($J28,'Data SCM'!$I$2:$I$698,0)))</f>
        <v>PATUNG NARUTO</v>
      </c>
      <c r="B28" s="3" t="str">
        <f>IFERROR(INDEX('Data SO'!$D$2:$D$1085,MATCH($J28,'Data SO'!$H$2:$H$1085,0)),K28)</f>
        <v>Pcs</v>
      </c>
      <c r="C28" s="9">
        <f>SUMIF('Data SO'!$H$2:$H$1085,$J28,'Data SO'!$F$2:$F$1085)</f>
        <v>197</v>
      </c>
      <c r="D28" s="9">
        <f>SUMIF('Data SCM'!$I$2:$I$698,$J28,'Data SCM'!$E$2:$E$698)*L28</f>
        <v>0</v>
      </c>
      <c r="E28" s="9">
        <f t="shared" si="0"/>
        <v>-197</v>
      </c>
      <c r="F28" s="4">
        <f>SUMIF('Data SO'!$H$2:$H$1085,$J28,'Data SO'!$G$2:$G$1085)</f>
        <v>2265500</v>
      </c>
      <c r="G28" s="4">
        <f>SUMIF('Data SCM'!$I$2:$I$698,$J28,'Data SCM'!$H$2:$H$698)</f>
        <v>0</v>
      </c>
      <c r="H28" s="4">
        <f t="shared" si="1"/>
        <v>-2265500</v>
      </c>
      <c r="I28" s="3" t="str">
        <f>IF(COUNTIF('Data SCM'!$I$2:$I$698,$J28)=0,"Hanya di SO",IF(COUNTIF('Data SO'!$H$2:$H$1085,$J28)=0,"Hanya di SCM",IF(AND(ABS(E28)&lt;0.01,ABS(H28)&lt;1),"Sama",IF(ABS(E28)&lt;0.01,"Selisih nominal",IF(ABS(H28)&lt;1,"Selisih qty","Selisih qty &amp; nominal")))))</f>
        <v>Hanya di SO</v>
      </c>
      <c r="J28" t="s">
        <v>52</v>
      </c>
      <c r="K28" t="str">
        <f>IFERROR(INDEX('Data SCM'!$D$2:$D$698,MATCH($J28,'Data SCM'!$I$2:$I$698,0)),"")</f>
        <v/>
      </c>
      <c r="L28">
        <f t="shared" si="2"/>
        <v>1</v>
      </c>
      <c r="M28" t="s">
        <v>3431</v>
      </c>
    </row>
    <row r="29" spans="1:13" x14ac:dyDescent="0.25">
      <c r="A29" s="3" t="str">
        <f>IFERROR(INDEX('Data SO'!$C$2:$C$1085,MATCH($J29,'Data SO'!$H$2:$H$1085,0)),INDEX('Data SCM'!$B$2:$B$698,MATCH($J29,'Data SCM'!$I$2:$I$698,0)))</f>
        <v>STICKER DUBAI CHEWY COOKIES</v>
      </c>
      <c r="B29" s="3" t="str">
        <f>IFERROR(INDEX('Data SO'!$D$2:$D$1085,MATCH($J29,'Data SO'!$H$2:$H$1085,0)),K29)</f>
        <v>Pcs</v>
      </c>
      <c r="C29" s="9">
        <f>SUMIF('Data SO'!$H$2:$H$1085,$J29,'Data SO'!$F$2:$F$1085)</f>
        <v>5800</v>
      </c>
      <c r="D29" s="9">
        <f>SUMIF('Data SCM'!$I$2:$I$698,$J29,'Data SCM'!$E$2:$E$698)*L29</f>
        <v>0</v>
      </c>
      <c r="E29" s="9">
        <f t="shared" si="0"/>
        <v>-5800</v>
      </c>
      <c r="F29" s="4">
        <f>SUMIF('Data SO'!$H$2:$H$1085,$J29,'Data SO'!$G$2:$G$1085)</f>
        <v>2099600</v>
      </c>
      <c r="G29" s="4">
        <f>SUMIF('Data SCM'!$I$2:$I$698,$J29,'Data SCM'!$H$2:$H$698)</f>
        <v>0</v>
      </c>
      <c r="H29" s="4">
        <f t="shared" si="1"/>
        <v>-2099600</v>
      </c>
      <c r="I29" s="3" t="str">
        <f>IF(COUNTIF('Data SCM'!$I$2:$I$698,$J29)=0,"Hanya di SO",IF(COUNTIF('Data SO'!$H$2:$H$1085,$J29)=0,"Hanya di SCM",IF(AND(ABS(E29)&lt;0.01,ABS(H29)&lt;1),"Sama",IF(ABS(E29)&lt;0.01,"Selisih nominal",IF(ABS(H29)&lt;1,"Selisih qty","Selisih qty &amp; nominal")))))</f>
        <v>Selisih qty &amp; nominal</v>
      </c>
      <c r="J29" t="s">
        <v>53</v>
      </c>
      <c r="K29" t="str">
        <f>IFERROR(INDEX('Data SCM'!$D$2:$D$698,MATCH($J29,'Data SCM'!$I$2:$I$698,0)),"")</f>
        <v>PCS</v>
      </c>
      <c r="L29">
        <f t="shared" si="2"/>
        <v>1</v>
      </c>
      <c r="M29" t="s">
        <v>3434</v>
      </c>
    </row>
    <row r="30" spans="1:13" x14ac:dyDescent="0.25">
      <c r="A30" s="3" t="str">
        <f>IFERROR(INDEX('Data SO'!$C$2:$C$1085,MATCH($J30,'Data SO'!$H$2:$H$1085,0)),INDEX('Data SCM'!$B$2:$B$698,MATCH($J30,'Data SCM'!$I$2:$I$698,0)))</f>
        <v>SOSIS AYAM @1 KG</v>
      </c>
      <c r="B30" s="3" t="str">
        <f>IFERROR(INDEX('Data SO'!$D$2:$D$1085,MATCH($J30,'Data SO'!$H$2:$H$1085,0)),K30)</f>
        <v>gram</v>
      </c>
      <c r="C30" s="9">
        <f>SUMIF('Data SO'!$H$2:$H$1085,$J30,'Data SO'!$F$2:$F$1085)</f>
        <v>78900</v>
      </c>
      <c r="D30" s="9">
        <f>SUMIF('Data SCM'!$I$2:$I$698,$J30,'Data SCM'!$E$2:$E$698)*L30</f>
        <v>1000</v>
      </c>
      <c r="E30" s="9">
        <f t="shared" si="0"/>
        <v>-77900</v>
      </c>
      <c r="F30" s="4">
        <f>SUMIF('Data SO'!$H$2:$H$1085,$J30,'Data SO'!$G$2:$G$1085)</f>
        <v>2068442.4</v>
      </c>
      <c r="G30" s="4">
        <f>SUMIF('Data SCM'!$I$2:$I$698,$J30,'Data SCM'!$H$2:$H$698)</f>
        <v>26216</v>
      </c>
      <c r="H30" s="4">
        <f t="shared" si="1"/>
        <v>-2042226.4</v>
      </c>
      <c r="I30" s="3" t="str">
        <f>IF(COUNTIF('Data SCM'!$I$2:$I$698,$J30)=0,"Hanya di SO",IF(COUNTIF('Data SO'!$H$2:$H$1085,$J30)=0,"Hanya di SCM",IF(AND(ABS(E30)&lt;0.01,ABS(H30)&lt;1),"Sama",IF(ABS(E30)&lt;0.01,"Selisih nominal",IF(ABS(H30)&lt;1,"Selisih qty","Selisih qty &amp; nominal")))))</f>
        <v>Selisih qty &amp; nominal</v>
      </c>
      <c r="J30" t="s">
        <v>54</v>
      </c>
      <c r="K30" t="str">
        <f>IFERROR(INDEX('Data SCM'!$D$2:$D$698,MATCH($J30,'Data SCM'!$I$2:$I$698,0)),"")</f>
        <v>GR</v>
      </c>
      <c r="L30">
        <f t="shared" si="2"/>
        <v>1</v>
      </c>
      <c r="M30" t="s">
        <v>3435</v>
      </c>
    </row>
    <row r="31" spans="1:13" x14ac:dyDescent="0.25">
      <c r="A31" s="3" t="str">
        <f>IFERROR(INDEX('Data SO'!$C$2:$C$1085,MATCH($J31,'Data SO'!$H$2:$H$1085,0)),INDEX('Data SCM'!$B$2:$B$698,MATCH($J31,'Data SCM'!$I$2:$I$698,0)))</f>
        <v>Dus Mochi Greentea Spesial</v>
      </c>
      <c r="B31" s="3" t="str">
        <f>IFERROR(INDEX('Data SO'!$D$2:$D$1085,MATCH($J31,'Data SO'!$H$2:$H$1085,0)),K31)</f>
        <v>Pcs</v>
      </c>
      <c r="C31" s="9">
        <f>SUMIF('Data SO'!$H$2:$H$1085,$J31,'Data SO'!$F$2:$F$1085)</f>
        <v>1400</v>
      </c>
      <c r="D31" s="9">
        <f>SUMIF('Data SCM'!$I$2:$I$698,$J31,'Data SCM'!$E$2:$E$698)*L31</f>
        <v>0</v>
      </c>
      <c r="E31" s="9">
        <f t="shared" si="0"/>
        <v>-1400</v>
      </c>
      <c r="F31" s="4">
        <f>SUMIF('Data SO'!$H$2:$H$1085,$J31,'Data SO'!$G$2:$G$1085)</f>
        <v>1715000</v>
      </c>
      <c r="G31" s="4">
        <f>SUMIF('Data SCM'!$I$2:$I$698,$J31,'Data SCM'!$H$2:$H$698)</f>
        <v>0</v>
      </c>
      <c r="H31" s="4">
        <f t="shared" si="1"/>
        <v>-1715000</v>
      </c>
      <c r="I31" s="3" t="str">
        <f>IF(COUNTIF('Data SCM'!$I$2:$I$698,$J31)=0,"Hanya di SO",IF(COUNTIF('Data SO'!$H$2:$H$1085,$J31)=0,"Hanya di SCM",IF(AND(ABS(E31)&lt;0.01,ABS(H31)&lt;1),"Sama",IF(ABS(E31)&lt;0.01,"Selisih nominal",IF(ABS(H31)&lt;1,"Selisih qty","Selisih qty &amp; nominal")))))</f>
        <v>Selisih qty &amp; nominal</v>
      </c>
      <c r="J31" t="s">
        <v>55</v>
      </c>
      <c r="K31" t="str">
        <f>IFERROR(INDEX('Data SCM'!$D$2:$D$698,MATCH($J31,'Data SCM'!$I$2:$I$698,0)),"")</f>
        <v>PCS</v>
      </c>
      <c r="L31">
        <f t="shared" si="2"/>
        <v>1</v>
      </c>
      <c r="M31" t="s">
        <v>3436</v>
      </c>
    </row>
    <row r="32" spans="1:13" x14ac:dyDescent="0.25">
      <c r="A32" s="3" t="str">
        <f>IFERROR(INDEX('Data SO'!$C$2:$C$1085,MATCH($J32,'Data SO'!$H$2:$H$1085,0)),INDEX('Data SCM'!$B$2:$B$698,MATCH($J32,'Data SCM'!$I$2:$I$698,0)))</f>
        <v>Terigu segitiga biru 25kg</v>
      </c>
      <c r="B32" s="3" t="str">
        <f>IFERROR(INDEX('Data SO'!$D$2:$D$1085,MATCH($J32,'Data SO'!$H$2:$H$1085,0)),K32)</f>
        <v>kg</v>
      </c>
      <c r="C32" s="9">
        <f>SUMIF('Data SO'!$H$2:$H$1085,$J32,'Data SO'!$F$2:$F$1085)</f>
        <v>8</v>
      </c>
      <c r="D32" s="9">
        <f>SUMIF('Data SCM'!$I$2:$I$698,$J32,'Data SCM'!$E$2:$E$698)*L32</f>
        <v>0</v>
      </c>
      <c r="E32" s="9">
        <f t="shared" si="0"/>
        <v>-8</v>
      </c>
      <c r="F32" s="4">
        <f>SUMIF('Data SO'!$H$2:$H$1085,$J32,'Data SO'!$G$2:$G$1085)</f>
        <v>1704000</v>
      </c>
      <c r="G32" s="4">
        <f>SUMIF('Data SCM'!$I$2:$I$698,$J32,'Data SCM'!$H$2:$H$698)</f>
        <v>0</v>
      </c>
      <c r="H32" s="4">
        <f t="shared" si="1"/>
        <v>-1704000</v>
      </c>
      <c r="I32" s="3" t="str">
        <f>IF(COUNTIF('Data SCM'!$I$2:$I$698,$J32)=0,"Hanya di SO",IF(COUNTIF('Data SO'!$H$2:$H$1085,$J32)=0,"Hanya di SCM",IF(AND(ABS(E32)&lt;0.01,ABS(H32)&lt;1),"Sama",IF(ABS(E32)&lt;0.01,"Selisih nominal",IF(ABS(H32)&lt;1,"Selisih qty","Selisih qty &amp; nominal")))))</f>
        <v>Selisih qty &amp; nominal</v>
      </c>
      <c r="J32" t="s">
        <v>56</v>
      </c>
      <c r="K32" t="str">
        <f>IFERROR(INDEX('Data SCM'!$D$2:$D$698,MATCH($J32,'Data SCM'!$I$2:$I$698,0)),"")</f>
        <v>KG</v>
      </c>
      <c r="L32">
        <f t="shared" si="2"/>
        <v>1</v>
      </c>
      <c r="M32" t="s">
        <v>3437</v>
      </c>
    </row>
    <row r="33" spans="1:13" x14ac:dyDescent="0.25">
      <c r="A33" s="3" t="str">
        <f>IFERROR(INDEX('Data SO'!$C$2:$C$1085,MATCH($J33,'Data SO'!$H$2:$H$1085,0)),INDEX('Data SCM'!$B$2:$B$698,MATCH($J33,'Data SCM'!$I$2:$I$698,0)))</f>
        <v xml:space="preserve">SELAI NANAS </v>
      </c>
      <c r="B33" s="3" t="str">
        <f>IFERROR(INDEX('Data SO'!$D$2:$D$1085,MATCH($J33,'Data SO'!$H$2:$H$1085,0)),K33)</f>
        <v>Kg</v>
      </c>
      <c r="C33" s="9">
        <f>SUMIF('Data SO'!$H$2:$H$1085,$J33,'Data SO'!$F$2:$F$1085)</f>
        <v>45</v>
      </c>
      <c r="D33" s="9">
        <f>SUMIF('Data SCM'!$I$2:$I$698,$J33,'Data SCM'!$E$2:$E$698)*L33</f>
        <v>90</v>
      </c>
      <c r="E33" s="9">
        <f t="shared" si="0"/>
        <v>45</v>
      </c>
      <c r="F33" s="4">
        <f>SUMIF('Data SO'!$H$2:$H$1085,$J33,'Data SO'!$G$2:$G$1085)</f>
        <v>1575000</v>
      </c>
      <c r="G33" s="4">
        <f>SUMIF('Data SCM'!$I$2:$I$698,$J33,'Data SCM'!$H$2:$H$698)</f>
        <v>3150000</v>
      </c>
      <c r="H33" s="4">
        <f t="shared" si="1"/>
        <v>1575000</v>
      </c>
      <c r="I33" s="3" t="str">
        <f>IF(COUNTIF('Data SCM'!$I$2:$I$698,$J33)=0,"Hanya di SO",IF(COUNTIF('Data SO'!$H$2:$H$1085,$J33)=0,"Hanya di SCM",IF(AND(ABS(E33)&lt;0.01,ABS(H33)&lt;1),"Sama",IF(ABS(E33)&lt;0.01,"Selisih nominal",IF(ABS(H33)&lt;1,"Selisih qty","Selisih qty &amp; nominal")))))</f>
        <v>Selisih qty &amp; nominal</v>
      </c>
      <c r="J33" t="s">
        <v>57</v>
      </c>
      <c r="K33" t="str">
        <f>IFERROR(INDEX('Data SCM'!$D$2:$D$698,MATCH($J33,'Data SCM'!$I$2:$I$698,0)),"")</f>
        <v>KG</v>
      </c>
      <c r="L33">
        <f t="shared" si="2"/>
        <v>1</v>
      </c>
      <c r="M33" t="s">
        <v>3438</v>
      </c>
    </row>
    <row r="34" spans="1:13" x14ac:dyDescent="0.25">
      <c r="A34" s="3" t="str">
        <f>IFERROR(INDEX('Data SO'!$C$2:$C$1085,MATCH($J34,'Data SO'!$H$2:$H$1085,0)),INDEX('Data SCM'!$B$2:$B$698,MATCH($J34,'Data SCM'!$I$2:$I$698,0)))</f>
        <v>Cheesy Mozarella @4X2,3 Kg</v>
      </c>
      <c r="B34" s="3" t="str">
        <f>IFERROR(INDEX('Data SO'!$D$2:$D$1085,MATCH($J34,'Data SO'!$H$2:$H$1085,0)),K34)</f>
        <v>kg</v>
      </c>
      <c r="C34" s="9">
        <f>SUMIF('Data SO'!$H$2:$H$1085,$J34,'Data SO'!$F$2:$F$1085)</f>
        <v>44.2</v>
      </c>
      <c r="D34" s="9">
        <f>SUMIF('Data SCM'!$I$2:$I$698,$J34,'Data SCM'!$E$2:$E$698)*L34</f>
        <v>55.2</v>
      </c>
      <c r="E34" s="9">
        <f t="shared" si="0"/>
        <v>11</v>
      </c>
      <c r="F34" s="4">
        <f>SUMIF('Data SO'!$H$2:$H$1085,$J34,'Data SO'!$G$2:$G$1085)</f>
        <v>6077500</v>
      </c>
      <c r="G34" s="4">
        <f>SUMIF('Data SCM'!$I$2:$I$698,$J34,'Data SCM'!$H$2:$H$698)</f>
        <v>7590000</v>
      </c>
      <c r="H34" s="4">
        <f t="shared" si="1"/>
        <v>1512500</v>
      </c>
      <c r="I34" s="3" t="str">
        <f>IF(COUNTIF('Data SCM'!$I$2:$I$698,$J34)=0,"Hanya di SO",IF(COUNTIF('Data SO'!$H$2:$H$1085,$J34)=0,"Hanya di SCM",IF(AND(ABS(E34)&lt;0.01,ABS(H34)&lt;1),"Sama",IF(ABS(E34)&lt;0.01,"Selisih nominal",IF(ABS(H34)&lt;1,"Selisih qty","Selisih qty &amp; nominal")))))</f>
        <v>Selisih qty &amp; nominal</v>
      </c>
      <c r="J34" t="s">
        <v>58</v>
      </c>
      <c r="K34" t="str">
        <f>IFERROR(INDEX('Data SCM'!$D$2:$D$698,MATCH($J34,'Data SCM'!$I$2:$I$698,0)),"")</f>
        <v>KG</v>
      </c>
      <c r="L34">
        <f t="shared" si="2"/>
        <v>1</v>
      </c>
      <c r="M34" t="s">
        <v>3439</v>
      </c>
    </row>
    <row r="35" spans="1:13" x14ac:dyDescent="0.25">
      <c r="A35" s="3" t="str">
        <f>IFERROR(INDEX('Data SO'!$C$2:$C$1085,MATCH($J35,'Data SO'!$H$2:$H$1085,0)),INDEX('Data SCM'!$B$2:$B$698,MATCH($J35,'Data SCM'!$I$2:$I$698,0)))</f>
        <v>Lilin Kriting @1x100 pack</v>
      </c>
      <c r="B35" s="3" t="str">
        <f>IFERROR(INDEX('Data SO'!$D$2:$D$1085,MATCH($J35,'Data SO'!$H$2:$H$1085,0)),K35)</f>
        <v>Pcs</v>
      </c>
      <c r="C35" s="9">
        <f>SUMIF('Data SO'!$H$2:$H$1085,$J35,'Data SO'!$F$2:$F$1085)</f>
        <v>1800</v>
      </c>
      <c r="D35" s="9">
        <f>SUMIF('Data SCM'!$I$2:$I$698,$J35,'Data SCM'!$E$2:$E$698)*L35</f>
        <v>0</v>
      </c>
      <c r="E35" s="9">
        <f t="shared" si="0"/>
        <v>-1800</v>
      </c>
      <c r="F35" s="4">
        <f>SUMIF('Data SO'!$H$2:$H$1085,$J35,'Data SO'!$G$2:$G$1085)</f>
        <v>1500000</v>
      </c>
      <c r="G35" s="4">
        <f>SUMIF('Data SCM'!$I$2:$I$698,$J35,'Data SCM'!$H$2:$H$698)</f>
        <v>0</v>
      </c>
      <c r="H35" s="4">
        <f t="shared" si="1"/>
        <v>-1500000</v>
      </c>
      <c r="I35" s="3" t="str">
        <f>IF(COUNTIF('Data SCM'!$I$2:$I$698,$J35)=0,"Hanya di SO",IF(COUNTIF('Data SO'!$H$2:$H$1085,$J35)=0,"Hanya di SCM",IF(AND(ABS(E35)&lt;0.01,ABS(H35)&lt;1),"Sama",IF(ABS(E35)&lt;0.01,"Selisih nominal",IF(ABS(H35)&lt;1,"Selisih qty","Selisih qty &amp; nominal")))))</f>
        <v>Hanya di SO</v>
      </c>
      <c r="J35" t="s">
        <v>59</v>
      </c>
      <c r="K35" t="str">
        <f>IFERROR(INDEX('Data SCM'!$D$2:$D$698,MATCH($J35,'Data SCM'!$I$2:$I$698,0)),"")</f>
        <v/>
      </c>
      <c r="L35">
        <f t="shared" si="2"/>
        <v>1</v>
      </c>
      <c r="M35" t="s">
        <v>3475</v>
      </c>
    </row>
    <row r="36" spans="1:13" x14ac:dyDescent="0.25">
      <c r="A36" s="3" t="str">
        <f>IFERROR(INDEX('Data SO'!$C$2:$C$1085,MATCH($J36,'Data SO'!$H$2:$H$1085,0)),INDEX('Data SCM'!$B$2:$B$698,MATCH($J36,'Data SCM'!$I$2:$I$698,0)))</f>
        <v>Lilin Kriting Hijau @1X100 Pack</v>
      </c>
      <c r="B36" s="3" t="str">
        <f>IFERROR(INDEX('Data SO'!$D$2:$D$1085,MATCH($J36,'Data SO'!$H$2:$H$1085,0)),K36)</f>
        <v>PCS</v>
      </c>
      <c r="C36" s="9">
        <f>SUMIF('Data SO'!$H$2:$H$1085,$J36,'Data SO'!$F$2:$F$1085)</f>
        <v>0</v>
      </c>
      <c r="D36" s="9">
        <f>SUMIF('Data SCM'!$I$2:$I$698,$J36,'Data SCM'!$E$2:$E$698)*L36</f>
        <v>300</v>
      </c>
      <c r="E36" s="9">
        <f t="shared" si="0"/>
        <v>300</v>
      </c>
      <c r="F36" s="4">
        <f>SUMIF('Data SO'!$H$2:$H$1085,$J36,'Data SO'!$G$2:$G$1085)</f>
        <v>0</v>
      </c>
      <c r="G36" s="4">
        <f>SUMIF('Data SCM'!$I$2:$I$698,$J36,'Data SCM'!$H$2:$H$698)</f>
        <v>1500000</v>
      </c>
      <c r="H36" s="4">
        <f t="shared" si="1"/>
        <v>1500000</v>
      </c>
      <c r="I36" s="3" t="str">
        <f>IF(COUNTIF('Data SCM'!$I$2:$I$698,$J36)=0,"Hanya di SO",IF(COUNTIF('Data SO'!$H$2:$H$1085,$J36)=0,"Hanya di SCM",IF(AND(ABS(E36)&lt;0.01,ABS(H36)&lt;1),"Sama",IF(ABS(E36)&lt;0.01,"Selisih nominal",IF(ABS(H36)&lt;1,"Selisih qty","Selisih qty &amp; nominal")))))</f>
        <v>Hanya di SCM</v>
      </c>
      <c r="J36" t="s">
        <v>60</v>
      </c>
      <c r="K36" t="str">
        <f>IFERROR(INDEX('Data SCM'!$D$2:$D$698,MATCH($J36,'Data SCM'!$I$2:$I$698,0)),"")</f>
        <v>PCS</v>
      </c>
      <c r="L36">
        <f t="shared" si="2"/>
        <v>1</v>
      </c>
    </row>
    <row r="37" spans="1:13" x14ac:dyDescent="0.25">
      <c r="A37" s="3" t="str">
        <f>IFERROR(INDEX('Data SO'!$C$2:$C$1085,MATCH($J37,'Data SO'!$H$2:$H$1085,0)),INDEX('Data SCM'!$B$2:$B$698,MATCH($J37,'Data SCM'!$I$2:$I$698,0)))</f>
        <v>PEWARNA CROSS  ROYAL BLUE @450ML</v>
      </c>
      <c r="B37" s="3" t="str">
        <f>IFERROR(INDEX('Data SO'!$D$2:$D$1085,MATCH($J37,'Data SO'!$H$2:$H$1085,0)),K37)</f>
        <v>ml</v>
      </c>
      <c r="C37" s="9">
        <f>SUMIF('Data SO'!$H$2:$H$1085,$J37,'Data SO'!$F$2:$F$1085)</f>
        <v>0</v>
      </c>
      <c r="D37" s="9">
        <f>SUMIF('Data SCM'!$I$2:$I$698,$J37,'Data SCM'!$E$2:$E$698)*L37</f>
        <v>2250</v>
      </c>
      <c r="E37" s="9">
        <f t="shared" si="0"/>
        <v>2250</v>
      </c>
      <c r="F37" s="4">
        <f>SUMIF('Data SO'!$H$2:$H$1085,$J37,'Data SO'!$G$2:$G$1085)</f>
        <v>0</v>
      </c>
      <c r="G37" s="4">
        <f>SUMIF('Data SCM'!$I$2:$I$698,$J37,'Data SCM'!$H$2:$H$698)</f>
        <v>1387500.075</v>
      </c>
      <c r="H37" s="4">
        <f t="shared" si="1"/>
        <v>1387500.075</v>
      </c>
      <c r="I37" s="3" t="str">
        <f>IF(COUNTIF('Data SCM'!$I$2:$I$698,$J37)=0,"Hanya di SO",IF(COUNTIF('Data SO'!$H$2:$H$1085,$J37)=0,"Hanya di SCM",IF(AND(ABS(E37)&lt;0.01,ABS(H37)&lt;1),"Sama",IF(ABS(E37)&lt;0.01,"Selisih nominal",IF(ABS(H37)&lt;1,"Selisih qty","Selisih qty &amp; nominal")))))</f>
        <v>Selisih qty &amp; nominal</v>
      </c>
      <c r="J37" t="s">
        <v>61</v>
      </c>
      <c r="K37" t="str">
        <f>IFERROR(INDEX('Data SCM'!$D$2:$D$698,MATCH($J37,'Data SCM'!$I$2:$I$698,0)),"")</f>
        <v>ML</v>
      </c>
      <c r="L37">
        <f t="shared" si="2"/>
        <v>1</v>
      </c>
      <c r="M37" t="s">
        <v>3441</v>
      </c>
    </row>
    <row r="38" spans="1:13" x14ac:dyDescent="0.25">
      <c r="A38" s="3" t="str">
        <f>IFERROR(INDEX('Data SO'!$C$2:$C$1085,MATCH($J38,'Data SO'!$H$2:$H$1085,0)),INDEX('Data SCM'!$B$2:$B$698,MATCH($J38,'Data SCM'!$I$2:$I$698,0)))</f>
        <v>Lilin Spiral Pendek Rainbow @1x50 Pack</v>
      </c>
      <c r="B38" s="3" t="str">
        <f>IFERROR(INDEX('Data SO'!$D$2:$D$1085,MATCH($J38,'Data SO'!$H$2:$H$1085,0)),K38)</f>
        <v>Pcs</v>
      </c>
      <c r="C38" s="9">
        <f>SUMIF('Data SO'!$H$2:$H$1085,$J38,'Data SO'!$F$2:$F$1085)</f>
        <v>2410</v>
      </c>
      <c r="D38" s="9">
        <f>SUMIF('Data SCM'!$I$2:$I$698,$J38,'Data SCM'!$E$2:$E$698)*L38</f>
        <v>241</v>
      </c>
      <c r="E38" s="9">
        <f t="shared" si="0"/>
        <v>-2169</v>
      </c>
      <c r="F38" s="4">
        <f>SUMIF('Data SO'!$H$2:$H$1085,$J38,'Data SO'!$G$2:$G$1085)</f>
        <v>1446000</v>
      </c>
      <c r="G38" s="4">
        <f>SUMIF('Data SCM'!$I$2:$I$698,$J38,'Data SCM'!$H$2:$H$698)</f>
        <v>144600</v>
      </c>
      <c r="H38" s="4">
        <f t="shared" si="1"/>
        <v>-1301400</v>
      </c>
      <c r="I38" s="3" t="str">
        <f>IF(COUNTIF('Data SCM'!$I$2:$I$698,$J38)=0,"Hanya di SO",IF(COUNTIF('Data SO'!$H$2:$H$1085,$J38)=0,"Hanya di SCM",IF(AND(ABS(E38)&lt;0.01,ABS(H38)&lt;1),"Sama",IF(ABS(E38)&lt;0.01,"Selisih nominal",IF(ABS(H38)&lt;1,"Selisih qty","Selisih qty &amp; nominal")))))</f>
        <v>Selisih qty &amp; nominal</v>
      </c>
      <c r="J38" t="s">
        <v>62</v>
      </c>
      <c r="K38" t="str">
        <f>IFERROR(INDEX('Data SCM'!$D$2:$D$698,MATCH($J38,'Data SCM'!$I$2:$I$698,0)),"")</f>
        <v>PCS</v>
      </c>
      <c r="L38">
        <f t="shared" si="2"/>
        <v>1</v>
      </c>
      <c r="M38" t="s">
        <v>3442</v>
      </c>
    </row>
    <row r="39" spans="1:13" x14ac:dyDescent="0.25">
      <c r="A39" s="3" t="str">
        <f>IFERROR(INDEX('Data SO'!$C$2:$C$1085,MATCH($J39,'Data SO'!$H$2:$H$1085,0)),INDEX('Data SCM'!$B$2:$B$698,MATCH($J39,'Data SCM'!$I$2:$I$698,0)))</f>
        <v>Lilin Spiral Pendek Red @1x50 Pack</v>
      </c>
      <c r="B39" s="3" t="str">
        <f>IFERROR(INDEX('Data SO'!$D$2:$D$1085,MATCH($J39,'Data SO'!$H$2:$H$1085,0)),K39)</f>
        <v>Pcs</v>
      </c>
      <c r="C39" s="9">
        <f>SUMIF('Data SO'!$H$2:$H$1085,$J39,'Data SO'!$F$2:$F$1085)</f>
        <v>2290</v>
      </c>
      <c r="D39" s="9">
        <f>SUMIF('Data SCM'!$I$2:$I$698,$J39,'Data SCM'!$E$2:$E$698)*L39</f>
        <v>229</v>
      </c>
      <c r="E39" s="9">
        <f t="shared" si="0"/>
        <v>-2061</v>
      </c>
      <c r="F39" s="4">
        <f>SUMIF('Data SO'!$H$2:$H$1085,$J39,'Data SO'!$G$2:$G$1085)</f>
        <v>1374000</v>
      </c>
      <c r="G39" s="4">
        <f>SUMIF('Data SCM'!$I$2:$I$698,$J39,'Data SCM'!$H$2:$H$698)</f>
        <v>137400</v>
      </c>
      <c r="H39" s="4">
        <f t="shared" si="1"/>
        <v>-1236600</v>
      </c>
      <c r="I39" s="3" t="str">
        <f>IF(COUNTIF('Data SCM'!$I$2:$I$698,$J39)=0,"Hanya di SO",IF(COUNTIF('Data SO'!$H$2:$H$1085,$J39)=0,"Hanya di SCM",IF(AND(ABS(E39)&lt;0.01,ABS(H39)&lt;1),"Sama",IF(ABS(E39)&lt;0.01,"Selisih nominal",IF(ABS(H39)&lt;1,"Selisih qty","Selisih qty &amp; nominal")))))</f>
        <v>Selisih qty &amp; nominal</v>
      </c>
      <c r="J39" t="s">
        <v>63</v>
      </c>
      <c r="K39" t="str">
        <f>IFERROR(INDEX('Data SCM'!$D$2:$D$698,MATCH($J39,'Data SCM'!$I$2:$I$698,0)),"")</f>
        <v>PCS</v>
      </c>
      <c r="L39">
        <f t="shared" si="2"/>
        <v>1</v>
      </c>
      <c r="M39" t="s">
        <v>3446</v>
      </c>
    </row>
    <row r="40" spans="1:13" x14ac:dyDescent="0.25">
      <c r="A40" s="3" t="str">
        <f>IFERROR(INDEX('Data SO'!$C$2:$C$1085,MATCH($J40,'Data SO'!$H$2:$H$1085,0)),INDEX('Data SCM'!$B$2:$B$698,MATCH($J40,'Data SCM'!$I$2:$I$698,0)))</f>
        <v>Plastik Roti Tawar Vol 11</v>
      </c>
      <c r="B40" s="3" t="str">
        <f>IFERROR(INDEX('Data SO'!$D$2:$D$1085,MATCH($J40,'Data SO'!$H$2:$H$1085,0)),K40)</f>
        <v>Pcs</v>
      </c>
      <c r="C40" s="9">
        <f>SUMIF('Data SO'!$H$2:$H$1085,$J40,'Data SO'!$F$2:$F$1085)</f>
        <v>0</v>
      </c>
      <c r="D40" s="9">
        <f>SUMIF('Data SCM'!$I$2:$I$698,$J40,'Data SCM'!$E$2:$E$698)*L40</f>
        <v>1400</v>
      </c>
      <c r="E40" s="9">
        <f t="shared" si="0"/>
        <v>1400</v>
      </c>
      <c r="F40" s="4">
        <f>SUMIF('Data SO'!$H$2:$H$1085,$J40,'Data SO'!$G$2:$G$1085)</f>
        <v>0</v>
      </c>
      <c r="G40" s="4">
        <f>SUMIF('Data SCM'!$I$2:$I$698,$J40,'Data SCM'!$H$2:$H$698)</f>
        <v>1234800</v>
      </c>
      <c r="H40" s="4">
        <f t="shared" si="1"/>
        <v>1234800</v>
      </c>
      <c r="I40" s="3" t="str">
        <f>IF(COUNTIF('Data SCM'!$I$2:$I$698,$J40)=0,"Hanya di SO",IF(COUNTIF('Data SO'!$H$2:$H$1085,$J40)=0,"Hanya di SCM",IF(AND(ABS(E40)&lt;0.01,ABS(H40)&lt;1),"Sama",IF(ABS(E40)&lt;0.01,"Selisih nominal",IF(ABS(H40)&lt;1,"Selisih qty","Selisih qty &amp; nominal")))))</f>
        <v>Selisih qty &amp; nominal</v>
      </c>
      <c r="J40" t="s">
        <v>64</v>
      </c>
      <c r="K40" t="str">
        <f>IFERROR(INDEX('Data SCM'!$D$2:$D$698,MATCH($J40,'Data SCM'!$I$2:$I$698,0)),"")</f>
        <v>PCS</v>
      </c>
      <c r="L40">
        <f t="shared" si="2"/>
        <v>1</v>
      </c>
      <c r="M40" t="s">
        <v>3433</v>
      </c>
    </row>
    <row r="41" spans="1:13" x14ac:dyDescent="0.25">
      <c r="A41" s="3" t="str">
        <f>IFERROR(INDEX('Data SO'!$C$2:$C$1085,MATCH($J41,'Data SO'!$H$2:$H$1085,0)),INDEX('Data SCM'!$B$2:$B$698,MATCH($J41,'Data SCM'!$I$2:$I$698,0)))</f>
        <v>Backround Angry Bird</v>
      </c>
      <c r="B41" s="3" t="str">
        <f>IFERROR(INDEX('Data SO'!$D$2:$D$1085,MATCH($J41,'Data SO'!$H$2:$H$1085,0)),K41)</f>
        <v>Pcs</v>
      </c>
      <c r="C41" s="9">
        <f>SUMIF('Data SO'!$H$2:$H$1085,$J41,'Data SO'!$F$2:$F$1085)</f>
        <v>129</v>
      </c>
      <c r="D41" s="9">
        <f>SUMIF('Data SCM'!$I$2:$I$698,$J41,'Data SCM'!$E$2:$E$698)*L41</f>
        <v>0</v>
      </c>
      <c r="E41" s="9">
        <f t="shared" si="0"/>
        <v>-129</v>
      </c>
      <c r="F41" s="4">
        <f>SUMIF('Data SO'!$H$2:$H$1085,$J41,'Data SO'!$G$2:$G$1085)</f>
        <v>1096500</v>
      </c>
      <c r="G41" s="4">
        <f>SUMIF('Data SCM'!$I$2:$I$698,$J41,'Data SCM'!$H$2:$H$698)</f>
        <v>0</v>
      </c>
      <c r="H41" s="4">
        <f t="shared" si="1"/>
        <v>-1096500</v>
      </c>
      <c r="I41" s="3" t="str">
        <f>IF(COUNTIF('Data SCM'!$I$2:$I$698,$J41)=0,"Hanya di SO",IF(COUNTIF('Data SO'!$H$2:$H$1085,$J41)=0,"Hanya di SCM",IF(AND(ABS(E41)&lt;0.01,ABS(H41)&lt;1),"Sama",IF(ABS(E41)&lt;0.01,"Selisih nominal",IF(ABS(H41)&lt;1,"Selisih qty","Selisih qty &amp; nominal")))))</f>
        <v>Selisih qty &amp; nominal</v>
      </c>
      <c r="J41" t="s">
        <v>65</v>
      </c>
      <c r="K41" t="str">
        <f>IFERROR(INDEX('Data SCM'!$D$2:$D$698,MATCH($J41,'Data SCM'!$I$2:$I$698,0)),"")</f>
        <v>PCS</v>
      </c>
      <c r="L41">
        <f t="shared" si="2"/>
        <v>1</v>
      </c>
      <c r="M41" t="s">
        <v>3444</v>
      </c>
    </row>
    <row r="42" spans="1:13" x14ac:dyDescent="0.25">
      <c r="A42" s="3" t="str">
        <f>IFERROR(INDEX('Data SO'!$C$2:$C$1085,MATCH($J42,'Data SO'!$H$2:$H$1085,0)),INDEX('Data SCM'!$B$2:$B$698,MATCH($J42,'Data SCM'!$I$2:$I$698,0)))</f>
        <v>Lilin Spiral Pendek Green @1x50 Pack</v>
      </c>
      <c r="B42" s="3" t="str">
        <f>IFERROR(INDEX('Data SO'!$D$2:$D$1085,MATCH($J42,'Data SO'!$H$2:$H$1085,0)),K42)</f>
        <v>Pcs</v>
      </c>
      <c r="C42" s="9">
        <f>SUMIF('Data SO'!$H$2:$H$1085,$J42,'Data SO'!$F$2:$F$1085)</f>
        <v>2000</v>
      </c>
      <c r="D42" s="9">
        <f>SUMIF('Data SCM'!$I$2:$I$698,$J42,'Data SCM'!$E$2:$E$698)*L42</f>
        <v>200</v>
      </c>
      <c r="E42" s="9">
        <f t="shared" si="0"/>
        <v>-1800</v>
      </c>
      <c r="F42" s="4">
        <f>SUMIF('Data SO'!$H$2:$H$1085,$J42,'Data SO'!$G$2:$G$1085)</f>
        <v>1200000</v>
      </c>
      <c r="G42" s="4">
        <f>SUMIF('Data SCM'!$I$2:$I$698,$J42,'Data SCM'!$H$2:$H$698)</f>
        <v>120000</v>
      </c>
      <c r="H42" s="4">
        <f t="shared" si="1"/>
        <v>-1080000</v>
      </c>
      <c r="I42" s="3" t="str">
        <f>IF(COUNTIF('Data SCM'!$I$2:$I$698,$J42)=0,"Hanya di SO",IF(COUNTIF('Data SO'!$H$2:$H$1085,$J42)=0,"Hanya di SCM",IF(AND(ABS(E42)&lt;0.01,ABS(H42)&lt;1),"Sama",IF(ABS(E42)&lt;0.01,"Selisih nominal",IF(ABS(H42)&lt;1,"Selisih qty","Selisih qty &amp; nominal")))))</f>
        <v>Selisih qty &amp; nominal</v>
      </c>
      <c r="J42" t="s">
        <v>66</v>
      </c>
      <c r="K42" t="str">
        <f>IFERROR(INDEX('Data SCM'!$D$2:$D$698,MATCH($J42,'Data SCM'!$I$2:$I$698,0)),"")</f>
        <v>PCS</v>
      </c>
      <c r="L42">
        <f t="shared" si="2"/>
        <v>1</v>
      </c>
      <c r="M42" t="s">
        <v>3445</v>
      </c>
    </row>
    <row r="43" spans="1:13" x14ac:dyDescent="0.25">
      <c r="A43" s="3" t="str">
        <f>IFERROR(INDEX('Data SO'!$C$2:$C$1085,MATCH($J43,'Data SO'!$H$2:$H$1085,0)),INDEX('Data SCM'!$B$2:$B$698,MATCH($J43,'Data SCM'!$I$2:$I$698,0)))</f>
        <v>Red Handsoap 5Liter</v>
      </c>
      <c r="B43" s="3" t="str">
        <f>IFERROR(INDEX('Data SO'!$D$2:$D$1085,MATCH($J43,'Data SO'!$H$2:$H$1085,0)),K43)</f>
        <v>liter</v>
      </c>
      <c r="C43" s="9">
        <f>SUMIF('Data SO'!$H$2:$H$1085,$J43,'Data SO'!$F$2:$F$1085)</f>
        <v>90</v>
      </c>
      <c r="D43" s="9">
        <f>SUMIF('Data SCM'!$I$2:$I$698,$J43,'Data SCM'!$E$2:$E$698)*L43</f>
        <v>0</v>
      </c>
      <c r="E43" s="9">
        <f t="shared" si="0"/>
        <v>-90</v>
      </c>
      <c r="F43" s="4">
        <f>SUMIF('Data SO'!$H$2:$H$1085,$J43,'Data SO'!$G$2:$G$1085)</f>
        <v>990000</v>
      </c>
      <c r="G43" s="4">
        <f>SUMIF('Data SCM'!$I$2:$I$698,$J43,'Data SCM'!$H$2:$H$698)</f>
        <v>0</v>
      </c>
      <c r="H43" s="4">
        <f t="shared" si="1"/>
        <v>-990000</v>
      </c>
      <c r="I43" s="3" t="str">
        <f>IF(COUNTIF('Data SCM'!$I$2:$I$698,$J43)=0,"Hanya di SO",IF(COUNTIF('Data SO'!$H$2:$H$1085,$J43)=0,"Hanya di SCM",IF(AND(ABS(E43)&lt;0.01,ABS(H43)&lt;1),"Sama",IF(ABS(E43)&lt;0.01,"Selisih nominal",IF(ABS(H43)&lt;1,"Selisih qty","Selisih qty &amp; nominal")))))</f>
        <v>Selisih qty &amp; nominal</v>
      </c>
      <c r="J43" t="s">
        <v>67</v>
      </c>
      <c r="K43" t="str">
        <f>IFERROR(INDEX('Data SCM'!$D$2:$D$698,MATCH($J43,'Data SCM'!$I$2:$I$698,0)),"")</f>
        <v>ML</v>
      </c>
      <c r="L43">
        <f t="shared" si="2"/>
        <v>1E-3</v>
      </c>
      <c r="M43" t="s">
        <v>3447</v>
      </c>
    </row>
    <row r="44" spans="1:13" x14ac:dyDescent="0.25">
      <c r="A44" s="3" t="str">
        <f>IFERROR(INDEX('Data SO'!$C$2:$C$1085,MATCH($J44,'Data SO'!$H$2:$H$1085,0)),INDEX('Data SCM'!$B$2:$B$698,MATCH($J44,'Data SCM'!$I$2:$I$698,0)))</f>
        <v>Dus Mochi Oreo Spesial</v>
      </c>
      <c r="B44" s="3" t="str">
        <f>IFERROR(INDEX('Data SO'!$D$2:$D$1085,MATCH($J44,'Data SO'!$H$2:$H$1085,0)),K44)</f>
        <v>Pcs</v>
      </c>
      <c r="C44" s="9">
        <f>SUMIF('Data SO'!$H$2:$H$1085,$J44,'Data SO'!$F$2:$F$1085)</f>
        <v>800</v>
      </c>
      <c r="D44" s="9">
        <f>SUMIF('Data SCM'!$I$2:$I$698,$J44,'Data SCM'!$E$2:$E$698)*L44</f>
        <v>0</v>
      </c>
      <c r="E44" s="9">
        <f t="shared" si="0"/>
        <v>-800</v>
      </c>
      <c r="F44" s="4">
        <f>SUMIF('Data SO'!$H$2:$H$1085,$J44,'Data SO'!$G$2:$G$1085)</f>
        <v>980000</v>
      </c>
      <c r="G44" s="4">
        <f>SUMIF('Data SCM'!$I$2:$I$698,$J44,'Data SCM'!$H$2:$H$698)</f>
        <v>0</v>
      </c>
      <c r="H44" s="4">
        <f t="shared" si="1"/>
        <v>-980000</v>
      </c>
      <c r="I44" s="3" t="str">
        <f>IF(COUNTIF('Data SCM'!$I$2:$I$698,$J44)=0,"Hanya di SO",IF(COUNTIF('Data SO'!$H$2:$H$1085,$J44)=0,"Hanya di SCM",IF(AND(ABS(E44)&lt;0.01,ABS(H44)&lt;1),"Sama",IF(ABS(E44)&lt;0.01,"Selisih nominal",IF(ABS(H44)&lt;1,"Selisih qty","Selisih qty &amp; nominal")))))</f>
        <v>Selisih qty &amp; nominal</v>
      </c>
      <c r="J44" t="s">
        <v>68</v>
      </c>
      <c r="K44" t="str">
        <f>IFERROR(INDEX('Data SCM'!$D$2:$D$698,MATCH($J44,'Data SCM'!$I$2:$I$698,0)),"")</f>
        <v>PCS</v>
      </c>
      <c r="L44">
        <f t="shared" si="2"/>
        <v>1</v>
      </c>
      <c r="M44" t="s">
        <v>3448</v>
      </c>
    </row>
    <row r="45" spans="1:13" x14ac:dyDescent="0.25">
      <c r="A45" s="3" t="str">
        <f>IFERROR(INDEX('Data SO'!$C$2:$C$1085,MATCH($J45,'Data SO'!$H$2:$H$1085,0)),INDEX('Data SCM'!$B$2:$B$698,MATCH($J45,'Data SCM'!$I$2:$I$698,0)))</f>
        <v>Sticker Dubai Chewy Cookies Besar</v>
      </c>
      <c r="B45" s="3" t="str">
        <f>IFERROR(INDEX('Data SO'!$D$2:$D$1085,MATCH($J45,'Data SO'!$H$2:$H$1085,0)),K45)</f>
        <v>PCS</v>
      </c>
      <c r="C45" s="9">
        <f>SUMIF('Data SO'!$H$2:$H$1085,$J45,'Data SO'!$F$2:$F$1085)</f>
        <v>0</v>
      </c>
      <c r="D45" s="9">
        <f>SUMIF('Data SCM'!$I$2:$I$698,$J45,'Data SCM'!$E$2:$E$698)*L45</f>
        <v>1450</v>
      </c>
      <c r="E45" s="9">
        <f t="shared" si="0"/>
        <v>1450</v>
      </c>
      <c r="F45" s="4">
        <f>SUMIF('Data SO'!$H$2:$H$1085,$J45,'Data SO'!$G$2:$G$1085)</f>
        <v>0</v>
      </c>
      <c r="G45" s="4">
        <f>SUMIF('Data SCM'!$I$2:$I$698,$J45,'Data SCM'!$H$2:$H$698)</f>
        <v>966666.71499999997</v>
      </c>
      <c r="H45" s="4">
        <f t="shared" si="1"/>
        <v>966666.71499999997</v>
      </c>
      <c r="I45" s="3" t="str">
        <f>IF(COUNTIF('Data SCM'!$I$2:$I$698,$J45)=0,"Hanya di SO",IF(COUNTIF('Data SO'!$H$2:$H$1085,$J45)=0,"Hanya di SCM",IF(AND(ABS(E45)&lt;0.01,ABS(H45)&lt;1),"Sama",IF(ABS(E45)&lt;0.01,"Selisih nominal",IF(ABS(H45)&lt;1,"Selisih qty","Selisih qty &amp; nominal")))))</f>
        <v>Hanya di SCM</v>
      </c>
      <c r="J45" t="s">
        <v>69</v>
      </c>
      <c r="K45" t="str">
        <f>IFERROR(INDEX('Data SCM'!$D$2:$D$698,MATCH($J45,'Data SCM'!$I$2:$I$698,0)),"")</f>
        <v>PCS</v>
      </c>
      <c r="L45">
        <f t="shared" si="2"/>
        <v>1</v>
      </c>
      <c r="M45" t="s">
        <v>3450</v>
      </c>
    </row>
    <row r="46" spans="1:13" x14ac:dyDescent="0.25">
      <c r="A46" s="3" t="str">
        <f>IFERROR(INDEX('Data SO'!$C$2:$C$1085,MATCH($J46,'Data SO'!$H$2:$H$1085,0)),INDEX('Data SCM'!$B$2:$B$698,MATCH($J46,'Data SCM'!$I$2:$I$698,0)))</f>
        <v>PATUNG DORA</v>
      </c>
      <c r="B46" s="3" t="str">
        <f>IFERROR(INDEX('Data SO'!$D$2:$D$1085,MATCH($J46,'Data SO'!$H$2:$H$1085,0)),K46)</f>
        <v>Pcs</v>
      </c>
      <c r="C46" s="9">
        <f>SUMIF('Data SO'!$H$2:$H$1085,$J46,'Data SO'!$F$2:$F$1085)</f>
        <v>161</v>
      </c>
      <c r="D46" s="9">
        <f>SUMIF('Data SCM'!$I$2:$I$698,$J46,'Data SCM'!$E$2:$E$698)*L46</f>
        <v>0</v>
      </c>
      <c r="E46" s="9">
        <f t="shared" si="0"/>
        <v>-161</v>
      </c>
      <c r="F46" s="4">
        <f>SUMIF('Data SO'!$H$2:$H$1085,$J46,'Data SO'!$G$2:$G$1085)</f>
        <v>966000</v>
      </c>
      <c r="G46" s="4">
        <f>SUMIF('Data SCM'!$I$2:$I$698,$J46,'Data SCM'!$H$2:$H$698)</f>
        <v>0</v>
      </c>
      <c r="H46" s="4">
        <f t="shared" si="1"/>
        <v>-966000</v>
      </c>
      <c r="I46" s="3" t="str">
        <f>IF(COUNTIF('Data SCM'!$I$2:$I$698,$J46)=0,"Hanya di SO",IF(COUNTIF('Data SO'!$H$2:$H$1085,$J46)=0,"Hanya di SCM",IF(AND(ABS(E46)&lt;0.01,ABS(H46)&lt;1),"Sama",IF(ABS(E46)&lt;0.01,"Selisih nominal",IF(ABS(H46)&lt;1,"Selisih qty","Selisih qty &amp; nominal")))))</f>
        <v>Hanya di SO</v>
      </c>
      <c r="J46" t="s">
        <v>70</v>
      </c>
      <c r="K46" t="str">
        <f>IFERROR(INDEX('Data SCM'!$D$2:$D$698,MATCH($J46,'Data SCM'!$I$2:$I$698,0)),"")</f>
        <v/>
      </c>
      <c r="L46">
        <f t="shared" si="2"/>
        <v>1</v>
      </c>
      <c r="M46" t="s">
        <v>3449</v>
      </c>
    </row>
    <row r="47" spans="1:13" x14ac:dyDescent="0.25">
      <c r="A47" s="3" t="str">
        <f>IFERROR(INDEX('Data SO'!$C$2:$C$1085,MATCH($J47,'Data SO'!$H$2:$H$1085,0)),INDEX('Data SCM'!$B$2:$B$698,MATCH($J47,'Data SCM'!$I$2:$I$698,0)))</f>
        <v>Lilin Spiral Pendek Rosegold @1x50 Pack</v>
      </c>
      <c r="B47" s="3" t="str">
        <f>IFERROR(INDEX('Data SO'!$D$2:$D$1085,MATCH($J47,'Data SO'!$H$2:$H$1085,0)),K47)</f>
        <v>Pcs</v>
      </c>
      <c r="C47" s="9">
        <f>SUMIF('Data SO'!$H$2:$H$1085,$J47,'Data SO'!$F$2:$F$1085)</f>
        <v>1500</v>
      </c>
      <c r="D47" s="9">
        <f>SUMIF('Data SCM'!$I$2:$I$698,$J47,'Data SCM'!$E$2:$E$698)*L47</f>
        <v>150</v>
      </c>
      <c r="E47" s="9">
        <f t="shared" si="0"/>
        <v>-1350</v>
      </c>
      <c r="F47" s="4">
        <f>SUMIF('Data SO'!$H$2:$H$1085,$J47,'Data SO'!$G$2:$G$1085)</f>
        <v>900000</v>
      </c>
      <c r="G47" s="4">
        <f>SUMIF('Data SCM'!$I$2:$I$698,$J47,'Data SCM'!$H$2:$H$698)</f>
        <v>90000</v>
      </c>
      <c r="H47" s="4">
        <f t="shared" si="1"/>
        <v>-810000</v>
      </c>
      <c r="I47" s="3" t="str">
        <f>IF(COUNTIF('Data SCM'!$I$2:$I$698,$J47)=0,"Hanya di SO",IF(COUNTIF('Data SO'!$H$2:$H$1085,$J47)=0,"Hanya di SCM",IF(AND(ABS(E47)&lt;0.01,ABS(H47)&lt;1),"Sama",IF(ABS(E47)&lt;0.01,"Selisih nominal",IF(ABS(H47)&lt;1,"Selisih qty","Selisih qty &amp; nominal")))))</f>
        <v>Selisih qty &amp; nominal</v>
      </c>
      <c r="J47" t="s">
        <v>71</v>
      </c>
      <c r="K47" t="str">
        <f>IFERROR(INDEX('Data SCM'!$D$2:$D$698,MATCH($J47,'Data SCM'!$I$2:$I$698,0)),"")</f>
        <v>PCS</v>
      </c>
      <c r="L47">
        <f t="shared" si="2"/>
        <v>1</v>
      </c>
      <c r="M47" t="s">
        <v>3451</v>
      </c>
    </row>
    <row r="48" spans="1:13" x14ac:dyDescent="0.25">
      <c r="A48" s="3" t="str">
        <f>IFERROR(INDEX('Data SO'!$C$2:$C$1085,MATCH($J48,'Data SO'!$H$2:$H$1085,0)),INDEX('Data SCM'!$B$2:$B$698,MATCH($J48,'Data SCM'!$I$2:$I$698,0)))</f>
        <v>Backround Kecil Princess</v>
      </c>
      <c r="B48" s="3" t="str">
        <f>IFERROR(INDEX('Data SO'!$D$2:$D$1085,MATCH($J48,'Data SO'!$H$2:$H$1085,0)),K48)</f>
        <v>Pcs</v>
      </c>
      <c r="C48" s="9">
        <f>SUMIF('Data SO'!$H$2:$H$1085,$J48,'Data SO'!$F$2:$F$1085)</f>
        <v>175</v>
      </c>
      <c r="D48" s="9">
        <f>SUMIF('Data SCM'!$I$2:$I$698,$J48,'Data SCM'!$E$2:$E$698)*L48</f>
        <v>0</v>
      </c>
      <c r="E48" s="9">
        <f t="shared" si="0"/>
        <v>-175</v>
      </c>
      <c r="F48" s="4">
        <f>SUMIF('Data SO'!$H$2:$H$1085,$J48,'Data SO'!$G$2:$G$1085)</f>
        <v>787500</v>
      </c>
      <c r="G48" s="4">
        <f>SUMIF('Data SCM'!$I$2:$I$698,$J48,'Data SCM'!$H$2:$H$698)</f>
        <v>0</v>
      </c>
      <c r="H48" s="4">
        <f t="shared" si="1"/>
        <v>-787500</v>
      </c>
      <c r="I48" s="3" t="str">
        <f>IF(COUNTIF('Data SCM'!$I$2:$I$698,$J48)=0,"Hanya di SO",IF(COUNTIF('Data SO'!$H$2:$H$1085,$J48)=0,"Hanya di SCM",IF(AND(ABS(E48)&lt;0.01,ABS(H48)&lt;1),"Sama",IF(ABS(E48)&lt;0.01,"Selisih nominal",IF(ABS(H48)&lt;1,"Selisih qty","Selisih qty &amp; nominal")))))</f>
        <v>Selisih qty &amp; nominal</v>
      </c>
      <c r="J48" t="s">
        <v>72</v>
      </c>
      <c r="K48" t="str">
        <f>IFERROR(INDEX('Data SCM'!$D$2:$D$698,MATCH($J48,'Data SCM'!$I$2:$I$698,0)),"")</f>
        <v>PCS</v>
      </c>
      <c r="L48">
        <f t="shared" si="2"/>
        <v>1</v>
      </c>
      <c r="M48" t="s">
        <v>3452</v>
      </c>
    </row>
    <row r="49" spans="1:13" x14ac:dyDescent="0.25">
      <c r="A49" s="3" t="str">
        <f>IFERROR(INDEX('Data SO'!$C$2:$C$1085,MATCH($J49,'Data SO'!$H$2:$H$1085,0)),INDEX('Data SCM'!$B$2:$B$698,MATCH($J49,'Data SCM'!$I$2:$I$698,0)))</f>
        <v>Kresek Polos Uk 40</v>
      </c>
      <c r="B49" s="3" t="str">
        <f>IFERROR(INDEX('Data SO'!$D$2:$D$1085,MATCH($J49,'Data SO'!$H$2:$H$1085,0)),K49)</f>
        <v>PACK</v>
      </c>
      <c r="C49" s="9">
        <f>SUMIF('Data SO'!$H$2:$H$1085,$J49,'Data SO'!$F$2:$F$1085)</f>
        <v>0</v>
      </c>
      <c r="D49" s="9">
        <f>SUMIF('Data SCM'!$I$2:$I$698,$J49,'Data SCM'!$E$2:$E$698)*L49</f>
        <v>19</v>
      </c>
      <c r="E49" s="9">
        <f t="shared" si="0"/>
        <v>19</v>
      </c>
      <c r="F49" s="4">
        <f>SUMIF('Data SO'!$H$2:$H$1085,$J49,'Data SO'!$G$2:$G$1085)</f>
        <v>0</v>
      </c>
      <c r="G49" s="4">
        <f>SUMIF('Data SCM'!$I$2:$I$698,$J49,'Data SCM'!$H$2:$H$698)</f>
        <v>750500</v>
      </c>
      <c r="H49" s="4">
        <f t="shared" si="1"/>
        <v>750500</v>
      </c>
      <c r="I49" s="3" t="str">
        <f>IF(COUNTIF('Data SCM'!$I$2:$I$698,$J49)=0,"Hanya di SO",IF(COUNTIF('Data SO'!$H$2:$H$1085,$J49)=0,"Hanya di SCM",IF(AND(ABS(E49)&lt;0.01,ABS(H49)&lt;1),"Sama",IF(ABS(E49)&lt;0.01,"Selisih nominal",IF(ABS(H49)&lt;1,"Selisih qty","Selisih qty &amp; nominal")))))</f>
        <v>Hanya di SCM</v>
      </c>
      <c r="J49" t="s">
        <v>73</v>
      </c>
      <c r="K49" t="str">
        <f>IFERROR(INDEX('Data SCM'!$D$2:$D$698,MATCH($J49,'Data SCM'!$I$2:$I$698,0)),"")</f>
        <v>PACK</v>
      </c>
      <c r="L49">
        <f t="shared" si="2"/>
        <v>1</v>
      </c>
      <c r="M49" t="s">
        <v>3453</v>
      </c>
    </row>
    <row r="50" spans="1:13" x14ac:dyDescent="0.25">
      <c r="A50" s="3" t="str">
        <f>IFERROR(INDEX('Data SO'!$C$2:$C$1085,MATCH($J50,'Data SO'!$H$2:$H$1085,0)),INDEX('Data SCM'!$B$2:$B$698,MATCH($J50,'Data SCM'!$I$2:$I$698,0)))</f>
        <v>SUSU UHT FULL CREAM DIAMOND @ 12 X 1 L</v>
      </c>
      <c r="B50" s="3" t="str">
        <f>IFERROR(INDEX('Data SO'!$D$2:$D$1085,MATCH($J50,'Data SO'!$H$2:$H$1085,0)),K50)</f>
        <v>liter</v>
      </c>
      <c r="C50" s="9">
        <f>SUMIF('Data SO'!$H$2:$H$1085,$J50,'Data SO'!$F$2:$F$1085)</f>
        <v>0</v>
      </c>
      <c r="D50" s="9">
        <f>SUMIF('Data SCM'!$I$2:$I$698,$J50,'Data SCM'!$E$2:$E$698)*L50</f>
        <v>36</v>
      </c>
      <c r="E50" s="9">
        <f t="shared" si="0"/>
        <v>36</v>
      </c>
      <c r="F50" s="4">
        <f>SUMIF('Data SO'!$H$2:$H$1085,$J50,'Data SO'!$G$2:$G$1085)</f>
        <v>0</v>
      </c>
      <c r="G50" s="4">
        <f>SUMIF('Data SCM'!$I$2:$I$698,$J50,'Data SCM'!$H$2:$H$698)</f>
        <v>728299.60560000001</v>
      </c>
      <c r="H50" s="4">
        <f t="shared" si="1"/>
        <v>728299.60560000001</v>
      </c>
      <c r="I50" s="3" t="str">
        <f>IF(COUNTIF('Data SCM'!$I$2:$I$698,$J50)=0,"Hanya di SO",IF(COUNTIF('Data SO'!$H$2:$H$1085,$J50)=0,"Hanya di SCM",IF(AND(ABS(E50)&lt;0.01,ABS(H50)&lt;1),"Sama",IF(ABS(E50)&lt;0.01,"Selisih nominal",IF(ABS(H50)&lt;1,"Selisih qty","Selisih qty &amp; nominal")))))</f>
        <v>Selisih qty &amp; nominal</v>
      </c>
      <c r="J50" t="s">
        <v>74</v>
      </c>
      <c r="K50" t="str">
        <f>IFERROR(INDEX('Data SCM'!$D$2:$D$698,MATCH($J50,'Data SCM'!$I$2:$I$698,0)),"")</f>
        <v>LTR</v>
      </c>
      <c r="L50">
        <f t="shared" si="2"/>
        <v>1</v>
      </c>
      <c r="M50" t="s">
        <v>3440</v>
      </c>
    </row>
    <row r="51" spans="1:13" x14ac:dyDescent="0.25">
      <c r="A51" s="3" t="str">
        <f>IFERROR(INDEX('Data SO'!$C$2:$C$1085,MATCH($J51,'Data SO'!$H$2:$H$1085,0)),INDEX('Data SCM'!$B$2:$B$698,MATCH($J51,'Data SCM'!$I$2:$I$698,0)))</f>
        <v>Topper Ultah Dinosaurus @12set</v>
      </c>
      <c r="B51" s="3" t="str">
        <f>IFERROR(INDEX('Data SO'!$D$2:$D$1085,MATCH($J51,'Data SO'!$H$2:$H$1085,0)),K51)</f>
        <v>pcs</v>
      </c>
      <c r="C51" s="9">
        <f>SUMIF('Data SO'!$H$2:$H$1085,$J51,'Data SO'!$F$2:$F$1085)</f>
        <v>204</v>
      </c>
      <c r="D51" s="9">
        <f>SUMIF('Data SCM'!$I$2:$I$698,$J51,'Data SCM'!$E$2:$E$698)*L51</f>
        <v>0</v>
      </c>
      <c r="E51" s="9">
        <f t="shared" si="0"/>
        <v>-204</v>
      </c>
      <c r="F51" s="4">
        <f>SUMIF('Data SO'!$H$2:$H$1085,$J51,'Data SO'!$G$2:$G$1085)</f>
        <v>714000</v>
      </c>
      <c r="G51" s="4">
        <f>SUMIF('Data SCM'!$I$2:$I$698,$J51,'Data SCM'!$H$2:$H$698)</f>
        <v>0</v>
      </c>
      <c r="H51" s="4">
        <f t="shared" si="1"/>
        <v>-714000</v>
      </c>
      <c r="I51" s="3" t="str">
        <f>IF(COUNTIF('Data SCM'!$I$2:$I$698,$J51)=0,"Hanya di SO",IF(COUNTIF('Data SO'!$H$2:$H$1085,$J51)=0,"Hanya di SCM",IF(AND(ABS(E51)&lt;0.01,ABS(H51)&lt;1),"Sama",IF(ABS(E51)&lt;0.01,"Selisih nominal",IF(ABS(H51)&lt;1,"Selisih qty","Selisih qty &amp; nominal")))))</f>
        <v>Hanya di SO</v>
      </c>
      <c r="J51" t="s">
        <v>75</v>
      </c>
      <c r="K51" t="str">
        <f>IFERROR(INDEX('Data SCM'!$D$2:$D$698,MATCH($J51,'Data SCM'!$I$2:$I$698,0)),"")</f>
        <v/>
      </c>
      <c r="L51">
        <f t="shared" si="2"/>
        <v>1</v>
      </c>
      <c r="M51" t="s">
        <v>3454</v>
      </c>
    </row>
    <row r="52" spans="1:13" x14ac:dyDescent="0.25">
      <c r="A52" s="3" t="str">
        <f>IFERROR(INDEX('Data SO'!$C$2:$C$1085,MATCH($J52,'Data SO'!$H$2:$H$1085,0)),INDEX('Data SCM'!$B$2:$B$698,MATCH($J52,'Data SCM'!$I$2:$I$698,0)))</f>
        <v>Topper Ultah Thomas @12 set</v>
      </c>
      <c r="B52" s="3" t="str">
        <f>IFERROR(INDEX('Data SO'!$D$2:$D$1085,MATCH($J52,'Data SO'!$H$2:$H$1085,0)),K52)</f>
        <v>Pcs</v>
      </c>
      <c r="C52" s="9">
        <f>SUMIF('Data SO'!$H$2:$H$1085,$J52,'Data SO'!$F$2:$F$1085)</f>
        <v>204</v>
      </c>
      <c r="D52" s="9">
        <f>SUMIF('Data SCM'!$I$2:$I$698,$J52,'Data SCM'!$E$2:$E$698)*L52</f>
        <v>0</v>
      </c>
      <c r="E52" s="9">
        <f t="shared" si="0"/>
        <v>-204</v>
      </c>
      <c r="F52" s="4">
        <f>SUMIF('Data SO'!$H$2:$H$1085,$J52,'Data SO'!$G$2:$G$1085)</f>
        <v>714000</v>
      </c>
      <c r="G52" s="4">
        <f>SUMIF('Data SCM'!$I$2:$I$698,$J52,'Data SCM'!$H$2:$H$698)</f>
        <v>0</v>
      </c>
      <c r="H52" s="4">
        <f t="shared" si="1"/>
        <v>-714000</v>
      </c>
      <c r="I52" s="3" t="str">
        <f>IF(COUNTIF('Data SCM'!$I$2:$I$698,$J52)=0,"Hanya di SO",IF(COUNTIF('Data SO'!$H$2:$H$1085,$J52)=0,"Hanya di SCM",IF(AND(ABS(E52)&lt;0.01,ABS(H52)&lt;1),"Sama",IF(ABS(E52)&lt;0.01,"Selisih nominal",IF(ABS(H52)&lt;1,"Selisih qty","Selisih qty &amp; nominal")))))</f>
        <v>Hanya di SO</v>
      </c>
      <c r="J52" t="s">
        <v>76</v>
      </c>
      <c r="K52" t="str">
        <f>IFERROR(INDEX('Data SCM'!$D$2:$D$698,MATCH($J52,'Data SCM'!$I$2:$I$698,0)),"")</f>
        <v/>
      </c>
      <c r="L52">
        <f t="shared" si="2"/>
        <v>1</v>
      </c>
      <c r="M52" t="s">
        <v>3454</v>
      </c>
    </row>
    <row r="53" spans="1:13" x14ac:dyDescent="0.25">
      <c r="A53" s="3" t="str">
        <f>IFERROR(INDEX('Data SO'!$C$2:$C$1085,MATCH($J53,'Data SO'!$H$2:$H$1085,0)),INDEX('Data SCM'!$B$2:$B$698,MATCH($J53,'Data SCM'!$I$2:$I$698,0)))</f>
        <v>MUTIARA SILVER 14 MM</v>
      </c>
      <c r="B53" s="3" t="str">
        <f>IFERROR(INDEX('Data SO'!$D$2:$D$1085,MATCH($J53,'Data SO'!$H$2:$H$1085,0)),K53)</f>
        <v>Kg</v>
      </c>
      <c r="C53" s="9">
        <f>SUMIF('Data SO'!$H$2:$H$1085,$J53,'Data SO'!$F$2:$F$1085)</f>
        <v>1</v>
      </c>
      <c r="D53" s="9">
        <f>SUMIF('Data SCM'!$I$2:$I$698,$J53,'Data SCM'!$E$2:$E$698)*L53</f>
        <v>0</v>
      </c>
      <c r="E53" s="9">
        <f t="shared" si="0"/>
        <v>-1</v>
      </c>
      <c r="F53" s="4">
        <f>SUMIF('Data SO'!$H$2:$H$1085,$J53,'Data SO'!$G$2:$G$1085)</f>
        <v>695500</v>
      </c>
      <c r="G53" s="4">
        <f>SUMIF('Data SCM'!$I$2:$I$698,$J53,'Data SCM'!$H$2:$H$698)</f>
        <v>0</v>
      </c>
      <c r="H53" s="4">
        <f t="shared" si="1"/>
        <v>-695500</v>
      </c>
      <c r="I53" s="3" t="str">
        <f>IF(COUNTIF('Data SCM'!$I$2:$I$698,$J53)=0,"Hanya di SO",IF(COUNTIF('Data SO'!$H$2:$H$1085,$J53)=0,"Hanya di SCM",IF(AND(ABS(E53)&lt;0.01,ABS(H53)&lt;1),"Sama",IF(ABS(E53)&lt;0.01,"Selisih nominal",IF(ABS(H53)&lt;1,"Selisih qty","Selisih qty &amp; nominal")))))</f>
        <v>Selisih qty &amp; nominal</v>
      </c>
      <c r="J53" t="s">
        <v>77</v>
      </c>
      <c r="K53" t="str">
        <f>IFERROR(INDEX('Data SCM'!$D$2:$D$698,MATCH($J53,'Data SCM'!$I$2:$I$698,0)),"")</f>
        <v>KG</v>
      </c>
      <c r="L53">
        <f t="shared" si="2"/>
        <v>1</v>
      </c>
      <c r="M53" t="s">
        <v>3408</v>
      </c>
    </row>
    <row r="54" spans="1:13" x14ac:dyDescent="0.25">
      <c r="A54" s="3" t="str">
        <f>IFERROR(INDEX('Data SO'!$C$2:$C$1085,MATCH($J54,'Data SO'!$H$2:$H$1085,0)),INDEX('Data SCM'!$B$2:$B$698,MATCH($J54,'Data SCM'!$I$2:$I$698,0)))</f>
        <v>Baking Powder Xenada @1X25Kg</v>
      </c>
      <c r="B54" s="3" t="str">
        <f>IFERROR(INDEX('Data SO'!$D$2:$D$1085,MATCH($J54,'Data SO'!$H$2:$H$1085,0)),K54)</f>
        <v>kg</v>
      </c>
      <c r="C54" s="9">
        <f>SUMIF('Data SO'!$H$2:$H$1085,$J54,'Data SO'!$F$2:$F$1085)</f>
        <v>26</v>
      </c>
      <c r="D54" s="9">
        <f>SUMIF('Data SCM'!$I$2:$I$698,$J54,'Data SCM'!$E$2:$E$698)*L54</f>
        <v>25</v>
      </c>
      <c r="E54" s="9">
        <f t="shared" si="0"/>
        <v>-1</v>
      </c>
      <c r="F54" s="4">
        <f>SUMIF('Data SO'!$H$2:$H$1085,$J54,'Data SO'!$G$2:$G$1085)</f>
        <v>1318200</v>
      </c>
      <c r="G54" s="4">
        <f>SUMIF('Data SCM'!$I$2:$I$698,$J54,'Data SCM'!$H$2:$H$698)</f>
        <v>659100</v>
      </c>
      <c r="H54" s="4">
        <f t="shared" si="1"/>
        <v>-659100</v>
      </c>
      <c r="I54" s="3" t="str">
        <f>IF(COUNTIF('Data SCM'!$I$2:$I$698,$J54)=0,"Hanya di SO",IF(COUNTIF('Data SO'!$H$2:$H$1085,$J54)=0,"Hanya di SCM",IF(AND(ABS(E54)&lt;0.01,ABS(H54)&lt;1),"Sama",IF(ABS(E54)&lt;0.01,"Selisih nominal",IF(ABS(H54)&lt;1,"Selisih qty","Selisih qty &amp; nominal")))))</f>
        <v>Selisih qty &amp; nominal</v>
      </c>
      <c r="J54" t="s">
        <v>78</v>
      </c>
      <c r="K54" t="str">
        <f>IFERROR(INDEX('Data SCM'!$D$2:$D$698,MATCH($J54,'Data SCM'!$I$2:$I$698,0)),"")</f>
        <v>KG</v>
      </c>
      <c r="L54">
        <f t="shared" si="2"/>
        <v>1</v>
      </c>
      <c r="M54" t="s">
        <v>3471</v>
      </c>
    </row>
    <row r="55" spans="1:13" x14ac:dyDescent="0.25">
      <c r="A55" s="3" t="str">
        <f>IFERROR(INDEX('Data SO'!$C$2:$C$1085,MATCH($J55,'Data SO'!$H$2:$H$1085,0)),INDEX('Data SCM'!$B$2:$B$698,MATCH($J55,'Data SCM'!$I$2:$I$698,0)))</f>
        <v>Topper Ultah Hello kitty @12 set</v>
      </c>
      <c r="B55" s="3" t="str">
        <f>IFERROR(INDEX('Data SO'!$D$2:$D$1085,MATCH($J55,'Data SO'!$H$2:$H$1085,0)),K55)</f>
        <v>Pcs</v>
      </c>
      <c r="C55" s="9">
        <f>SUMIF('Data SO'!$H$2:$H$1085,$J55,'Data SO'!$F$2:$F$1085)</f>
        <v>180</v>
      </c>
      <c r="D55" s="9">
        <f>SUMIF('Data SCM'!$I$2:$I$698,$J55,'Data SCM'!$E$2:$E$698)*L55</f>
        <v>0</v>
      </c>
      <c r="E55" s="9">
        <f t="shared" si="0"/>
        <v>-180</v>
      </c>
      <c r="F55" s="4">
        <f>SUMIF('Data SO'!$H$2:$H$1085,$J55,'Data SO'!$G$2:$G$1085)</f>
        <v>630000</v>
      </c>
      <c r="G55" s="4">
        <f>SUMIF('Data SCM'!$I$2:$I$698,$J55,'Data SCM'!$H$2:$H$698)</f>
        <v>0</v>
      </c>
      <c r="H55" s="4">
        <f t="shared" si="1"/>
        <v>-630000</v>
      </c>
      <c r="I55" s="3" t="str">
        <f>IF(COUNTIF('Data SCM'!$I$2:$I$698,$J55)=0,"Hanya di SO",IF(COUNTIF('Data SO'!$H$2:$H$1085,$J55)=0,"Hanya di SCM",IF(AND(ABS(E55)&lt;0.01,ABS(H55)&lt;1),"Sama",IF(ABS(E55)&lt;0.01,"Selisih nominal",IF(ABS(H55)&lt;1,"Selisih qty","Selisih qty &amp; nominal")))))</f>
        <v>Hanya di SO</v>
      </c>
      <c r="J55" t="s">
        <v>79</v>
      </c>
      <c r="K55" t="str">
        <f>IFERROR(INDEX('Data SCM'!$D$2:$D$698,MATCH($J55,'Data SCM'!$I$2:$I$698,0)),"")</f>
        <v/>
      </c>
      <c r="L55">
        <f t="shared" si="2"/>
        <v>1</v>
      </c>
      <c r="M55" t="s">
        <v>3455</v>
      </c>
    </row>
    <row r="56" spans="1:13" x14ac:dyDescent="0.25">
      <c r="A56" s="3" t="str">
        <f>IFERROR(INDEX('Data SO'!$C$2:$C$1085,MATCH($J56,'Data SO'!$H$2:$H$1085,0)),INDEX('Data SCM'!$B$2:$B$698,MATCH($J56,'Data SCM'!$I$2:$I$698,0)))</f>
        <v>Topper kertas @12 set</v>
      </c>
      <c r="B56" s="3" t="str">
        <f>IFERROR(INDEX('Data SO'!$D$2:$D$1085,MATCH($J56,'Data SO'!$H$2:$H$1085,0)),K56)</f>
        <v>Pcs</v>
      </c>
      <c r="C56" s="9">
        <f>SUMIF('Data SO'!$H$2:$H$1085,$J56,'Data SO'!$F$2:$F$1085)</f>
        <v>180</v>
      </c>
      <c r="D56" s="9">
        <f>SUMIF('Data SCM'!$I$2:$I$698,$J56,'Data SCM'!$E$2:$E$698)*L56</f>
        <v>0</v>
      </c>
      <c r="E56" s="9">
        <f t="shared" si="0"/>
        <v>-180</v>
      </c>
      <c r="F56" s="4">
        <f>SUMIF('Data SO'!$H$2:$H$1085,$J56,'Data SO'!$G$2:$G$1085)</f>
        <v>630000</v>
      </c>
      <c r="G56" s="4">
        <f>SUMIF('Data SCM'!$I$2:$I$698,$J56,'Data SCM'!$H$2:$H$698)</f>
        <v>0</v>
      </c>
      <c r="H56" s="4">
        <f t="shared" si="1"/>
        <v>-630000</v>
      </c>
      <c r="I56" s="3" t="str">
        <f>IF(COUNTIF('Data SCM'!$I$2:$I$698,$J56)=0,"Hanya di SO",IF(COUNTIF('Data SO'!$H$2:$H$1085,$J56)=0,"Hanya di SCM",IF(AND(ABS(E56)&lt;0.01,ABS(H56)&lt;1),"Sama",IF(ABS(E56)&lt;0.01,"Selisih nominal",IF(ABS(H56)&lt;1,"Selisih qty","Selisih qty &amp; nominal")))))</f>
        <v>Selisih qty &amp; nominal</v>
      </c>
      <c r="J56" t="s">
        <v>80</v>
      </c>
      <c r="K56" t="str">
        <f>IFERROR(INDEX('Data SCM'!$D$2:$D$698,MATCH($J56,'Data SCM'!$I$2:$I$698,0)),"")</f>
        <v>PCS</v>
      </c>
      <c r="L56">
        <f t="shared" si="2"/>
        <v>1</v>
      </c>
      <c r="M56" t="s">
        <v>3455</v>
      </c>
    </row>
    <row r="57" spans="1:13" x14ac:dyDescent="0.25">
      <c r="A57" s="3" t="str">
        <f>IFERROR(INDEX('Data SO'!$C$2:$C$1085,MATCH($J57,'Data SO'!$H$2:$H$1085,0)),INDEX('Data SCM'!$B$2:$B$698,MATCH($J57,'Data SCM'!$I$2:$I$698,0)))</f>
        <v>Topper Ultah Batman @12set</v>
      </c>
      <c r="B57" s="3" t="str">
        <f>IFERROR(INDEX('Data SO'!$D$2:$D$1085,MATCH($J57,'Data SO'!$H$2:$H$1085,0)),K57)</f>
        <v>Pcs</v>
      </c>
      <c r="C57" s="9">
        <f>SUMIF('Data SO'!$H$2:$H$1085,$J57,'Data SO'!$F$2:$F$1085)</f>
        <v>177</v>
      </c>
      <c r="D57" s="9">
        <f>SUMIF('Data SCM'!$I$2:$I$698,$J57,'Data SCM'!$E$2:$E$698)*L57</f>
        <v>0</v>
      </c>
      <c r="E57" s="9">
        <f t="shared" si="0"/>
        <v>-177</v>
      </c>
      <c r="F57" s="4">
        <f>SUMIF('Data SO'!$H$2:$H$1085,$J57,'Data SO'!$G$2:$G$1085)</f>
        <v>619500</v>
      </c>
      <c r="G57" s="4">
        <f>SUMIF('Data SCM'!$I$2:$I$698,$J57,'Data SCM'!$H$2:$H$698)</f>
        <v>0</v>
      </c>
      <c r="H57" s="4">
        <f t="shared" si="1"/>
        <v>-619500</v>
      </c>
      <c r="I57" s="3" t="str">
        <f>IF(COUNTIF('Data SCM'!$I$2:$I$698,$J57)=0,"Hanya di SO",IF(COUNTIF('Data SO'!$H$2:$H$1085,$J57)=0,"Hanya di SCM",IF(AND(ABS(E57)&lt;0.01,ABS(H57)&lt;1),"Sama",IF(ABS(E57)&lt;0.01,"Selisih nominal",IF(ABS(H57)&lt;1,"Selisih qty","Selisih qty &amp; nominal")))))</f>
        <v>Hanya di SO</v>
      </c>
      <c r="J57" t="s">
        <v>81</v>
      </c>
      <c r="K57" t="str">
        <f>IFERROR(INDEX('Data SCM'!$D$2:$D$698,MATCH($J57,'Data SCM'!$I$2:$I$698,0)),"")</f>
        <v/>
      </c>
      <c r="L57">
        <f t="shared" si="2"/>
        <v>1</v>
      </c>
      <c r="M57" t="s">
        <v>3456</v>
      </c>
    </row>
    <row r="58" spans="1:13" x14ac:dyDescent="0.25">
      <c r="A58" s="3" t="str">
        <f>IFERROR(INDEX('Data SO'!$C$2:$C$1085,MATCH($J58,'Data SO'!$H$2:$H$1085,0)),INDEX('Data SCM'!$B$2:$B$698,MATCH($J58,'Data SCM'!$I$2:$I$698,0)))</f>
        <v>Dus Mochi Durian Spesial</v>
      </c>
      <c r="B58" s="3" t="str">
        <f>IFERROR(INDEX('Data SO'!$D$2:$D$1085,MATCH($J58,'Data SO'!$H$2:$H$1085,0)),K58)</f>
        <v>Pcs</v>
      </c>
      <c r="C58" s="9">
        <f>SUMIF('Data SO'!$H$2:$H$1085,$J58,'Data SO'!$F$2:$F$1085)</f>
        <v>488</v>
      </c>
      <c r="D58" s="9">
        <f>SUMIF('Data SCM'!$I$2:$I$698,$J58,'Data SCM'!$E$2:$E$698)*L58</f>
        <v>0</v>
      </c>
      <c r="E58" s="9">
        <f t="shared" si="0"/>
        <v>-488</v>
      </c>
      <c r="F58" s="4">
        <f>SUMIF('Data SO'!$H$2:$H$1085,$J58,'Data SO'!$G$2:$G$1085)</f>
        <v>597800</v>
      </c>
      <c r="G58" s="4">
        <f>SUMIF('Data SCM'!$I$2:$I$698,$J58,'Data SCM'!$H$2:$H$698)</f>
        <v>0</v>
      </c>
      <c r="H58" s="4">
        <f t="shared" si="1"/>
        <v>-597800</v>
      </c>
      <c r="I58" s="3" t="str">
        <f>IF(COUNTIF('Data SCM'!$I$2:$I$698,$J58)=0,"Hanya di SO",IF(COUNTIF('Data SO'!$H$2:$H$1085,$J58)=0,"Hanya di SCM",IF(AND(ABS(E58)&lt;0.01,ABS(H58)&lt;1),"Sama",IF(ABS(E58)&lt;0.01,"Selisih nominal",IF(ABS(H58)&lt;1,"Selisih qty","Selisih qty &amp; nominal")))))</f>
        <v>Selisih qty &amp; nominal</v>
      </c>
      <c r="J58" t="s">
        <v>82</v>
      </c>
      <c r="K58" t="str">
        <f>IFERROR(INDEX('Data SCM'!$D$2:$D$698,MATCH($J58,'Data SCM'!$I$2:$I$698,0)),"")</f>
        <v>PCS</v>
      </c>
      <c r="L58">
        <f t="shared" si="2"/>
        <v>1</v>
      </c>
      <c r="M58" t="s">
        <v>3472</v>
      </c>
    </row>
    <row r="59" spans="1:13" x14ac:dyDescent="0.25">
      <c r="A59" s="3" t="str">
        <f>IFERROR(INDEX('Data SO'!$C$2:$C$1085,MATCH($J59,'Data SO'!$H$2:$H$1085,0)),INDEX('Data SCM'!$B$2:$B$698,MATCH($J59,'Data SCM'!$I$2:$I$698,0)))</f>
        <v>Paper Case 3017 Bulat @200</v>
      </c>
      <c r="B59" s="3" t="str">
        <f>IFERROR(INDEX('Data SO'!$D$2:$D$1085,MATCH($J59,'Data SO'!$H$2:$H$1085,0)),K59)</f>
        <v>Pcs</v>
      </c>
      <c r="C59" s="9">
        <f>SUMIF('Data SO'!$H$2:$H$1085,$J59,'Data SO'!$F$2:$F$1085)</f>
        <v>0</v>
      </c>
      <c r="D59" s="9">
        <f>SUMIF('Data SCM'!$I$2:$I$698,$J59,'Data SCM'!$E$2:$E$698)*L59</f>
        <v>2200</v>
      </c>
      <c r="E59" s="9">
        <f t="shared" si="0"/>
        <v>2200</v>
      </c>
      <c r="F59" s="4">
        <f>SUMIF('Data SO'!$H$2:$H$1085,$J59,'Data SO'!$G$2:$G$1085)</f>
        <v>0</v>
      </c>
      <c r="G59" s="4">
        <f>SUMIF('Data SCM'!$I$2:$I$698,$J59,'Data SCM'!$H$2:$H$698)</f>
        <v>594000</v>
      </c>
      <c r="H59" s="4">
        <f t="shared" si="1"/>
        <v>594000</v>
      </c>
      <c r="I59" s="3" t="str">
        <f>IF(COUNTIF('Data SCM'!$I$2:$I$698,$J59)=0,"Hanya di SO",IF(COUNTIF('Data SO'!$H$2:$H$1085,$J59)=0,"Hanya di SCM",IF(AND(ABS(E59)&lt;0.01,ABS(H59)&lt;1),"Sama",IF(ABS(E59)&lt;0.01,"Selisih nominal",IF(ABS(H59)&lt;1,"Selisih qty","Selisih qty &amp; nominal")))))</f>
        <v>Selisih qty &amp; nominal</v>
      </c>
      <c r="J59" t="s">
        <v>83</v>
      </c>
      <c r="K59" t="str">
        <f>IFERROR(INDEX('Data SCM'!$D$2:$D$698,MATCH($J59,'Data SCM'!$I$2:$I$698,0)),"")</f>
        <v>PCS</v>
      </c>
      <c r="L59">
        <f t="shared" si="2"/>
        <v>1</v>
      </c>
      <c r="M59" t="s">
        <v>3440</v>
      </c>
    </row>
    <row r="60" spans="1:13" x14ac:dyDescent="0.25">
      <c r="A60" s="3" t="str">
        <f>IFERROR(INDEX('Data SO'!$C$2:$C$1085,MATCH($J60,'Data SO'!$H$2:$H$1085,0)),INDEX('Data SCM'!$B$2:$B$698,MATCH($J60,'Data SCM'!$I$2:$I$698,0)))</f>
        <v>MUTIARA SILVER 6 MM</v>
      </c>
      <c r="B60" s="3" t="str">
        <f>IFERROR(INDEX('Data SO'!$D$2:$D$1085,MATCH($J60,'Data SO'!$H$2:$H$1085,0)),K60)</f>
        <v>Kg</v>
      </c>
      <c r="C60" s="9">
        <f>SUMIF('Data SO'!$H$2:$H$1085,$J60,'Data SO'!$F$2:$F$1085)</f>
        <v>1</v>
      </c>
      <c r="D60" s="9">
        <f>SUMIF('Data SCM'!$I$2:$I$698,$J60,'Data SCM'!$E$2:$E$698)*L60</f>
        <v>0</v>
      </c>
      <c r="E60" s="9">
        <f t="shared" si="0"/>
        <v>-1</v>
      </c>
      <c r="F60" s="4">
        <f>SUMIF('Data SO'!$H$2:$H$1085,$J60,'Data SO'!$G$2:$G$1085)</f>
        <v>588000</v>
      </c>
      <c r="G60" s="4">
        <f>SUMIF('Data SCM'!$I$2:$I$698,$J60,'Data SCM'!$H$2:$H$698)</f>
        <v>0</v>
      </c>
      <c r="H60" s="4">
        <f t="shared" si="1"/>
        <v>-588000</v>
      </c>
      <c r="I60" s="3" t="str">
        <f>IF(COUNTIF('Data SCM'!$I$2:$I$698,$J60)=0,"Hanya di SO",IF(COUNTIF('Data SO'!$H$2:$H$1085,$J60)=0,"Hanya di SCM",IF(AND(ABS(E60)&lt;0.01,ABS(H60)&lt;1),"Sama",IF(ABS(E60)&lt;0.01,"Selisih nominal",IF(ABS(H60)&lt;1,"Selisih qty","Selisih qty &amp; nominal")))))</f>
        <v>Selisih qty &amp; nominal</v>
      </c>
      <c r="J60" t="s">
        <v>84</v>
      </c>
      <c r="K60" t="str">
        <f>IFERROR(INDEX('Data SCM'!$D$2:$D$698,MATCH($J60,'Data SCM'!$I$2:$I$698,0)),"")</f>
        <v>KG</v>
      </c>
      <c r="L60">
        <f t="shared" si="2"/>
        <v>1</v>
      </c>
      <c r="M60" t="s">
        <v>3408</v>
      </c>
    </row>
    <row r="61" spans="1:13" x14ac:dyDescent="0.25">
      <c r="A61" s="3" t="str">
        <f>IFERROR(INDEX('Data SO'!$C$2:$C$1085,MATCH($J61,'Data SO'!$H$2:$H$1085,0)),INDEX('Data SCM'!$B$2:$B$698,MATCH($J61,'Data SCM'!$I$2:$I$698,0)))</f>
        <v>TEPUNG BERAS PUTIH  @20X500 GR</v>
      </c>
      <c r="B61" s="3" t="str">
        <f>IFERROR(INDEX('Data SO'!$D$2:$D$1085,MATCH($J61,'Data SO'!$H$2:$H$1085,0)),K61)</f>
        <v>kg</v>
      </c>
      <c r="C61" s="9">
        <f>SUMIF('Data SO'!$H$2:$H$1085,$J61,'Data SO'!$F$2:$F$1085)</f>
        <v>40</v>
      </c>
      <c r="D61" s="9">
        <f>SUMIF('Data SCM'!$I$2:$I$698,$J61,'Data SCM'!$E$2:$E$698)*L61</f>
        <v>0</v>
      </c>
      <c r="E61" s="9">
        <f t="shared" si="0"/>
        <v>-40</v>
      </c>
      <c r="F61" s="4">
        <f>SUMIF('Data SO'!$H$2:$H$1085,$J61,'Data SO'!$G$2:$G$1085)</f>
        <v>564000</v>
      </c>
      <c r="G61" s="4">
        <f>SUMIF('Data SCM'!$I$2:$I$698,$J61,'Data SCM'!$H$2:$H$698)</f>
        <v>0</v>
      </c>
      <c r="H61" s="4">
        <f t="shared" si="1"/>
        <v>-564000</v>
      </c>
      <c r="I61" s="3" t="str">
        <f>IF(COUNTIF('Data SCM'!$I$2:$I$698,$J61)=0,"Hanya di SO",IF(COUNTIF('Data SO'!$H$2:$H$1085,$J61)=0,"Hanya di SCM",IF(AND(ABS(E61)&lt;0.01,ABS(H61)&lt;1),"Sama",IF(ABS(E61)&lt;0.01,"Selisih nominal",IF(ABS(H61)&lt;1,"Selisih qty","Selisih qty &amp; nominal")))))</f>
        <v>Hanya di SO</v>
      </c>
      <c r="J61" t="s">
        <v>85</v>
      </c>
      <c r="K61" t="str">
        <f>IFERROR(INDEX('Data SCM'!$D$2:$D$698,MATCH($J61,'Data SCM'!$I$2:$I$698,0)),"")</f>
        <v/>
      </c>
      <c r="L61">
        <f t="shared" si="2"/>
        <v>1</v>
      </c>
      <c r="M61" t="s">
        <v>3457</v>
      </c>
    </row>
    <row r="62" spans="1:13" x14ac:dyDescent="0.25">
      <c r="A62" s="3" t="str">
        <f>IFERROR(INDEX('Data SO'!$C$2:$C$1085,MATCH($J62,'Data SO'!$H$2:$H$1085,0)),INDEX('Data SCM'!$B$2:$B$698,MATCH($J62,'Data SCM'!$I$2:$I$698,0)))</f>
        <v>PATUNG SHAUWN THE SHEEP</v>
      </c>
      <c r="B62" s="3" t="str">
        <f>IFERROR(INDEX('Data SO'!$D$2:$D$1085,MATCH($J62,'Data SO'!$H$2:$H$1085,0)),K62)</f>
        <v>Pcs</v>
      </c>
      <c r="C62" s="9">
        <f>SUMIF('Data SO'!$H$2:$H$1085,$J62,'Data SO'!$F$2:$F$1085)</f>
        <v>91</v>
      </c>
      <c r="D62" s="9">
        <f>SUMIF('Data SCM'!$I$2:$I$698,$J62,'Data SCM'!$E$2:$E$698)*L62</f>
        <v>0</v>
      </c>
      <c r="E62" s="9">
        <f t="shared" si="0"/>
        <v>-91</v>
      </c>
      <c r="F62" s="4">
        <f>SUMIF('Data SO'!$H$2:$H$1085,$J62,'Data SO'!$G$2:$G$1085)</f>
        <v>546000</v>
      </c>
      <c r="G62" s="4">
        <f>SUMIF('Data SCM'!$I$2:$I$698,$J62,'Data SCM'!$H$2:$H$698)</f>
        <v>0</v>
      </c>
      <c r="H62" s="4">
        <f t="shared" si="1"/>
        <v>-546000</v>
      </c>
      <c r="I62" s="3" t="str">
        <f>IF(COUNTIF('Data SCM'!$I$2:$I$698,$J62)=0,"Hanya di SO",IF(COUNTIF('Data SO'!$H$2:$H$1085,$J62)=0,"Hanya di SCM",IF(AND(ABS(E62)&lt;0.01,ABS(H62)&lt;1),"Sama",IF(ABS(E62)&lt;0.01,"Selisih nominal",IF(ABS(H62)&lt;1,"Selisih qty","Selisih qty &amp; nominal")))))</f>
        <v>Hanya di SO</v>
      </c>
      <c r="J62" t="s">
        <v>86</v>
      </c>
      <c r="K62" t="str">
        <f>IFERROR(INDEX('Data SCM'!$D$2:$D$698,MATCH($J62,'Data SCM'!$I$2:$I$698,0)),"")</f>
        <v/>
      </c>
      <c r="L62">
        <f t="shared" si="2"/>
        <v>1</v>
      </c>
      <c r="M62" t="s">
        <v>3458</v>
      </c>
    </row>
    <row r="63" spans="1:13" x14ac:dyDescent="0.25">
      <c r="A63" s="3" t="str">
        <f>IFERROR(INDEX('Data SO'!$C$2:$C$1085,MATCH($J63,'Data SO'!$H$2:$H$1085,0)),INDEX('Data SCM'!$B$2:$B$698,MATCH($J63,'Data SCM'!$I$2:$I$698,0)))</f>
        <v>Topper Ultah Boboboi @12 set</v>
      </c>
      <c r="B63" s="3" t="str">
        <f>IFERROR(INDEX('Data SO'!$D$2:$D$1085,MATCH($J63,'Data SO'!$H$2:$H$1085,0)),K63)</f>
        <v>Pcs</v>
      </c>
      <c r="C63" s="9">
        <f>SUMIF('Data SO'!$H$2:$H$1085,$J63,'Data SO'!$F$2:$F$1085)</f>
        <v>156</v>
      </c>
      <c r="D63" s="9">
        <f>SUMIF('Data SCM'!$I$2:$I$698,$J63,'Data SCM'!$E$2:$E$698)*L63</f>
        <v>0</v>
      </c>
      <c r="E63" s="9">
        <f t="shared" si="0"/>
        <v>-156</v>
      </c>
      <c r="F63" s="4">
        <f>SUMIF('Data SO'!$H$2:$H$1085,$J63,'Data SO'!$G$2:$G$1085)</f>
        <v>546000</v>
      </c>
      <c r="G63" s="4">
        <f>SUMIF('Data SCM'!$I$2:$I$698,$J63,'Data SCM'!$H$2:$H$698)</f>
        <v>0</v>
      </c>
      <c r="H63" s="4">
        <f t="shared" si="1"/>
        <v>-546000</v>
      </c>
      <c r="I63" s="3" t="str">
        <f>IF(COUNTIF('Data SCM'!$I$2:$I$698,$J63)=0,"Hanya di SO",IF(COUNTIF('Data SO'!$H$2:$H$1085,$J63)=0,"Hanya di SCM",IF(AND(ABS(E63)&lt;0.01,ABS(H63)&lt;1),"Sama",IF(ABS(E63)&lt;0.01,"Selisih nominal",IF(ABS(H63)&lt;1,"Selisih qty","Selisih qty &amp; nominal")))))</f>
        <v>Hanya di SO</v>
      </c>
      <c r="J63" t="s">
        <v>87</v>
      </c>
      <c r="K63" t="str">
        <f>IFERROR(INDEX('Data SCM'!$D$2:$D$698,MATCH($J63,'Data SCM'!$I$2:$I$698,0)),"")</f>
        <v/>
      </c>
      <c r="L63">
        <f t="shared" si="2"/>
        <v>1</v>
      </c>
      <c r="M63" t="s">
        <v>3459</v>
      </c>
    </row>
    <row r="64" spans="1:13" x14ac:dyDescent="0.25">
      <c r="A64" s="3" t="str">
        <f>IFERROR(INDEX('Data SO'!$C$2:$C$1085,MATCH($J64,'Data SO'!$H$2:$H$1085,0)),INDEX('Data SCM'!$B$2:$B$698,MATCH($J64,'Data SCM'!$I$2:$I$698,0)))</f>
        <v>MUTIARA SILVER 8 MM</v>
      </c>
      <c r="B64" s="3" t="str">
        <f>IFERROR(INDEX('Data SO'!$D$2:$D$1085,MATCH($J64,'Data SO'!$H$2:$H$1085,0)),K64)</f>
        <v>Kg</v>
      </c>
      <c r="C64" s="9">
        <f>SUMIF('Data SO'!$H$2:$H$1085,$J64,'Data SO'!$F$2:$F$1085)</f>
        <v>1</v>
      </c>
      <c r="D64" s="9">
        <f>SUMIF('Data SCM'!$I$2:$I$698,$J64,'Data SCM'!$E$2:$E$698)*L64</f>
        <v>0</v>
      </c>
      <c r="E64" s="9">
        <f t="shared" si="0"/>
        <v>-1</v>
      </c>
      <c r="F64" s="4">
        <f>SUMIF('Data SO'!$H$2:$H$1085,$J64,'Data SO'!$G$2:$G$1085)</f>
        <v>545000</v>
      </c>
      <c r="G64" s="4">
        <f>SUMIF('Data SCM'!$I$2:$I$698,$J64,'Data SCM'!$H$2:$H$698)</f>
        <v>0</v>
      </c>
      <c r="H64" s="4">
        <f t="shared" si="1"/>
        <v>-545000</v>
      </c>
      <c r="I64" s="3" t="str">
        <f>IF(COUNTIF('Data SCM'!$I$2:$I$698,$J64)=0,"Hanya di SO",IF(COUNTIF('Data SO'!$H$2:$H$1085,$J64)=0,"Hanya di SCM",IF(AND(ABS(E64)&lt;0.01,ABS(H64)&lt;1),"Sama",IF(ABS(E64)&lt;0.01,"Selisih nominal",IF(ABS(H64)&lt;1,"Selisih qty","Selisih qty &amp; nominal")))))</f>
        <v>Selisih qty &amp; nominal</v>
      </c>
      <c r="J64" t="s">
        <v>88</v>
      </c>
      <c r="K64" t="str">
        <f>IFERROR(INDEX('Data SCM'!$D$2:$D$698,MATCH($J64,'Data SCM'!$I$2:$I$698,0)),"")</f>
        <v>KG</v>
      </c>
      <c r="L64">
        <f t="shared" si="2"/>
        <v>1</v>
      </c>
      <c r="M64" t="s">
        <v>3408</v>
      </c>
    </row>
    <row r="65" spans="1:13" x14ac:dyDescent="0.25">
      <c r="A65" s="3" t="str">
        <f>IFERROR(INDEX('Data SO'!$C$2:$C$1085,MATCH($J65,'Data SO'!$H$2:$H$1085,0)),INDEX('Data SCM'!$B$2:$B$698,MATCH($J65,'Data SCM'!$I$2:$I$698,0)))</f>
        <v>Foundan Bakel</v>
      </c>
      <c r="B65" s="3" t="str">
        <f>IFERROR(INDEX('Data SO'!$D$2:$D$1085,MATCH($J65,'Data SO'!$H$2:$H$1085,0)),K65)</f>
        <v>kg</v>
      </c>
      <c r="C65" s="9">
        <f>SUMIF('Data SO'!$H$2:$H$1085,$J65,'Data SO'!$F$2:$F$1085)</f>
        <v>42</v>
      </c>
      <c r="D65" s="9">
        <f>SUMIF('Data SCM'!$I$2:$I$698,$J65,'Data SCM'!$E$2:$E$698)*L65</f>
        <v>35</v>
      </c>
      <c r="E65" s="9">
        <f t="shared" si="0"/>
        <v>-7</v>
      </c>
      <c r="F65" s="4">
        <f>SUMIF('Data SO'!$H$2:$H$1085,$J65,'Data SO'!$G$2:$G$1085)</f>
        <v>3156840</v>
      </c>
      <c r="G65" s="4">
        <f>SUMIF('Data SCM'!$I$2:$I$698,$J65,'Data SCM'!$H$2:$H$698)</f>
        <v>2630699.9985000002</v>
      </c>
      <c r="H65" s="4">
        <f t="shared" si="1"/>
        <v>-526140.00149999978</v>
      </c>
      <c r="I65" s="3" t="str">
        <f>IF(COUNTIF('Data SCM'!$I$2:$I$698,$J65)=0,"Hanya di SO",IF(COUNTIF('Data SO'!$H$2:$H$1085,$J65)=0,"Hanya di SCM",IF(AND(ABS(E65)&lt;0.01,ABS(H65)&lt;1),"Sama",IF(ABS(E65)&lt;0.01,"Selisih nominal",IF(ABS(H65)&lt;1,"Selisih qty","Selisih qty &amp; nominal")))))</f>
        <v>Selisih qty &amp; nominal</v>
      </c>
      <c r="J65" t="s">
        <v>89</v>
      </c>
      <c r="K65" t="str">
        <f>IFERROR(INDEX('Data SCM'!$D$2:$D$698,MATCH($J65,'Data SCM'!$I$2:$I$698,0)),"")</f>
        <v>KG</v>
      </c>
      <c r="L65">
        <f t="shared" si="2"/>
        <v>1</v>
      </c>
      <c r="M65" t="s">
        <v>3407</v>
      </c>
    </row>
    <row r="66" spans="1:13" x14ac:dyDescent="0.25">
      <c r="A66" s="3" t="str">
        <f>IFERROR(INDEX('Data SO'!$C$2:$C$1085,MATCH($J66,'Data SO'!$H$2:$H$1085,0)),INDEX('Data SCM'!$B$2:$B$698,MATCH($J66,'Data SCM'!$I$2:$I$698,0)))</f>
        <v>Balon foil huruf A-Z @10 pack</v>
      </c>
      <c r="B66" s="3" t="str">
        <f>IFERROR(INDEX('Data SO'!$D$2:$D$1085,MATCH($J66,'Data SO'!$H$2:$H$1085,0)),K66)</f>
        <v>Pcs</v>
      </c>
      <c r="C66" s="9">
        <f>SUMIF('Data SO'!$H$2:$H$1085,$J66,'Data SO'!$F$2:$F$1085)</f>
        <v>260</v>
      </c>
      <c r="D66" s="9">
        <f>SUMIF('Data SCM'!$I$2:$I$698,$J66,'Data SCM'!$E$2:$E$698)*L66</f>
        <v>0</v>
      </c>
      <c r="E66" s="9">
        <f t="shared" ref="E66:E129" si="3">D66-C66</f>
        <v>-260</v>
      </c>
      <c r="F66" s="4">
        <f>SUMIF('Data SO'!$H$2:$H$1085,$J66,'Data SO'!$G$2:$G$1085)</f>
        <v>520000</v>
      </c>
      <c r="G66" s="4">
        <f>SUMIF('Data SCM'!$I$2:$I$698,$J66,'Data SCM'!$H$2:$H$698)</f>
        <v>0</v>
      </c>
      <c r="H66" s="4">
        <f t="shared" ref="H66:H129" si="4">G66-F66</f>
        <v>-520000</v>
      </c>
      <c r="I66" s="3" t="str">
        <f>IF(COUNTIF('Data SCM'!$I$2:$I$698,$J66)=0,"Hanya di SO",IF(COUNTIF('Data SO'!$H$2:$H$1085,$J66)=0,"Hanya di SCM",IF(AND(ABS(E66)&lt;0.01,ABS(H66)&lt;1),"Sama",IF(ABS(E66)&lt;0.01,"Selisih nominal",IF(ABS(H66)&lt;1,"Selisih qty","Selisih qty &amp; nominal")))))</f>
        <v>Selisih qty &amp; nominal</v>
      </c>
      <c r="J66" t="s">
        <v>90</v>
      </c>
      <c r="K66" t="str">
        <f>IFERROR(INDEX('Data SCM'!$D$2:$D$698,MATCH($J66,'Data SCM'!$I$2:$I$698,0)),"")</f>
        <v>PCS</v>
      </c>
      <c r="L66">
        <f t="shared" ref="L66:L129" si="5">IF(OR(AND(K66="GR",LOWER(B66)="kg"),AND(K66="ML",LOWER(B66)="liter")),0.001,1)</f>
        <v>1</v>
      </c>
      <c r="M66" t="s">
        <v>3460</v>
      </c>
    </row>
    <row r="67" spans="1:13" x14ac:dyDescent="0.25">
      <c r="A67" s="3" t="str">
        <f>IFERROR(INDEX('Data SO'!$C$2:$C$1085,MATCH($J67,'Data SO'!$H$2:$H$1085,0)),INDEX('Data SCM'!$B$2:$B$698,MATCH($J67,'Data SCM'!$I$2:$I$698,0)))</f>
        <v>Backround Cars</v>
      </c>
      <c r="B67" s="3" t="str">
        <f>IFERROR(INDEX('Data SO'!$D$2:$D$1085,MATCH($J67,'Data SO'!$H$2:$H$1085,0)),K67)</f>
        <v>Pcs</v>
      </c>
      <c r="C67" s="9">
        <f>SUMIF('Data SO'!$H$2:$H$1085,$J67,'Data SO'!$F$2:$F$1085)</f>
        <v>61</v>
      </c>
      <c r="D67" s="9">
        <f>SUMIF('Data SCM'!$I$2:$I$698,$J67,'Data SCM'!$E$2:$E$698)*L67</f>
        <v>0</v>
      </c>
      <c r="E67" s="9">
        <f t="shared" si="3"/>
        <v>-61</v>
      </c>
      <c r="F67" s="4">
        <f>SUMIF('Data SO'!$H$2:$H$1085,$J67,'Data SO'!$G$2:$G$1085)</f>
        <v>518500</v>
      </c>
      <c r="G67" s="4">
        <f>SUMIF('Data SCM'!$I$2:$I$698,$J67,'Data SCM'!$H$2:$H$698)</f>
        <v>0</v>
      </c>
      <c r="H67" s="4">
        <f t="shared" si="4"/>
        <v>-518500</v>
      </c>
      <c r="I67" s="3" t="str">
        <f>IF(COUNTIF('Data SCM'!$I$2:$I$698,$J67)=0,"Hanya di SO",IF(COUNTIF('Data SO'!$H$2:$H$1085,$J67)=0,"Hanya di SCM",IF(AND(ABS(E67)&lt;0.01,ABS(H67)&lt;1),"Sama",IF(ABS(E67)&lt;0.01,"Selisih nominal",IF(ABS(H67)&lt;1,"Selisih qty","Selisih qty &amp; nominal")))))</f>
        <v>Selisih qty &amp; nominal</v>
      </c>
      <c r="J67" t="s">
        <v>91</v>
      </c>
      <c r="K67" t="str">
        <f>IFERROR(INDEX('Data SCM'!$D$2:$D$698,MATCH($J67,'Data SCM'!$I$2:$I$698,0)),"")</f>
        <v>PCS</v>
      </c>
      <c r="L67">
        <f t="shared" si="5"/>
        <v>1</v>
      </c>
      <c r="M67" t="s">
        <v>3461</v>
      </c>
    </row>
    <row r="68" spans="1:13" x14ac:dyDescent="0.25">
      <c r="A68" s="3" t="str">
        <f>IFERROR(INDEX('Data SO'!$C$2:$C$1085,MATCH($J68,'Data SO'!$H$2:$H$1085,0)),INDEX('Data SCM'!$B$2:$B$698,MATCH($J68,'Data SCM'!$I$2:$I$698,0)))</f>
        <v>Topper Ultah Tayoo @12 set</v>
      </c>
      <c r="B68" s="3" t="str">
        <f>IFERROR(INDEX('Data SO'!$D$2:$D$1085,MATCH($J68,'Data SO'!$H$2:$H$1085,0)),K68)</f>
        <v>Pcs</v>
      </c>
      <c r="C68" s="9">
        <f>SUMIF('Data SO'!$H$2:$H$1085,$J68,'Data SO'!$F$2:$F$1085)</f>
        <v>144</v>
      </c>
      <c r="D68" s="9">
        <f>SUMIF('Data SCM'!$I$2:$I$698,$J68,'Data SCM'!$E$2:$E$698)*L68</f>
        <v>0</v>
      </c>
      <c r="E68" s="9">
        <f t="shared" si="3"/>
        <v>-144</v>
      </c>
      <c r="F68" s="4">
        <f>SUMIF('Data SO'!$H$2:$H$1085,$J68,'Data SO'!$G$2:$G$1085)</f>
        <v>504000</v>
      </c>
      <c r="G68" s="4">
        <f>SUMIF('Data SCM'!$I$2:$I$698,$J68,'Data SCM'!$H$2:$H$698)</f>
        <v>0</v>
      </c>
      <c r="H68" s="4">
        <f t="shared" si="4"/>
        <v>-504000</v>
      </c>
      <c r="I68" s="3" t="str">
        <f>IF(COUNTIF('Data SCM'!$I$2:$I$698,$J68)=0,"Hanya di SO",IF(COUNTIF('Data SO'!$H$2:$H$1085,$J68)=0,"Hanya di SCM",IF(AND(ABS(E68)&lt;0.01,ABS(H68)&lt;1),"Sama",IF(ABS(E68)&lt;0.01,"Selisih nominal",IF(ABS(H68)&lt;1,"Selisih qty","Selisih qty &amp; nominal")))))</f>
        <v>Hanya di SO</v>
      </c>
      <c r="J68" t="s">
        <v>92</v>
      </c>
      <c r="K68" t="str">
        <f>IFERROR(INDEX('Data SCM'!$D$2:$D$698,MATCH($J68,'Data SCM'!$I$2:$I$698,0)),"")</f>
        <v/>
      </c>
      <c r="L68">
        <f t="shared" si="5"/>
        <v>1</v>
      </c>
      <c r="M68" t="s">
        <v>3462</v>
      </c>
    </row>
    <row r="69" spans="1:13" x14ac:dyDescent="0.25">
      <c r="A69" s="3" t="str">
        <f>IFERROR(INDEX('Data SO'!$C$2:$C$1085,MATCH($J69,'Data SO'!$H$2:$H$1085,0)),INDEX('Data SCM'!$B$2:$B$698,MATCH($J69,'Data SCM'!$I$2:$I$698,0)))</f>
        <v>Backround Spiderman</v>
      </c>
      <c r="B69" s="3" t="str">
        <f>IFERROR(INDEX('Data SO'!$D$2:$D$1085,MATCH($J69,'Data SO'!$H$2:$H$1085,0)),K69)</f>
        <v>Pcs</v>
      </c>
      <c r="C69" s="9">
        <f>SUMIF('Data SO'!$H$2:$H$1085,$J69,'Data SO'!$F$2:$F$1085)</f>
        <v>55</v>
      </c>
      <c r="D69" s="9">
        <f>SUMIF('Data SCM'!$I$2:$I$698,$J69,'Data SCM'!$E$2:$E$698)*L69</f>
        <v>0</v>
      </c>
      <c r="E69" s="9">
        <f t="shared" si="3"/>
        <v>-55</v>
      </c>
      <c r="F69" s="4">
        <f>SUMIF('Data SO'!$H$2:$H$1085,$J69,'Data SO'!$G$2:$G$1085)</f>
        <v>467500</v>
      </c>
      <c r="G69" s="4">
        <f>SUMIF('Data SCM'!$I$2:$I$698,$J69,'Data SCM'!$H$2:$H$698)</f>
        <v>0</v>
      </c>
      <c r="H69" s="4">
        <f t="shared" si="4"/>
        <v>-467500</v>
      </c>
      <c r="I69" s="3" t="str">
        <f>IF(COUNTIF('Data SCM'!$I$2:$I$698,$J69)=0,"Hanya di SO",IF(COUNTIF('Data SO'!$H$2:$H$1085,$J69)=0,"Hanya di SCM",IF(AND(ABS(E69)&lt;0.01,ABS(H69)&lt;1),"Sama",IF(ABS(E69)&lt;0.01,"Selisih nominal",IF(ABS(H69)&lt;1,"Selisih qty","Selisih qty &amp; nominal")))))</f>
        <v>Selisih qty &amp; nominal</v>
      </c>
      <c r="J69" t="s">
        <v>93</v>
      </c>
      <c r="K69" t="str">
        <f>IFERROR(INDEX('Data SCM'!$D$2:$D$698,MATCH($J69,'Data SCM'!$I$2:$I$698,0)),"")</f>
        <v>PCS</v>
      </c>
      <c r="L69">
        <f t="shared" si="5"/>
        <v>1</v>
      </c>
      <c r="M69" t="s">
        <v>3473</v>
      </c>
    </row>
    <row r="70" spans="1:13" x14ac:dyDescent="0.25">
      <c r="A70" s="3" t="str">
        <f>IFERROR(INDEX('Data SO'!$C$2:$C$1085,MATCH($J70,'Data SO'!$H$2:$H$1085,0)),INDEX('Data SCM'!$B$2:$B$698,MATCH($J70,'Data SCM'!$I$2:$I$698,0)))</f>
        <v>Maglam Kopi</v>
      </c>
      <c r="B70" s="3" t="str">
        <f>IFERROR(INDEX('Data SO'!$D$2:$D$1085,MATCH($J70,'Data SO'!$H$2:$H$1085,0)),K70)</f>
        <v>kg</v>
      </c>
      <c r="C70" s="9">
        <f>SUMIF('Data SO'!$H$2:$H$1085,$J70,'Data SO'!$F$2:$F$1085)</f>
        <v>1</v>
      </c>
      <c r="D70" s="9">
        <f>SUMIF('Data SCM'!$I$2:$I$698,$J70,'Data SCM'!$E$2:$E$698)*L70</f>
        <v>0</v>
      </c>
      <c r="E70" s="9">
        <f t="shared" si="3"/>
        <v>-1</v>
      </c>
      <c r="F70" s="4">
        <f>SUMIF('Data SO'!$H$2:$H$1085,$J70,'Data SO'!$G$2:$G$1085)</f>
        <v>462000</v>
      </c>
      <c r="G70" s="4">
        <f>SUMIF('Data SCM'!$I$2:$I$698,$J70,'Data SCM'!$H$2:$H$698)</f>
        <v>0</v>
      </c>
      <c r="H70" s="4">
        <f t="shared" si="4"/>
        <v>-462000</v>
      </c>
      <c r="I70" s="3" t="str">
        <f>IF(COUNTIF('Data SCM'!$I$2:$I$698,$J70)=0,"Hanya di SO",IF(COUNTIF('Data SO'!$H$2:$H$1085,$J70)=0,"Hanya di SCM",IF(AND(ABS(E70)&lt;0.01,ABS(H70)&lt;1),"Sama",IF(ABS(E70)&lt;0.01,"Selisih nominal",IF(ABS(H70)&lt;1,"Selisih qty","Selisih qty &amp; nominal")))))</f>
        <v>Hanya di SO</v>
      </c>
      <c r="J70" t="s">
        <v>94</v>
      </c>
      <c r="K70" t="str">
        <f>IFERROR(INDEX('Data SCM'!$D$2:$D$698,MATCH($J70,'Data SCM'!$I$2:$I$698,0)),"")</f>
        <v/>
      </c>
      <c r="L70">
        <f t="shared" si="5"/>
        <v>1</v>
      </c>
      <c r="M70" t="s">
        <v>3408</v>
      </c>
    </row>
    <row r="71" spans="1:13" x14ac:dyDescent="0.25">
      <c r="A71" s="3" t="str">
        <f>IFERROR(INDEX('Data SO'!$C$2:$C$1085,MATCH($J71,'Data SO'!$H$2:$H$1085,0)),INDEX('Data SCM'!$B$2:$B$698,MATCH($J71,'Data SCM'!$I$2:$I$698,0)))</f>
        <v>Topper Ultah Doraemon @12set</v>
      </c>
      <c r="B71" s="3" t="str">
        <f>IFERROR(INDEX('Data SO'!$D$2:$D$1085,MATCH($J71,'Data SO'!$H$2:$H$1085,0)),K71)</f>
        <v>Pcs</v>
      </c>
      <c r="C71" s="9">
        <f>SUMIF('Data SO'!$H$2:$H$1085,$J71,'Data SO'!$F$2:$F$1085)</f>
        <v>132</v>
      </c>
      <c r="D71" s="9">
        <f>SUMIF('Data SCM'!$I$2:$I$698,$J71,'Data SCM'!$E$2:$E$698)*L71</f>
        <v>0</v>
      </c>
      <c r="E71" s="9">
        <f t="shared" si="3"/>
        <v>-132</v>
      </c>
      <c r="F71" s="4">
        <f>SUMIF('Data SO'!$H$2:$H$1085,$J71,'Data SO'!$G$2:$G$1085)</f>
        <v>462000</v>
      </c>
      <c r="G71" s="4">
        <f>SUMIF('Data SCM'!$I$2:$I$698,$J71,'Data SCM'!$H$2:$H$698)</f>
        <v>0</v>
      </c>
      <c r="H71" s="4">
        <f t="shared" si="4"/>
        <v>-462000</v>
      </c>
      <c r="I71" s="3" t="str">
        <f>IF(COUNTIF('Data SCM'!$I$2:$I$698,$J71)=0,"Hanya di SO",IF(COUNTIF('Data SO'!$H$2:$H$1085,$J71)=0,"Hanya di SCM",IF(AND(ABS(E71)&lt;0.01,ABS(H71)&lt;1),"Sama",IF(ABS(E71)&lt;0.01,"Selisih nominal",IF(ABS(H71)&lt;1,"Selisih qty","Selisih qty &amp; nominal")))))</f>
        <v>Hanya di SO</v>
      </c>
      <c r="J71" t="s">
        <v>95</v>
      </c>
      <c r="K71" t="str">
        <f>IFERROR(INDEX('Data SCM'!$D$2:$D$698,MATCH($J71,'Data SCM'!$I$2:$I$698,0)),"")</f>
        <v/>
      </c>
      <c r="L71">
        <f t="shared" si="5"/>
        <v>1</v>
      </c>
      <c r="M71" t="s">
        <v>3463</v>
      </c>
    </row>
    <row r="72" spans="1:13" x14ac:dyDescent="0.25">
      <c r="A72" s="3" t="str">
        <f>IFERROR(INDEX('Data SO'!$C$2:$C$1085,MATCH($J72,'Data SO'!$H$2:$H$1085,0)),INDEX('Data SCM'!$B$2:$B$698,MATCH($J72,'Data SCM'!$I$2:$I$698,0)))</f>
        <v>STICKER LOGO PEMKOT</v>
      </c>
      <c r="B72" s="3" t="str">
        <f>IFERROR(INDEX('Data SO'!$D$2:$D$1085,MATCH($J72,'Data SO'!$H$2:$H$1085,0)),K72)</f>
        <v>pcs</v>
      </c>
      <c r="C72" s="9">
        <f>SUMIF('Data SO'!$H$2:$H$1085,$J72,'Data SO'!$F$2:$F$1085)</f>
        <v>3500</v>
      </c>
      <c r="D72" s="9">
        <f>SUMIF('Data SCM'!$I$2:$I$698,$J72,'Data SCM'!$E$2:$E$698)*L72</f>
        <v>0</v>
      </c>
      <c r="E72" s="9">
        <f t="shared" si="3"/>
        <v>-3500</v>
      </c>
      <c r="F72" s="4">
        <f>SUMIF('Data SO'!$H$2:$H$1085,$J72,'Data SO'!$G$2:$G$1085)</f>
        <v>451500</v>
      </c>
      <c r="G72" s="4">
        <f>SUMIF('Data SCM'!$I$2:$I$698,$J72,'Data SCM'!$H$2:$H$698)</f>
        <v>0</v>
      </c>
      <c r="H72" s="4">
        <f t="shared" si="4"/>
        <v>-451500</v>
      </c>
      <c r="I72" s="3" t="str">
        <f>IF(COUNTIF('Data SCM'!$I$2:$I$698,$J72)=0,"Hanya di SO",IF(COUNTIF('Data SO'!$H$2:$H$1085,$J72)=0,"Hanya di SCM",IF(AND(ABS(E72)&lt;0.01,ABS(H72)&lt;1),"Sama",IF(ABS(E72)&lt;0.01,"Selisih nominal",IF(ABS(H72)&lt;1,"Selisih qty","Selisih qty &amp; nominal")))))</f>
        <v>Selisih qty &amp; nominal</v>
      </c>
      <c r="J72" t="s">
        <v>96</v>
      </c>
      <c r="K72" t="str">
        <f>IFERROR(INDEX('Data SCM'!$D$2:$D$698,MATCH($J72,'Data SCM'!$I$2:$I$698,0)),"")</f>
        <v>PCS</v>
      </c>
      <c r="L72">
        <f t="shared" si="5"/>
        <v>1</v>
      </c>
      <c r="M72" t="s">
        <v>3476</v>
      </c>
    </row>
    <row r="73" spans="1:13" x14ac:dyDescent="0.25">
      <c r="A73" s="3" t="str">
        <f>IFERROR(INDEX('Data SO'!$C$2:$C$1085,MATCH($J73,'Data SO'!$H$2:$H$1085,0)),INDEX('Data SCM'!$B$2:$B$698,MATCH($J73,'Data SCM'!$I$2:$I$698,0)))</f>
        <v>Dus Lapis Tiramisu</v>
      </c>
      <c r="B73" s="3" t="str">
        <f>IFERROR(INDEX('Data SO'!$D$2:$D$1085,MATCH($J73,'Data SO'!$H$2:$H$1085,0)),K73)</f>
        <v>Pcs</v>
      </c>
      <c r="C73" s="9">
        <f>SUMIF('Data SO'!$H$2:$H$1085,$J73,'Data SO'!$F$2:$F$1085)</f>
        <v>250</v>
      </c>
      <c r="D73" s="9">
        <f>SUMIF('Data SCM'!$I$2:$I$698,$J73,'Data SCM'!$E$2:$E$698)*L73</f>
        <v>0</v>
      </c>
      <c r="E73" s="9">
        <f t="shared" si="3"/>
        <v>-250</v>
      </c>
      <c r="F73" s="4">
        <f>SUMIF('Data SO'!$H$2:$H$1085,$J73,'Data SO'!$G$2:$G$1085)</f>
        <v>450000</v>
      </c>
      <c r="G73" s="4">
        <f>SUMIF('Data SCM'!$I$2:$I$698,$J73,'Data SCM'!$H$2:$H$698)</f>
        <v>0</v>
      </c>
      <c r="H73" s="4">
        <f t="shared" si="4"/>
        <v>-450000</v>
      </c>
      <c r="I73" s="3" t="str">
        <f>IF(COUNTIF('Data SCM'!$I$2:$I$698,$J73)=0,"Hanya di SO",IF(COUNTIF('Data SO'!$H$2:$H$1085,$J73)=0,"Hanya di SCM",IF(AND(ABS(E73)&lt;0.01,ABS(H73)&lt;1),"Sama",IF(ABS(E73)&lt;0.01,"Selisih nominal",IF(ABS(H73)&lt;1,"Selisih qty","Selisih qty &amp; nominal")))))</f>
        <v>Selisih qty &amp; nominal</v>
      </c>
      <c r="J73" t="s">
        <v>97</v>
      </c>
      <c r="K73" t="str">
        <f>IFERROR(INDEX('Data SCM'!$D$2:$D$698,MATCH($J73,'Data SCM'!$I$2:$I$698,0)),"")</f>
        <v>PCS</v>
      </c>
      <c r="L73">
        <f t="shared" si="5"/>
        <v>1</v>
      </c>
      <c r="M73" t="s">
        <v>3474</v>
      </c>
    </row>
    <row r="74" spans="1:13" x14ac:dyDescent="0.25">
      <c r="A74" s="3" t="str">
        <f>IFERROR(INDEX('Data SO'!$C$2:$C$1085,MATCH($J74,'Data SO'!$H$2:$H$1085,0)),INDEX('Data SCM'!$B$2:$B$698,MATCH($J74,'Data SCM'!$I$2:$I$698,0)))</f>
        <v>Gula Cair Rb. Hfs 55% @1X30 Kg</v>
      </c>
      <c r="B74" s="3" t="str">
        <f>IFERROR(INDEX('Data SO'!$D$2:$D$1085,MATCH($J74,'Data SO'!$H$2:$H$1085,0)),K74)</f>
        <v>kg</v>
      </c>
      <c r="C74" s="9">
        <f>SUMIF('Data SO'!$H$2:$H$1085,$J74,'Data SO'!$F$2:$F$1085)</f>
        <v>180</v>
      </c>
      <c r="D74" s="9">
        <f>SUMIF('Data SCM'!$I$2:$I$698,$J74,'Data SCM'!$E$2:$E$698)*L74</f>
        <v>210</v>
      </c>
      <c r="E74" s="9">
        <f t="shared" si="3"/>
        <v>30</v>
      </c>
      <c r="F74" s="4">
        <f>SUMIF('Data SO'!$H$2:$H$1085,$J74,'Data SO'!$G$2:$G$1085)</f>
        <v>2700000</v>
      </c>
      <c r="G74" s="4">
        <f>SUMIF('Data SCM'!$I$2:$I$698,$J74,'Data SCM'!$H$2:$H$698)</f>
        <v>3150000</v>
      </c>
      <c r="H74" s="4">
        <f t="shared" si="4"/>
        <v>450000</v>
      </c>
      <c r="I74" s="3" t="str">
        <f>IF(COUNTIF('Data SCM'!$I$2:$I$698,$J74)=0,"Hanya di SO",IF(COUNTIF('Data SO'!$H$2:$H$1085,$J74)=0,"Hanya di SCM",IF(AND(ABS(E74)&lt;0.01,ABS(H74)&lt;1),"Sama",IF(ABS(E74)&lt;0.01,"Selisih nominal",IF(ABS(H74)&lt;1,"Selisih qty","Selisih qty &amp; nominal")))))</f>
        <v>Selisih qty &amp; nominal</v>
      </c>
      <c r="J74" t="s">
        <v>98</v>
      </c>
      <c r="K74" t="str">
        <f>IFERROR(INDEX('Data SCM'!$D$2:$D$698,MATCH($J74,'Data SCM'!$I$2:$I$698,0)),"")</f>
        <v>KG</v>
      </c>
      <c r="L74">
        <f t="shared" si="5"/>
        <v>1</v>
      </c>
      <c r="M74" t="s">
        <v>3455</v>
      </c>
    </row>
    <row r="75" spans="1:13" x14ac:dyDescent="0.25">
      <c r="A75" s="3" t="str">
        <f>IFERROR(INDEX('Data SO'!$C$2:$C$1085,MATCH($J75,'Data SO'!$H$2:$H$1085,0)),INDEX('Data SCM'!$B$2:$B$698,MATCH($J75,'Data SCM'!$I$2:$I$698,0)))</f>
        <v>PATUNG BEN 10</v>
      </c>
      <c r="B75" s="3" t="str">
        <f>IFERROR(INDEX('Data SO'!$D$2:$D$1085,MATCH($J75,'Data SO'!$H$2:$H$1085,0)),K75)</f>
        <v>Pcs</v>
      </c>
      <c r="C75" s="9">
        <f>SUMIF('Data SO'!$H$2:$H$1085,$J75,'Data SO'!$F$2:$F$1085)</f>
        <v>25</v>
      </c>
      <c r="D75" s="9">
        <f>SUMIF('Data SCM'!$I$2:$I$698,$J75,'Data SCM'!$E$2:$E$698)*L75</f>
        <v>0</v>
      </c>
      <c r="E75" s="9">
        <f t="shared" si="3"/>
        <v>-25</v>
      </c>
      <c r="F75" s="4">
        <f>SUMIF('Data SO'!$H$2:$H$1085,$J75,'Data SO'!$G$2:$G$1085)</f>
        <v>437500</v>
      </c>
      <c r="G75" s="4">
        <f>SUMIF('Data SCM'!$I$2:$I$698,$J75,'Data SCM'!$H$2:$H$698)</f>
        <v>0</v>
      </c>
      <c r="H75" s="4">
        <f t="shared" si="4"/>
        <v>-437500</v>
      </c>
      <c r="I75" s="3" t="str">
        <f>IF(COUNTIF('Data SCM'!$I$2:$I$698,$J75)=0,"Hanya di SO",IF(COUNTIF('Data SO'!$H$2:$H$1085,$J75)=0,"Hanya di SCM",IF(AND(ABS(E75)&lt;0.01,ABS(H75)&lt;1),"Sama",IF(ABS(E75)&lt;0.01,"Selisih nominal",IF(ABS(H75)&lt;1,"Selisih qty","Selisih qty &amp; nominal")))))</f>
        <v>Hanya di SO</v>
      </c>
      <c r="J75" t="s">
        <v>99</v>
      </c>
      <c r="K75" t="str">
        <f>IFERROR(INDEX('Data SCM'!$D$2:$D$698,MATCH($J75,'Data SCM'!$I$2:$I$698,0)),"")</f>
        <v/>
      </c>
      <c r="L75">
        <f t="shared" si="5"/>
        <v>1</v>
      </c>
      <c r="M75" t="s">
        <v>3418</v>
      </c>
    </row>
    <row r="76" spans="1:13" x14ac:dyDescent="0.25">
      <c r="A76" s="3" t="str">
        <f>IFERROR(INDEX('Data SO'!$C$2:$C$1085,MATCH($J76,'Data SO'!$H$2:$H$1085,0)),INDEX('Data SCM'!$B$2:$B$698,MATCH($J76,'Data SCM'!$I$2:$I$698,0)))</f>
        <v>Cover Dessert Chocolate</v>
      </c>
      <c r="B76" s="3" t="str">
        <f>IFERROR(INDEX('Data SO'!$D$2:$D$1085,MATCH($J76,'Data SO'!$H$2:$H$1085,0)),K76)</f>
        <v>Pcs</v>
      </c>
      <c r="C76" s="9">
        <f>SUMIF('Data SO'!$H$2:$H$1085,$J76,'Data SO'!$F$2:$F$1085)</f>
        <v>436</v>
      </c>
      <c r="D76" s="9">
        <f>SUMIF('Data SCM'!$I$2:$I$698,$J76,'Data SCM'!$E$2:$E$698)*L76</f>
        <v>0</v>
      </c>
      <c r="E76" s="9">
        <f t="shared" si="3"/>
        <v>-436</v>
      </c>
      <c r="F76" s="4">
        <f>SUMIF('Data SO'!$H$2:$H$1085,$J76,'Data SO'!$G$2:$G$1085)</f>
        <v>436000</v>
      </c>
      <c r="G76" s="4">
        <f>SUMIF('Data SCM'!$I$2:$I$698,$J76,'Data SCM'!$H$2:$H$698)</f>
        <v>0</v>
      </c>
      <c r="H76" s="4">
        <f t="shared" si="4"/>
        <v>-436000</v>
      </c>
      <c r="I76" s="3" t="str">
        <f>IF(COUNTIF('Data SCM'!$I$2:$I$698,$J76)=0,"Hanya di SO",IF(COUNTIF('Data SO'!$H$2:$H$1085,$J76)=0,"Hanya di SCM",IF(AND(ABS(E76)&lt;0.01,ABS(H76)&lt;1),"Sama",IF(ABS(E76)&lt;0.01,"Selisih nominal",IF(ABS(H76)&lt;1,"Selisih qty","Selisih qty &amp; nominal")))))</f>
        <v>Selisih qty &amp; nominal</v>
      </c>
      <c r="J76" t="s">
        <v>100</v>
      </c>
      <c r="K76" t="str">
        <f>IFERROR(INDEX('Data SCM'!$D$2:$D$698,MATCH($J76,'Data SCM'!$I$2:$I$698,0)),"")</f>
        <v>PCS</v>
      </c>
      <c r="L76">
        <f t="shared" si="5"/>
        <v>1</v>
      </c>
      <c r="M76" t="s">
        <v>3477</v>
      </c>
    </row>
    <row r="77" spans="1:13" x14ac:dyDescent="0.25">
      <c r="A77" s="3" t="str">
        <f>IFERROR(INDEX('Data SO'!$C$2:$C$1085,MATCH($J77,'Data SO'!$H$2:$H$1085,0)),INDEX('Data SCM'!$B$2:$B$698,MATCH($J77,'Data SCM'!$I$2:$I$698,0)))</f>
        <v>Plastik Pe 40X60 (Cap Bawang)</v>
      </c>
      <c r="B77" s="3" t="str">
        <f>IFERROR(INDEX('Data SO'!$D$2:$D$1085,MATCH($J77,'Data SO'!$H$2:$H$1085,0)),K77)</f>
        <v>kg</v>
      </c>
      <c r="C77" s="9">
        <f>SUMIF('Data SO'!$H$2:$H$1085,$J77,'Data SO'!$F$2:$F$1085)</f>
        <v>30</v>
      </c>
      <c r="D77" s="9">
        <f>SUMIF('Data SCM'!$I$2:$I$698,$J77,'Data SCM'!$E$2:$E$698)*L77</f>
        <v>12</v>
      </c>
      <c r="E77" s="9">
        <f t="shared" si="3"/>
        <v>-18</v>
      </c>
      <c r="F77" s="4">
        <f>SUMIF('Data SO'!$H$2:$H$1085,$J77,'Data SO'!$G$2:$G$1085)</f>
        <v>660600</v>
      </c>
      <c r="G77" s="4">
        <f>SUMIF('Data SCM'!$I$2:$I$698,$J77,'Data SCM'!$H$2:$H$698)</f>
        <v>253800</v>
      </c>
      <c r="H77" s="4">
        <f t="shared" si="4"/>
        <v>-406800</v>
      </c>
      <c r="I77" s="3" t="str">
        <f>IF(COUNTIF('Data SCM'!$I$2:$I$698,$J77)=0,"Hanya di SO",IF(COUNTIF('Data SO'!$H$2:$H$1085,$J77)=0,"Hanya di SCM",IF(AND(ABS(E77)&lt;0.01,ABS(H77)&lt;1),"Sama",IF(ABS(E77)&lt;0.01,"Selisih nominal",IF(ABS(H77)&lt;1,"Selisih qty","Selisih qty &amp; nominal")))))</f>
        <v>Selisih qty &amp; nominal</v>
      </c>
      <c r="J77" t="s">
        <v>101</v>
      </c>
      <c r="K77" t="str">
        <f>IFERROR(INDEX('Data SCM'!$D$2:$D$698,MATCH($J77,'Data SCM'!$I$2:$I$698,0)),"")</f>
        <v>KG</v>
      </c>
      <c r="L77">
        <f t="shared" si="5"/>
        <v>1</v>
      </c>
      <c r="M77" t="s">
        <v>3482</v>
      </c>
    </row>
    <row r="78" spans="1:13" x14ac:dyDescent="0.25">
      <c r="A78" s="3" t="str">
        <f>IFERROR(INDEX('Data SO'!$C$2:$C$1085,MATCH($J78,'Data SO'!$H$2:$H$1085,0)),INDEX('Data SCM'!$B$2:$B$698,MATCH($J78,'Data SCM'!$I$2:$I$698,0)))</f>
        <v>Bonigrasa 50 Pah @1X25 Kg</v>
      </c>
      <c r="B78" s="3" t="str">
        <f>IFERROR(INDEX('Data SO'!$D$2:$D$1085,MATCH($J78,'Data SO'!$H$2:$H$1085,0)),K78)</f>
        <v>kg</v>
      </c>
      <c r="C78" s="9">
        <f>SUMIF('Data SO'!$H$2:$H$1085,$J78,'Data SO'!$F$2:$F$1085)</f>
        <v>32</v>
      </c>
      <c r="D78" s="9">
        <f>SUMIF('Data SCM'!$I$2:$I$698,$J78,'Data SCM'!$E$2:$E$698)*L78</f>
        <v>0</v>
      </c>
      <c r="E78" s="9">
        <f t="shared" si="3"/>
        <v>-32</v>
      </c>
      <c r="F78" s="4">
        <f>SUMIF('Data SO'!$H$2:$H$1085,$J78,'Data SO'!$G$2:$G$1085)</f>
        <v>401666.66666666698</v>
      </c>
      <c r="G78" s="4">
        <f>SUMIF('Data SCM'!$I$2:$I$698,$J78,'Data SCM'!$H$2:$H$698)</f>
        <v>0</v>
      </c>
      <c r="H78" s="4">
        <f t="shared" si="4"/>
        <v>-401666.66666666698</v>
      </c>
      <c r="I78" s="3" t="str">
        <f>IF(COUNTIF('Data SCM'!$I$2:$I$698,$J78)=0,"Hanya di SO",IF(COUNTIF('Data SO'!$H$2:$H$1085,$J78)=0,"Hanya di SCM",IF(AND(ABS(E78)&lt;0.01,ABS(H78)&lt;1),"Sama",IF(ABS(E78)&lt;0.01,"Selisih nominal",IF(ABS(H78)&lt;1,"Selisih qty","Selisih qty &amp; nominal")))))</f>
        <v>Hanya di SO</v>
      </c>
      <c r="J78" t="s">
        <v>102</v>
      </c>
      <c r="K78" t="str">
        <f>IFERROR(INDEX('Data SCM'!$D$2:$D$698,MATCH($J78,'Data SCM'!$I$2:$I$698,0)),"")</f>
        <v/>
      </c>
      <c r="L78">
        <f t="shared" si="5"/>
        <v>1</v>
      </c>
      <c r="M78" t="s">
        <v>3484</v>
      </c>
    </row>
    <row r="79" spans="1:13" x14ac:dyDescent="0.25">
      <c r="A79" s="3" t="str">
        <f>IFERROR(INDEX('Data SO'!$C$2:$C$1085,MATCH($J79,'Data SO'!$H$2:$H$1085,0)),INDEX('Data SCM'!$B$2:$B$698,MATCH($J79,'Data SCM'!$I$2:$I$698,0)))</f>
        <v>Tepung Tapioka Pak Tani</v>
      </c>
      <c r="B79" s="3" t="str">
        <f>IFERROR(INDEX('Data SO'!$D$2:$D$1085,MATCH($J79,'Data SO'!$H$2:$H$1085,0)),K79)</f>
        <v>KG</v>
      </c>
      <c r="C79" s="9">
        <f>SUMIF('Data SO'!$H$2:$H$1085,$J79,'Data SO'!$F$2:$F$1085)</f>
        <v>0</v>
      </c>
      <c r="D79" s="9">
        <f>SUMIF('Data SCM'!$I$2:$I$698,$J79,'Data SCM'!$E$2:$E$698)*L79</f>
        <v>20</v>
      </c>
      <c r="E79" s="9">
        <f t="shared" si="3"/>
        <v>20</v>
      </c>
      <c r="F79" s="4">
        <f>SUMIF('Data SO'!$H$2:$H$1085,$J79,'Data SO'!$G$2:$G$1085)</f>
        <v>0</v>
      </c>
      <c r="G79" s="4">
        <f>SUMIF('Data SCM'!$I$2:$I$698,$J79,'Data SCM'!$H$2:$H$698)</f>
        <v>400000</v>
      </c>
      <c r="H79" s="4">
        <f t="shared" si="4"/>
        <v>400000</v>
      </c>
      <c r="I79" s="3" t="str">
        <f>IF(COUNTIF('Data SCM'!$I$2:$I$698,$J79)=0,"Hanya di SO",IF(COUNTIF('Data SO'!$H$2:$H$1085,$J79)=0,"Hanya di SCM",IF(AND(ABS(E79)&lt;0.01,ABS(H79)&lt;1),"Sama",IF(ABS(E79)&lt;0.01,"Selisih nominal",IF(ABS(H79)&lt;1,"Selisih qty","Selisih qty &amp; nominal")))))</f>
        <v>Hanya di SCM</v>
      </c>
      <c r="J79" t="s">
        <v>103</v>
      </c>
      <c r="K79" t="str">
        <f>IFERROR(INDEX('Data SCM'!$D$2:$D$698,MATCH($J79,'Data SCM'!$I$2:$I$698,0)),"")</f>
        <v>KG</v>
      </c>
      <c r="L79">
        <f t="shared" si="5"/>
        <v>1</v>
      </c>
      <c r="M79" t="s">
        <v>3483</v>
      </c>
    </row>
    <row r="80" spans="1:13" x14ac:dyDescent="0.25">
      <c r="A80" s="3" t="str">
        <f>IFERROR(INDEX('Data SO'!$C$2:$C$1085,MATCH($J80,'Data SO'!$H$2:$H$1085,0)),INDEX('Data SCM'!$B$2:$B$698,MATCH($J80,'Data SCM'!$I$2:$I$698,0)))</f>
        <v>Susu Kental Manis Tiga Sapi @48X500 Ml</v>
      </c>
      <c r="B80" s="3" t="str">
        <f>IFERROR(INDEX('Data SO'!$D$2:$D$1085,MATCH($J80,'Data SO'!$H$2:$H$1085,0)),K80)</f>
        <v>JAR</v>
      </c>
      <c r="C80" s="9">
        <f>SUMIF('Data SO'!$H$2:$H$1085,$J80,'Data SO'!$F$2:$F$1085)</f>
        <v>0</v>
      </c>
      <c r="D80" s="9">
        <f>SUMIF('Data SCM'!$I$2:$I$698,$J80,'Data SCM'!$E$2:$E$698)*L80</f>
        <v>32</v>
      </c>
      <c r="E80" s="9">
        <f t="shared" si="3"/>
        <v>32</v>
      </c>
      <c r="F80" s="4">
        <f>SUMIF('Data SO'!$H$2:$H$1085,$J80,'Data SO'!$G$2:$G$1085)</f>
        <v>0</v>
      </c>
      <c r="G80" s="4">
        <f>SUMIF('Data SCM'!$I$2:$I$698,$J80,'Data SCM'!$H$2:$H$698)</f>
        <v>390000</v>
      </c>
      <c r="H80" s="4">
        <f t="shared" si="4"/>
        <v>390000</v>
      </c>
      <c r="I80" s="3" t="str">
        <f>IF(COUNTIF('Data SCM'!$I$2:$I$698,$J80)=0,"Hanya di SO",IF(COUNTIF('Data SO'!$H$2:$H$1085,$J80)=0,"Hanya di SCM",IF(AND(ABS(E80)&lt;0.01,ABS(H80)&lt;1),"Sama",IF(ABS(E80)&lt;0.01,"Selisih nominal",IF(ABS(H80)&lt;1,"Selisih qty","Selisih qty &amp; nominal")))))</f>
        <v>Hanya di SCM</v>
      </c>
      <c r="J80" t="s">
        <v>104</v>
      </c>
      <c r="K80" t="str">
        <f>IFERROR(INDEX('Data SCM'!$D$2:$D$698,MATCH($J80,'Data SCM'!$I$2:$I$698,0)),"")</f>
        <v>JAR</v>
      </c>
      <c r="L80">
        <f t="shared" si="5"/>
        <v>1</v>
      </c>
      <c r="M80" t="s">
        <v>3465</v>
      </c>
    </row>
    <row r="81" spans="1:13" x14ac:dyDescent="0.25">
      <c r="A81" s="3" t="str">
        <f>IFERROR(INDEX('Data SO'!$C$2:$C$1085,MATCH($J81,'Data SO'!$H$2:$H$1085,0)),INDEX('Data SCM'!$B$2:$B$698,MATCH($J81,'Data SCM'!$I$2:$I$698,0)))</f>
        <v>Maizena Cornstrach 25kg</v>
      </c>
      <c r="B81" s="3" t="str">
        <f>IFERROR(INDEX('Data SO'!$D$2:$D$1085,MATCH($J81,'Data SO'!$H$2:$H$1085,0)),K81)</f>
        <v>kg</v>
      </c>
      <c r="C81" s="9">
        <f>SUMIF('Data SO'!$H$2:$H$1085,$J81,'Data SO'!$F$2:$F$1085)</f>
        <v>726</v>
      </c>
      <c r="D81" s="9">
        <f>SUMIF('Data SCM'!$I$2:$I$698,$J81,'Data SCM'!$E$2:$E$698)*L81</f>
        <v>725</v>
      </c>
      <c r="E81" s="9">
        <f t="shared" si="3"/>
        <v>-1</v>
      </c>
      <c r="F81" s="4">
        <f>SUMIF('Data SO'!$H$2:$H$1085,$J81,'Data SO'!$G$2:$G$1085)</f>
        <v>11250000</v>
      </c>
      <c r="G81" s="4">
        <f>SUMIF('Data SCM'!$I$2:$I$698,$J81,'Data SCM'!$H$2:$H$698)</f>
        <v>10875000</v>
      </c>
      <c r="H81" s="4">
        <f t="shared" si="4"/>
        <v>-375000</v>
      </c>
      <c r="I81" s="3" t="str">
        <f>IF(COUNTIF('Data SCM'!$I$2:$I$698,$J81)=0,"Hanya di SO",IF(COUNTIF('Data SO'!$H$2:$H$1085,$J81)=0,"Hanya di SCM",IF(AND(ABS(E81)&lt;0.01,ABS(H81)&lt;1),"Sama",IF(ABS(E81)&lt;0.01,"Selisih nominal",IF(ABS(H81)&lt;1,"Selisih qty","Selisih qty &amp; nominal")))))</f>
        <v>Selisih qty &amp; nominal</v>
      </c>
      <c r="J81" t="s">
        <v>105</v>
      </c>
      <c r="K81" t="str">
        <f>IFERROR(INDEX('Data SCM'!$D$2:$D$698,MATCH($J81,'Data SCM'!$I$2:$I$698,0)),"")</f>
        <v>GR</v>
      </c>
      <c r="L81">
        <f t="shared" si="5"/>
        <v>1E-3</v>
      </c>
      <c r="M81" t="s">
        <v>3485</v>
      </c>
    </row>
    <row r="82" spans="1:13" x14ac:dyDescent="0.25">
      <c r="A82" s="3" t="str">
        <f>IFERROR(INDEX('Data SO'!$C$2:$C$1085,MATCH($J82,'Data SO'!$H$2:$H$1085,0)),INDEX('Data SCM'!$B$2:$B$698,MATCH($J82,'Data SCM'!$I$2:$I$698,0)))</f>
        <v>TATAKAN AMOR 22X22 KOTAK</v>
      </c>
      <c r="B82" s="3" t="str">
        <f>IFERROR(INDEX('Data SO'!$D$2:$D$1085,MATCH($J82,'Data SO'!$H$2:$H$1085,0)),K82)</f>
        <v>pcs</v>
      </c>
      <c r="C82" s="9">
        <f>SUMIF('Data SO'!$H$2:$H$1085,$J82,'Data SO'!$F$2:$F$1085)</f>
        <v>1380</v>
      </c>
      <c r="D82" s="9">
        <f>SUMIF('Data SCM'!$I$2:$I$698,$J82,'Data SCM'!$E$2:$E$698)*L82</f>
        <v>1380</v>
      </c>
      <c r="E82" s="9">
        <f t="shared" si="3"/>
        <v>0</v>
      </c>
      <c r="F82" s="4">
        <f>SUMIF('Data SO'!$H$2:$H$1085,$J82,'Data SO'!$G$2:$G$1085)</f>
        <v>5520000</v>
      </c>
      <c r="G82" s="4">
        <f>SUMIF('Data SCM'!$I$2:$I$698,$J82,'Data SCM'!$H$2:$H$698)</f>
        <v>5148461.4960000003</v>
      </c>
      <c r="H82" s="4">
        <f t="shared" si="4"/>
        <v>-371538.50399999972</v>
      </c>
      <c r="I82" s="3" t="str">
        <f>IF(COUNTIF('Data SCM'!$I$2:$I$698,$J82)=0,"Hanya di SO",IF(COUNTIF('Data SO'!$H$2:$H$1085,$J82)=0,"Hanya di SCM",IF(AND(ABS(E82)&lt;0.01,ABS(H82)&lt;1),"Sama",IF(ABS(E82)&lt;0.01,"Selisih nominal",IF(ABS(H82)&lt;1,"Selisih qty","Selisih qty &amp; nominal")))))</f>
        <v>Selisih nominal</v>
      </c>
      <c r="J82" t="s">
        <v>106</v>
      </c>
      <c r="K82" t="str">
        <f>IFERROR(INDEX('Data SCM'!$D$2:$D$698,MATCH($J82,'Data SCM'!$I$2:$I$698,0)),"")</f>
        <v>PCS</v>
      </c>
      <c r="L82">
        <f t="shared" si="5"/>
        <v>1</v>
      </c>
      <c r="M82" t="s">
        <v>3486</v>
      </c>
    </row>
    <row r="83" spans="1:13" x14ac:dyDescent="0.25">
      <c r="A83" s="3" t="str">
        <f>IFERROR(INDEX('Data SO'!$C$2:$C$1085,MATCH($J83,'Data SO'!$H$2:$H$1085,0)),INDEX('Data SCM'!$B$2:$B$698,MATCH($J83,'Data SCM'!$I$2:$I$698,0)))</f>
        <v>Plastik Opp 14x18</v>
      </c>
      <c r="B83" s="3" t="str">
        <f>IFERROR(INDEX('Data SO'!$D$2:$D$1085,MATCH($J83,'Data SO'!$H$2:$H$1085,0)),K83)</f>
        <v>PCS</v>
      </c>
      <c r="C83" s="9">
        <f>SUMIF('Data SO'!$H$2:$H$1085,$J83,'Data SO'!$F$2:$F$1085)</f>
        <v>0</v>
      </c>
      <c r="D83" s="9">
        <f>SUMIF('Data SCM'!$I$2:$I$698,$J83,'Data SCM'!$E$2:$E$698)*L83</f>
        <v>1000</v>
      </c>
      <c r="E83" s="9">
        <f t="shared" si="3"/>
        <v>1000</v>
      </c>
      <c r="F83" s="4">
        <f>SUMIF('Data SO'!$H$2:$H$1085,$J83,'Data SO'!$G$2:$G$1085)</f>
        <v>0</v>
      </c>
      <c r="G83" s="4">
        <f>SUMIF('Data SCM'!$I$2:$I$698,$J83,'Data SCM'!$H$2:$H$698)</f>
        <v>360000</v>
      </c>
      <c r="H83" s="4">
        <f t="shared" si="4"/>
        <v>360000</v>
      </c>
      <c r="I83" s="3" t="str">
        <f>IF(COUNTIF('Data SCM'!$I$2:$I$698,$J83)=0,"Hanya di SO",IF(COUNTIF('Data SO'!$H$2:$H$1085,$J83)=0,"Hanya di SCM",IF(AND(ABS(E83)&lt;0.01,ABS(H83)&lt;1),"Sama",IF(ABS(E83)&lt;0.01,"Selisih nominal",IF(ABS(H83)&lt;1,"Selisih qty","Selisih qty &amp; nominal")))))</f>
        <v>Hanya di SCM</v>
      </c>
      <c r="J83" t="s">
        <v>107</v>
      </c>
      <c r="K83" t="str">
        <f>IFERROR(INDEX('Data SCM'!$D$2:$D$698,MATCH($J83,'Data SCM'!$I$2:$I$698,0)),"")</f>
        <v>PCS</v>
      </c>
      <c r="L83">
        <f t="shared" si="5"/>
        <v>1</v>
      </c>
      <c r="M83" t="s">
        <v>3487</v>
      </c>
    </row>
    <row r="84" spans="1:13" x14ac:dyDescent="0.25">
      <c r="A84" s="3" t="str">
        <f>IFERROR(INDEX('Data SO'!$C$2:$C$1085,MATCH($J84,'Data SO'!$H$2:$H$1085,0)),INDEX('Data SCM'!$B$2:$B$698,MATCH($J84,'Data SCM'!$I$2:$I$698,0)))</f>
        <v>Background Shofia</v>
      </c>
      <c r="B84" s="3" t="str">
        <f>IFERROR(INDEX('Data SO'!$D$2:$D$1085,MATCH($J84,'Data SO'!$H$2:$H$1085,0)),K84)</f>
        <v>Pcs</v>
      </c>
      <c r="C84" s="9">
        <f>SUMIF('Data SO'!$H$2:$H$1085,$J84,'Data SO'!$F$2:$F$1085)</f>
        <v>40</v>
      </c>
      <c r="D84" s="9">
        <f>SUMIF('Data SCM'!$I$2:$I$698,$J84,'Data SCM'!$E$2:$E$698)*L84</f>
        <v>0</v>
      </c>
      <c r="E84" s="9">
        <f t="shared" si="3"/>
        <v>-40</v>
      </c>
      <c r="F84" s="4">
        <f>SUMIF('Data SO'!$H$2:$H$1085,$J84,'Data SO'!$G$2:$G$1085)</f>
        <v>340000</v>
      </c>
      <c r="G84" s="4">
        <f>SUMIF('Data SCM'!$I$2:$I$698,$J84,'Data SCM'!$H$2:$H$698)</f>
        <v>0</v>
      </c>
      <c r="H84" s="4">
        <f t="shared" si="4"/>
        <v>-340000</v>
      </c>
      <c r="I84" s="3" t="str">
        <f>IF(COUNTIF('Data SCM'!$I$2:$I$698,$J84)=0,"Hanya di SO",IF(COUNTIF('Data SO'!$H$2:$H$1085,$J84)=0,"Hanya di SCM",IF(AND(ABS(E84)&lt;0.01,ABS(H84)&lt;1),"Sama",IF(ABS(E84)&lt;0.01,"Selisih nominal",IF(ABS(H84)&lt;1,"Selisih qty","Selisih qty &amp; nominal")))))</f>
        <v>Selisih qty &amp; nominal</v>
      </c>
      <c r="J84" t="s">
        <v>108</v>
      </c>
      <c r="K84" t="str">
        <f>IFERROR(INDEX('Data SCM'!$D$2:$D$698,MATCH($J84,'Data SCM'!$I$2:$I$698,0)),"")</f>
        <v>PCS</v>
      </c>
      <c r="L84">
        <f t="shared" si="5"/>
        <v>1</v>
      </c>
      <c r="M84" t="s">
        <v>3478</v>
      </c>
    </row>
    <row r="85" spans="1:13" x14ac:dyDescent="0.25">
      <c r="A85" s="3" t="str">
        <f>IFERROR(INDEX('Data SO'!$C$2:$C$1085,MATCH($J85,'Data SO'!$H$2:$H$1085,0)),INDEX('Data SCM'!$B$2:$B$698,MATCH($J85,'Data SCM'!$I$2:$I$698,0)))</f>
        <v>PATUNG THOMAS</v>
      </c>
      <c r="B85" s="3" t="str">
        <f>IFERROR(INDEX('Data SO'!$D$2:$D$1085,MATCH($J85,'Data SO'!$H$2:$H$1085,0)),K85)</f>
        <v>Pcs</v>
      </c>
      <c r="C85" s="9">
        <f>SUMIF('Data SO'!$H$2:$H$1085,$J85,'Data SO'!$F$2:$F$1085)</f>
        <v>30</v>
      </c>
      <c r="D85" s="9">
        <f>SUMIF('Data SCM'!$I$2:$I$698,$J85,'Data SCM'!$E$2:$E$698)*L85</f>
        <v>0</v>
      </c>
      <c r="E85" s="9">
        <f t="shared" si="3"/>
        <v>-30</v>
      </c>
      <c r="F85" s="4">
        <f>SUMIF('Data SO'!$H$2:$H$1085,$J85,'Data SO'!$G$2:$G$1085)</f>
        <v>315000</v>
      </c>
      <c r="G85" s="4">
        <f>SUMIF('Data SCM'!$I$2:$I$698,$J85,'Data SCM'!$H$2:$H$698)</f>
        <v>0</v>
      </c>
      <c r="H85" s="4">
        <f t="shared" si="4"/>
        <v>-315000</v>
      </c>
      <c r="I85" s="3" t="str">
        <f>IF(COUNTIF('Data SCM'!$I$2:$I$698,$J85)=0,"Hanya di SO",IF(COUNTIF('Data SO'!$H$2:$H$1085,$J85)=0,"Hanya di SCM",IF(AND(ABS(E85)&lt;0.01,ABS(H85)&lt;1),"Sama",IF(ABS(E85)&lt;0.01,"Selisih nominal",IF(ABS(H85)&lt;1,"Selisih qty","Selisih qty &amp; nominal")))))</f>
        <v>Hanya di SO</v>
      </c>
      <c r="J85" t="s">
        <v>109</v>
      </c>
      <c r="K85" t="str">
        <f>IFERROR(INDEX('Data SCM'!$D$2:$D$698,MATCH($J85,'Data SCM'!$I$2:$I$698,0)),"")</f>
        <v/>
      </c>
      <c r="L85">
        <f t="shared" si="5"/>
        <v>1</v>
      </c>
      <c r="M85" t="s">
        <v>3488</v>
      </c>
    </row>
    <row r="86" spans="1:13" x14ac:dyDescent="0.25">
      <c r="A86" s="3" t="str">
        <f>IFERROR(INDEX('Data SO'!$C$2:$C$1085,MATCH($J86,'Data SO'!$H$2:$H$1085,0)),INDEX('Data SCM'!$B$2:$B$698,MATCH($J86,'Data SCM'!$I$2:$I$698,0)))</f>
        <v>Backround Kecil Marsha</v>
      </c>
      <c r="B86" s="3" t="str">
        <f>IFERROR(INDEX('Data SO'!$D$2:$D$1085,MATCH($J86,'Data SO'!$H$2:$H$1085,0)),K86)</f>
        <v>Pcs</v>
      </c>
      <c r="C86" s="9">
        <f>SUMIF('Data SO'!$H$2:$H$1085,$J86,'Data SO'!$F$2:$F$1085)</f>
        <v>68</v>
      </c>
      <c r="D86" s="9">
        <f>SUMIF('Data SCM'!$I$2:$I$698,$J86,'Data SCM'!$E$2:$E$698)*L86</f>
        <v>0</v>
      </c>
      <c r="E86" s="9">
        <f t="shared" si="3"/>
        <v>-68</v>
      </c>
      <c r="F86" s="4">
        <f>SUMIF('Data SO'!$H$2:$H$1085,$J86,'Data SO'!$G$2:$G$1085)</f>
        <v>306000</v>
      </c>
      <c r="G86" s="4">
        <f>SUMIF('Data SCM'!$I$2:$I$698,$J86,'Data SCM'!$H$2:$H$698)</f>
        <v>0</v>
      </c>
      <c r="H86" s="4">
        <f t="shared" si="4"/>
        <v>-306000</v>
      </c>
      <c r="I86" s="3" t="str">
        <f>IF(COUNTIF('Data SCM'!$I$2:$I$698,$J86)=0,"Hanya di SO",IF(COUNTIF('Data SO'!$H$2:$H$1085,$J86)=0,"Hanya di SCM",IF(AND(ABS(E86)&lt;0.01,ABS(H86)&lt;1),"Sama",IF(ABS(E86)&lt;0.01,"Selisih nominal",IF(ABS(H86)&lt;1,"Selisih qty","Selisih qty &amp; nominal")))))</f>
        <v>Selisih qty &amp; nominal</v>
      </c>
      <c r="J86" t="s">
        <v>110</v>
      </c>
      <c r="K86" t="str">
        <f>IFERROR(INDEX('Data SCM'!$D$2:$D$698,MATCH($J86,'Data SCM'!$I$2:$I$698,0)),"")</f>
        <v>PCS</v>
      </c>
      <c r="L86">
        <f t="shared" si="5"/>
        <v>1</v>
      </c>
      <c r="M86" t="s">
        <v>3479</v>
      </c>
    </row>
    <row r="87" spans="1:13" x14ac:dyDescent="0.25">
      <c r="A87" s="3" t="str">
        <f>IFERROR(INDEX('Data SO'!$C$2:$C$1085,MATCH($J87,'Data SO'!$H$2:$H$1085,0)),INDEX('Data SCM'!$B$2:$B$698,MATCH($J87,'Data SCM'!$I$2:$I$698,0)))</f>
        <v>Background Ben 10</v>
      </c>
      <c r="B87" s="3" t="str">
        <f>IFERROR(INDEX('Data SO'!$D$2:$D$1085,MATCH($J87,'Data SO'!$H$2:$H$1085,0)),K87)</f>
        <v>Pcs</v>
      </c>
      <c r="C87" s="9">
        <f>SUMIF('Data SO'!$H$2:$H$1085,$J87,'Data SO'!$F$2:$F$1085)</f>
        <v>35</v>
      </c>
      <c r="D87" s="9">
        <f>SUMIF('Data SCM'!$I$2:$I$698,$J87,'Data SCM'!$E$2:$E$698)*L87</f>
        <v>0</v>
      </c>
      <c r="E87" s="9">
        <f t="shared" si="3"/>
        <v>-35</v>
      </c>
      <c r="F87" s="4">
        <f>SUMIF('Data SO'!$H$2:$H$1085,$J87,'Data SO'!$G$2:$G$1085)</f>
        <v>297500</v>
      </c>
      <c r="G87" s="4">
        <f>SUMIF('Data SCM'!$I$2:$I$698,$J87,'Data SCM'!$H$2:$H$698)</f>
        <v>0</v>
      </c>
      <c r="H87" s="4">
        <f t="shared" si="4"/>
        <v>-297500</v>
      </c>
      <c r="I87" s="3" t="str">
        <f>IF(COUNTIF('Data SCM'!$I$2:$I$698,$J87)=0,"Hanya di SO",IF(COUNTIF('Data SO'!$H$2:$H$1085,$J87)=0,"Hanya di SCM",IF(AND(ABS(E87)&lt;0.01,ABS(H87)&lt;1),"Sama",IF(ABS(E87)&lt;0.01,"Selisih nominal",IF(ABS(H87)&lt;1,"Selisih qty","Selisih qty &amp; nominal")))))</f>
        <v>Selisih qty &amp; nominal</v>
      </c>
      <c r="J87" t="s">
        <v>111</v>
      </c>
      <c r="K87" t="str">
        <f>IFERROR(INDEX('Data SCM'!$D$2:$D$698,MATCH($J87,'Data SCM'!$I$2:$I$698,0)),"")</f>
        <v>PCS</v>
      </c>
      <c r="L87">
        <f t="shared" si="5"/>
        <v>1</v>
      </c>
      <c r="M87" t="s">
        <v>3480</v>
      </c>
    </row>
    <row r="88" spans="1:13" x14ac:dyDescent="0.25">
      <c r="A88" s="3" t="str">
        <f>IFERROR(INDEX('Data SO'!$C$2:$C$1085,MATCH($J88,'Data SO'!$H$2:$H$1085,0)),INDEX('Data SCM'!$B$2:$B$698,MATCH($J88,'Data SCM'!$I$2:$I$698,0)))</f>
        <v>Topper Ultah Upin Ipin @12set</v>
      </c>
      <c r="B88" s="3" t="str">
        <f>IFERROR(INDEX('Data SO'!$D$2:$D$1085,MATCH($J88,'Data SO'!$H$2:$H$1085,0)),K88)</f>
        <v>pcs</v>
      </c>
      <c r="C88" s="9">
        <f>SUMIF('Data SO'!$H$2:$H$1085,$J88,'Data SO'!$F$2:$F$1085)</f>
        <v>84</v>
      </c>
      <c r="D88" s="9">
        <f>SUMIF('Data SCM'!$I$2:$I$698,$J88,'Data SCM'!$E$2:$E$698)*L88</f>
        <v>0</v>
      </c>
      <c r="E88" s="9">
        <f t="shared" si="3"/>
        <v>-84</v>
      </c>
      <c r="F88" s="4">
        <f>SUMIF('Data SO'!$H$2:$H$1085,$J88,'Data SO'!$G$2:$G$1085)</f>
        <v>294000</v>
      </c>
      <c r="G88" s="4">
        <f>SUMIF('Data SCM'!$I$2:$I$698,$J88,'Data SCM'!$H$2:$H$698)</f>
        <v>0</v>
      </c>
      <c r="H88" s="4">
        <f t="shared" si="4"/>
        <v>-294000</v>
      </c>
      <c r="I88" s="3" t="str">
        <f>IF(COUNTIF('Data SCM'!$I$2:$I$698,$J88)=0,"Hanya di SO",IF(COUNTIF('Data SO'!$H$2:$H$1085,$J88)=0,"Hanya di SCM",IF(AND(ABS(E88)&lt;0.01,ABS(H88)&lt;1),"Sama",IF(ABS(E88)&lt;0.01,"Selisih nominal",IF(ABS(H88)&lt;1,"Selisih qty","Selisih qty &amp; nominal")))))</f>
        <v>Hanya di SO</v>
      </c>
      <c r="J88" t="s">
        <v>112</v>
      </c>
      <c r="K88" t="str">
        <f>IFERROR(INDEX('Data SCM'!$D$2:$D$698,MATCH($J88,'Data SCM'!$I$2:$I$698,0)),"")</f>
        <v/>
      </c>
      <c r="L88">
        <f t="shared" si="5"/>
        <v>1</v>
      </c>
      <c r="M88" t="s">
        <v>3492</v>
      </c>
    </row>
    <row r="89" spans="1:13" x14ac:dyDescent="0.25">
      <c r="A89" s="3" t="str">
        <f>IFERROR(INDEX('Data SO'!$C$2:$C$1085,MATCH($J89,'Data SO'!$H$2:$H$1085,0)),INDEX('Data SCM'!$B$2:$B$698,MATCH($J89,'Data SCM'!$I$2:$I$698,0)))</f>
        <v>LILIN KRITING MIX @1X100 PACK</v>
      </c>
      <c r="B89" s="3" t="str">
        <f>IFERROR(INDEX('Data SO'!$D$2:$D$1085,MATCH($J89,'Data SO'!$H$2:$H$1085,0)),K89)</f>
        <v>Pcs</v>
      </c>
      <c r="C89" s="9">
        <f>SUMIF('Data SO'!$H$2:$H$1085,$J89,'Data SO'!$F$2:$F$1085)</f>
        <v>618</v>
      </c>
      <c r="D89" s="9">
        <f>SUMIF('Data SCM'!$I$2:$I$698,$J89,'Data SCM'!$E$2:$E$698)*L89</f>
        <v>288</v>
      </c>
      <c r="E89" s="9">
        <f t="shared" si="3"/>
        <v>-330</v>
      </c>
      <c r="F89" s="4">
        <f>SUMIF('Data SO'!$H$2:$H$1085,$J89,'Data SO'!$G$2:$G$1085)</f>
        <v>515000</v>
      </c>
      <c r="G89" s="4">
        <f>SUMIF('Data SCM'!$I$2:$I$698,$J89,'Data SCM'!$H$2:$H$698)</f>
        <v>239999.99040000001</v>
      </c>
      <c r="H89" s="4">
        <f t="shared" si="4"/>
        <v>-275000.00959999999</v>
      </c>
      <c r="I89" s="3" t="str">
        <f>IF(COUNTIF('Data SCM'!$I$2:$I$698,$J89)=0,"Hanya di SO",IF(COUNTIF('Data SO'!$H$2:$H$1085,$J89)=0,"Hanya di SCM",IF(AND(ABS(E89)&lt;0.01,ABS(H89)&lt;1),"Sama",IF(ABS(E89)&lt;0.01,"Selisih nominal",IF(ABS(H89)&lt;1,"Selisih qty","Selisih qty &amp; nominal")))))</f>
        <v>Selisih qty &amp; nominal</v>
      </c>
      <c r="J89" t="s">
        <v>113</v>
      </c>
      <c r="K89" t="str">
        <f>IFERROR(INDEX('Data SCM'!$D$2:$D$698,MATCH($J89,'Data SCM'!$I$2:$I$698,0)),"")</f>
        <v>PCS</v>
      </c>
      <c r="L89">
        <f t="shared" si="5"/>
        <v>1</v>
      </c>
      <c r="M89" t="s">
        <v>3490</v>
      </c>
    </row>
    <row r="90" spans="1:13" x14ac:dyDescent="0.25">
      <c r="A90" s="3" t="str">
        <f>IFERROR(INDEX('Data SO'!$C$2:$C$1085,MATCH($J90,'Data SO'!$H$2:$H$1085,0)),INDEX('Data SCM'!$B$2:$B$698,MATCH($J90,'Data SCM'!$I$2:$I$698,0)))</f>
        <v>Sunbell Tuna (Chunk In Oil) @48Pcs</v>
      </c>
      <c r="B90" s="3" t="str">
        <f>IFERROR(INDEX('Data SO'!$D$2:$D$1085,MATCH($J90,'Data SO'!$H$2:$H$1085,0)),K90)</f>
        <v>Pcs</v>
      </c>
      <c r="C90" s="9">
        <f>SUMIF('Data SO'!$H$2:$H$1085,$J90,'Data SO'!$F$2:$F$1085)</f>
        <v>14</v>
      </c>
      <c r="D90" s="9">
        <f>SUMIF('Data SCM'!$I$2:$I$698,$J90,'Data SCM'!$E$2:$E$698)*L90</f>
        <v>0</v>
      </c>
      <c r="E90" s="9">
        <f t="shared" si="3"/>
        <v>-14</v>
      </c>
      <c r="F90" s="4">
        <f>SUMIF('Data SO'!$H$2:$H$1085,$J90,'Data SO'!$G$2:$G$1085)</f>
        <v>272270.83333333302</v>
      </c>
      <c r="G90" s="4">
        <f>SUMIF('Data SCM'!$I$2:$I$698,$J90,'Data SCM'!$H$2:$H$698)</f>
        <v>0</v>
      </c>
      <c r="H90" s="4">
        <f t="shared" si="4"/>
        <v>-272270.83333333302</v>
      </c>
      <c r="I90" s="3" t="str">
        <f>IF(COUNTIF('Data SCM'!$I$2:$I$698,$J90)=0,"Hanya di SO",IF(COUNTIF('Data SO'!$H$2:$H$1085,$J90)=0,"Hanya di SCM",IF(AND(ABS(E90)&lt;0.01,ABS(H90)&lt;1),"Sama",IF(ABS(E90)&lt;0.01,"Selisih nominal",IF(ABS(H90)&lt;1,"Selisih qty","Selisih qty &amp; nominal")))))</f>
        <v>Hanya di SO</v>
      </c>
      <c r="J90" t="s">
        <v>114</v>
      </c>
      <c r="K90" t="str">
        <f>IFERROR(INDEX('Data SCM'!$D$2:$D$698,MATCH($J90,'Data SCM'!$I$2:$I$698,0)),"")</f>
        <v/>
      </c>
      <c r="L90">
        <f t="shared" si="5"/>
        <v>1</v>
      </c>
      <c r="M90" t="s">
        <v>3466</v>
      </c>
    </row>
    <row r="91" spans="1:13" x14ac:dyDescent="0.25">
      <c r="A91" s="3" t="str">
        <f>IFERROR(INDEX('Data SO'!$C$2:$C$1085,MATCH($J91,'Data SO'!$H$2:$H$1085,0)),INDEX('Data SCM'!$B$2:$B$698,MATCH($J91,'Data SCM'!$I$2:$I$698,0)))</f>
        <v>Patung Shopia</v>
      </c>
      <c r="B91" s="3" t="str">
        <f>IFERROR(INDEX('Data SO'!$D$2:$D$1085,MATCH($J91,'Data SO'!$H$2:$H$1085,0)),K91)</f>
        <v>Pcs</v>
      </c>
      <c r="C91" s="9">
        <f>SUMIF('Data SO'!$H$2:$H$1085,$J91,'Data SO'!$F$2:$F$1085)</f>
        <v>22</v>
      </c>
      <c r="D91" s="9">
        <f>SUMIF('Data SCM'!$I$2:$I$698,$J91,'Data SCM'!$E$2:$E$698)*L91</f>
        <v>0</v>
      </c>
      <c r="E91" s="9">
        <f t="shared" si="3"/>
        <v>-22</v>
      </c>
      <c r="F91" s="4">
        <f>SUMIF('Data SO'!$H$2:$H$1085,$J91,'Data SO'!$G$2:$G$1085)</f>
        <v>253000</v>
      </c>
      <c r="G91" s="4">
        <f>SUMIF('Data SCM'!$I$2:$I$698,$J91,'Data SCM'!$H$2:$H$698)</f>
        <v>0</v>
      </c>
      <c r="H91" s="4">
        <f t="shared" si="4"/>
        <v>-253000</v>
      </c>
      <c r="I91" s="3" t="str">
        <f>IF(COUNTIF('Data SCM'!$I$2:$I$698,$J91)=0,"Hanya di SO",IF(COUNTIF('Data SO'!$H$2:$H$1085,$J91)=0,"Hanya di SCM",IF(AND(ABS(E91)&lt;0.01,ABS(H91)&lt;1),"Sama",IF(ABS(E91)&lt;0.01,"Selisih nominal",IF(ABS(H91)&lt;1,"Selisih qty","Selisih qty &amp; nominal")))))</f>
        <v>Selisih qty &amp; nominal</v>
      </c>
      <c r="J91" t="s">
        <v>115</v>
      </c>
      <c r="K91" t="str">
        <f>IFERROR(INDEX('Data SCM'!$D$2:$D$698,MATCH($J91,'Data SCM'!$I$2:$I$698,0)),"")</f>
        <v>PCS</v>
      </c>
      <c r="L91">
        <f t="shared" si="5"/>
        <v>1</v>
      </c>
      <c r="M91" t="s">
        <v>3481</v>
      </c>
    </row>
    <row r="92" spans="1:13" x14ac:dyDescent="0.25">
      <c r="A92" s="3" t="str">
        <f>IFERROR(INDEX('Data SO'!$C$2:$C$1085,MATCH($J92,'Data SO'!$H$2:$H$1085,0)),INDEX('Data SCM'!$B$2:$B$698,MATCH($J92,'Data SCM'!$I$2:$I$698,0)))</f>
        <v>Topper Ultah Cars @12set</v>
      </c>
      <c r="B92" s="3" t="str">
        <f>IFERROR(INDEX('Data SO'!$D$2:$D$1085,MATCH($J92,'Data SO'!$H$2:$H$1085,0)),K92)</f>
        <v>pcs</v>
      </c>
      <c r="C92" s="9">
        <f>SUMIF('Data SO'!$H$2:$H$1085,$J92,'Data SO'!$F$2:$F$1085)</f>
        <v>72</v>
      </c>
      <c r="D92" s="9">
        <f>SUMIF('Data SCM'!$I$2:$I$698,$J92,'Data SCM'!$E$2:$E$698)*L92</f>
        <v>0</v>
      </c>
      <c r="E92" s="9">
        <f t="shared" si="3"/>
        <v>-72</v>
      </c>
      <c r="F92" s="4">
        <f>SUMIF('Data SO'!$H$2:$H$1085,$J92,'Data SO'!$G$2:$G$1085)</f>
        <v>252000</v>
      </c>
      <c r="G92" s="4">
        <f>SUMIF('Data SCM'!$I$2:$I$698,$J92,'Data SCM'!$H$2:$H$698)</f>
        <v>0</v>
      </c>
      <c r="H92" s="4">
        <f t="shared" si="4"/>
        <v>-252000</v>
      </c>
      <c r="I92" s="3" t="str">
        <f>IF(COUNTIF('Data SCM'!$I$2:$I$698,$J92)=0,"Hanya di SO",IF(COUNTIF('Data SO'!$H$2:$H$1085,$J92)=0,"Hanya di SCM",IF(AND(ABS(E92)&lt;0.01,ABS(H92)&lt;1),"Sama",IF(ABS(E92)&lt;0.01,"Selisih nominal",IF(ABS(H92)&lt;1,"Selisih qty","Selisih qty &amp; nominal")))))</f>
        <v>Hanya di SO</v>
      </c>
      <c r="J92" t="s">
        <v>116</v>
      </c>
      <c r="K92" t="str">
        <f>IFERROR(INDEX('Data SCM'!$D$2:$D$698,MATCH($J92,'Data SCM'!$I$2:$I$698,0)),"")</f>
        <v/>
      </c>
      <c r="L92">
        <f t="shared" si="5"/>
        <v>1</v>
      </c>
      <c r="M92" t="s">
        <v>3467</v>
      </c>
    </row>
    <row r="93" spans="1:13" x14ac:dyDescent="0.25">
      <c r="A93" s="3" t="str">
        <f>IFERROR(INDEX('Data SO'!$C$2:$C$1085,MATCH($J93,'Data SO'!$H$2:$H$1085,0)),INDEX('Data SCM'!$B$2:$B$698,MATCH($J93,'Data SCM'!$I$2:$I$698,0)))</f>
        <v>Topper Ultah Ultraman @12set</v>
      </c>
      <c r="B93" s="3" t="str">
        <f>IFERROR(INDEX('Data SO'!$D$2:$D$1085,MATCH($J93,'Data SO'!$H$2:$H$1085,0)),K93)</f>
        <v>Pcs</v>
      </c>
      <c r="C93" s="9">
        <f>SUMIF('Data SO'!$H$2:$H$1085,$J93,'Data SO'!$F$2:$F$1085)</f>
        <v>72</v>
      </c>
      <c r="D93" s="9">
        <f>SUMIF('Data SCM'!$I$2:$I$698,$J93,'Data SCM'!$E$2:$E$698)*L93</f>
        <v>0</v>
      </c>
      <c r="E93" s="9">
        <f t="shared" si="3"/>
        <v>-72</v>
      </c>
      <c r="F93" s="4">
        <f>SUMIF('Data SO'!$H$2:$H$1085,$J93,'Data SO'!$G$2:$G$1085)</f>
        <v>252000</v>
      </c>
      <c r="G93" s="4">
        <f>SUMIF('Data SCM'!$I$2:$I$698,$J93,'Data SCM'!$H$2:$H$698)</f>
        <v>0</v>
      </c>
      <c r="H93" s="4">
        <f t="shared" si="4"/>
        <v>-252000</v>
      </c>
      <c r="I93" s="3" t="str">
        <f>IF(COUNTIF('Data SCM'!$I$2:$I$698,$J93)=0,"Hanya di SO",IF(COUNTIF('Data SO'!$H$2:$H$1085,$J93)=0,"Hanya di SCM",IF(AND(ABS(E93)&lt;0.01,ABS(H93)&lt;1),"Sama",IF(ABS(E93)&lt;0.01,"Selisih nominal",IF(ABS(H93)&lt;1,"Selisih qty","Selisih qty &amp; nominal")))))</f>
        <v>Hanya di SO</v>
      </c>
      <c r="J93" t="s">
        <v>117</v>
      </c>
      <c r="K93" t="str">
        <f>IFERROR(INDEX('Data SCM'!$D$2:$D$698,MATCH($J93,'Data SCM'!$I$2:$I$698,0)),"")</f>
        <v/>
      </c>
      <c r="L93">
        <f t="shared" si="5"/>
        <v>1</v>
      </c>
      <c r="M93" t="s">
        <v>3467</v>
      </c>
    </row>
    <row r="94" spans="1:13" x14ac:dyDescent="0.25">
      <c r="A94" s="3" t="str">
        <f>IFERROR(INDEX('Data SO'!$C$2:$C$1085,MATCH($J94,'Data SO'!$H$2:$H$1085,0)),INDEX('Data SCM'!$B$2:$B$698,MATCH($J94,'Data SCM'!$I$2:$I$698,0)))</f>
        <v>TEPUNG TAPIOKA</v>
      </c>
      <c r="B94" s="3" t="str">
        <f>IFERROR(INDEX('Data SO'!$D$2:$D$1085,MATCH($J94,'Data SO'!$H$2:$H$1085,0)),K94)</f>
        <v>kg</v>
      </c>
      <c r="C94" s="9">
        <f>SUMIF('Data SO'!$H$2:$H$1085,$J94,'Data SO'!$F$2:$F$1085)</f>
        <v>20</v>
      </c>
      <c r="D94" s="9">
        <f>SUMIF('Data SCM'!$I$2:$I$698,$J94,'Data SCM'!$E$2:$E$698)*L94</f>
        <v>0</v>
      </c>
      <c r="E94" s="9">
        <f t="shared" si="3"/>
        <v>-20</v>
      </c>
      <c r="F94" s="4">
        <f>SUMIF('Data SO'!$H$2:$H$1085,$J94,'Data SO'!$G$2:$G$1085)</f>
        <v>240000</v>
      </c>
      <c r="G94" s="4">
        <f>SUMIF('Data SCM'!$I$2:$I$698,$J94,'Data SCM'!$H$2:$H$698)</f>
        <v>0</v>
      </c>
      <c r="H94" s="4">
        <f t="shared" si="4"/>
        <v>-240000</v>
      </c>
      <c r="I94" s="3" t="str">
        <f>IF(COUNTIF('Data SCM'!$I$2:$I$698,$J94)=0,"Hanya di SO",IF(COUNTIF('Data SO'!$H$2:$H$1085,$J94)=0,"Hanya di SCM",IF(AND(ABS(E94)&lt;0.01,ABS(H94)&lt;1),"Sama",IF(ABS(E94)&lt;0.01,"Selisih nominal",IF(ABS(H94)&lt;1,"Selisih qty","Selisih qty &amp; nominal")))))</f>
        <v>Selisih qty &amp; nominal</v>
      </c>
      <c r="J94" t="s">
        <v>118</v>
      </c>
      <c r="K94" t="str">
        <f>IFERROR(INDEX('Data SCM'!$D$2:$D$698,MATCH($J94,'Data SCM'!$I$2:$I$698,0)),"")</f>
        <v>KG</v>
      </c>
      <c r="L94">
        <f t="shared" si="5"/>
        <v>1</v>
      </c>
      <c r="M94" t="s">
        <v>3499</v>
      </c>
    </row>
    <row r="95" spans="1:13" x14ac:dyDescent="0.25">
      <c r="A95" s="3" t="str">
        <f>IFERROR(INDEX('Data SO'!$C$2:$C$1085,MATCH($J95,'Data SO'!$H$2:$H$1085,0)),INDEX('Data SCM'!$B$2:$B$698,MATCH($J95,'Data SCM'!$I$2:$I$698,0)))</f>
        <v>PATUNG SPONGEBOB</v>
      </c>
      <c r="B95" s="3" t="str">
        <f>IFERROR(INDEX('Data SO'!$D$2:$D$1085,MATCH($J95,'Data SO'!$H$2:$H$1085,0)),K95)</f>
        <v>Pcs</v>
      </c>
      <c r="C95" s="9">
        <f>SUMIF('Data SO'!$H$2:$H$1085,$J95,'Data SO'!$F$2:$F$1085)</f>
        <v>25</v>
      </c>
      <c r="D95" s="9">
        <f>SUMIF('Data SCM'!$I$2:$I$698,$J95,'Data SCM'!$E$2:$E$698)*L95</f>
        <v>0</v>
      </c>
      <c r="E95" s="9">
        <f t="shared" si="3"/>
        <v>-25</v>
      </c>
      <c r="F95" s="4">
        <f>SUMIF('Data SO'!$H$2:$H$1085,$J95,'Data SO'!$G$2:$G$1085)</f>
        <v>237500</v>
      </c>
      <c r="G95" s="4">
        <f>SUMIF('Data SCM'!$I$2:$I$698,$J95,'Data SCM'!$H$2:$H$698)</f>
        <v>0</v>
      </c>
      <c r="H95" s="4">
        <f t="shared" si="4"/>
        <v>-237500</v>
      </c>
      <c r="I95" s="3" t="str">
        <f>IF(COUNTIF('Data SCM'!$I$2:$I$698,$J95)=0,"Hanya di SO",IF(COUNTIF('Data SO'!$H$2:$H$1085,$J95)=0,"Hanya di SCM",IF(AND(ABS(E95)&lt;0.01,ABS(H95)&lt;1),"Sama",IF(ABS(E95)&lt;0.01,"Selisih nominal",IF(ABS(H95)&lt;1,"Selisih qty","Selisih qty &amp; nominal")))))</f>
        <v>Hanya di SO</v>
      </c>
      <c r="J95" t="s">
        <v>119</v>
      </c>
      <c r="K95" t="str">
        <f>IFERROR(INDEX('Data SCM'!$D$2:$D$698,MATCH($J95,'Data SCM'!$I$2:$I$698,0)),"")</f>
        <v/>
      </c>
      <c r="L95">
        <f t="shared" si="5"/>
        <v>1</v>
      </c>
      <c r="M95" t="s">
        <v>3493</v>
      </c>
    </row>
    <row r="96" spans="1:13" x14ac:dyDescent="0.25">
      <c r="A96" s="3" t="str">
        <f>IFERROR(INDEX('Data SO'!$C$2:$C$1085,MATCH($J96,'Data SO'!$H$2:$H$1085,0)),INDEX('Data SCM'!$B$2:$B$698,MATCH($J96,'Data SCM'!$I$2:$I$698,0)))</f>
        <v>PATUNG DRAGON BALL</v>
      </c>
      <c r="B96" s="3" t="str">
        <f>IFERROR(INDEX('Data SO'!$D$2:$D$1085,MATCH($J96,'Data SO'!$H$2:$H$1085,0)),K96)</f>
        <v>Pcs</v>
      </c>
      <c r="C96" s="9">
        <f>SUMIF('Data SO'!$H$2:$H$1085,$J96,'Data SO'!$F$2:$F$1085)</f>
        <v>22</v>
      </c>
      <c r="D96" s="9">
        <f>SUMIF('Data SCM'!$I$2:$I$698,$J96,'Data SCM'!$E$2:$E$698)*L96</f>
        <v>0</v>
      </c>
      <c r="E96" s="9">
        <f t="shared" si="3"/>
        <v>-22</v>
      </c>
      <c r="F96" s="4">
        <f>SUMIF('Data SO'!$H$2:$H$1085,$J96,'Data SO'!$G$2:$G$1085)</f>
        <v>209000</v>
      </c>
      <c r="G96" s="4">
        <f>SUMIF('Data SCM'!$I$2:$I$698,$J96,'Data SCM'!$H$2:$H$698)</f>
        <v>0</v>
      </c>
      <c r="H96" s="4">
        <f t="shared" si="4"/>
        <v>-209000</v>
      </c>
      <c r="I96" s="3" t="str">
        <f>IF(COUNTIF('Data SCM'!$I$2:$I$698,$J96)=0,"Hanya di SO",IF(COUNTIF('Data SO'!$H$2:$H$1085,$J96)=0,"Hanya di SCM",IF(AND(ABS(E96)&lt;0.01,ABS(H96)&lt;1),"Sama",IF(ABS(E96)&lt;0.01,"Selisih nominal",IF(ABS(H96)&lt;1,"Selisih qty","Selisih qty &amp; nominal")))))</f>
        <v>Hanya di SO</v>
      </c>
      <c r="J96" t="s">
        <v>120</v>
      </c>
      <c r="K96" t="str">
        <f>IFERROR(INDEX('Data SCM'!$D$2:$D$698,MATCH($J96,'Data SCM'!$I$2:$I$698,0)),"")</f>
        <v/>
      </c>
      <c r="L96">
        <f t="shared" si="5"/>
        <v>1</v>
      </c>
      <c r="M96" t="s">
        <v>3481</v>
      </c>
    </row>
    <row r="97" spans="1:13" x14ac:dyDescent="0.25">
      <c r="A97" s="3" t="str">
        <f>IFERROR(INDEX('Data SO'!$C$2:$C$1085,MATCH($J97,'Data SO'!$H$2:$H$1085,0)),INDEX('Data SCM'!$B$2:$B$698,MATCH($J97,'Data SCM'!$I$2:$I$698,0)))</f>
        <v>LADA BUBUK</v>
      </c>
      <c r="B97" s="3" t="str">
        <f>IFERROR(INDEX('Data SO'!$D$2:$D$1085,MATCH($J97,'Data SO'!$H$2:$H$1085,0)),K97)</f>
        <v>gram</v>
      </c>
      <c r="C97" s="9">
        <f>SUMIF('Data SO'!$H$2:$H$1085,$J97,'Data SO'!$F$2:$F$1085)</f>
        <v>1000</v>
      </c>
      <c r="D97" s="9">
        <f>SUMIF('Data SCM'!$I$2:$I$698,$J97,'Data SCM'!$E$2:$E$698)*L97</f>
        <v>0</v>
      </c>
      <c r="E97" s="9">
        <f t="shared" si="3"/>
        <v>-1000</v>
      </c>
      <c r="F97" s="4">
        <f>SUMIF('Data SO'!$H$2:$H$1085,$J97,'Data SO'!$G$2:$G$1085)</f>
        <v>200000</v>
      </c>
      <c r="G97" s="4">
        <f>SUMIF('Data SCM'!$I$2:$I$698,$J97,'Data SCM'!$H$2:$H$698)</f>
        <v>0</v>
      </c>
      <c r="H97" s="4">
        <f t="shared" si="4"/>
        <v>-200000</v>
      </c>
      <c r="I97" s="3" t="str">
        <f>IF(COUNTIF('Data SCM'!$I$2:$I$698,$J97)=0,"Hanya di SO",IF(COUNTIF('Data SO'!$H$2:$H$1085,$J97)=0,"Hanya di SCM",IF(AND(ABS(E97)&lt;0.01,ABS(H97)&lt;1),"Sama",IF(ABS(E97)&lt;0.01,"Selisih nominal",IF(ABS(H97)&lt;1,"Selisih qty","Selisih qty &amp; nominal")))))</f>
        <v>Selisih qty &amp; nominal</v>
      </c>
      <c r="J97" t="s">
        <v>121</v>
      </c>
      <c r="K97" t="str">
        <f>IFERROR(INDEX('Data SCM'!$D$2:$D$698,MATCH($J97,'Data SCM'!$I$2:$I$698,0)),"")</f>
        <v>GR</v>
      </c>
      <c r="L97">
        <f t="shared" si="5"/>
        <v>1</v>
      </c>
      <c r="M97" t="s">
        <v>3487</v>
      </c>
    </row>
    <row r="98" spans="1:13" x14ac:dyDescent="0.25">
      <c r="A98" s="3" t="str">
        <f>IFERROR(INDEX('Data SO'!$C$2:$C$1085,MATCH($J98,'Data SO'!$H$2:$H$1085,0)),INDEX('Data SCM'!$B$2:$B$698,MATCH($J98,'Data SCM'!$I$2:$I$698,0)))</f>
        <v>PATUNG NARUTO CHIBI</v>
      </c>
      <c r="B98" s="3" t="str">
        <f>IFERROR(INDEX('Data SO'!$D$2:$D$1085,MATCH($J98,'Data SO'!$H$2:$H$1085,0)),K98)</f>
        <v>Pcs</v>
      </c>
      <c r="C98" s="9">
        <f>SUMIF('Data SO'!$H$2:$H$1085,$J98,'Data SO'!$F$2:$F$1085)</f>
        <v>19</v>
      </c>
      <c r="D98" s="9">
        <f>SUMIF('Data SCM'!$I$2:$I$698,$J98,'Data SCM'!$E$2:$E$698)*L98</f>
        <v>0</v>
      </c>
      <c r="E98" s="9">
        <f t="shared" si="3"/>
        <v>-19</v>
      </c>
      <c r="F98" s="4">
        <f>SUMIF('Data SO'!$H$2:$H$1085,$J98,'Data SO'!$G$2:$G$1085)</f>
        <v>199500</v>
      </c>
      <c r="G98" s="4">
        <f>SUMIF('Data SCM'!$I$2:$I$698,$J98,'Data SCM'!$H$2:$H$698)</f>
        <v>0</v>
      </c>
      <c r="H98" s="4">
        <f t="shared" si="4"/>
        <v>-199500</v>
      </c>
      <c r="I98" s="3" t="str">
        <f>IF(COUNTIF('Data SCM'!$I$2:$I$698,$J98)=0,"Hanya di SO",IF(COUNTIF('Data SO'!$H$2:$H$1085,$J98)=0,"Hanya di SCM",IF(AND(ABS(E98)&lt;0.01,ABS(H98)&lt;1),"Sama",IF(ABS(E98)&lt;0.01,"Selisih nominal",IF(ABS(H98)&lt;1,"Selisih qty","Selisih qty &amp; nominal")))))</f>
        <v>Hanya di SO</v>
      </c>
      <c r="J98" t="s">
        <v>122</v>
      </c>
      <c r="K98" t="str">
        <f>IFERROR(INDEX('Data SCM'!$D$2:$D$698,MATCH($J98,'Data SCM'!$I$2:$I$698,0)),"")</f>
        <v/>
      </c>
      <c r="L98">
        <f t="shared" si="5"/>
        <v>1</v>
      </c>
      <c r="M98" t="s">
        <v>3491</v>
      </c>
    </row>
    <row r="99" spans="1:13" x14ac:dyDescent="0.25">
      <c r="A99" s="3" t="str">
        <f>IFERROR(INDEX('Data SO'!$C$2:$C$1085,MATCH($J99,'Data SO'!$H$2:$H$1085,0)),INDEX('Data SCM'!$B$2:$B$698,MATCH($J99,'Data SCM'!$I$2:$I$698,0)))</f>
        <v>Backround Spongebob</v>
      </c>
      <c r="B99" s="3" t="str">
        <f>IFERROR(INDEX('Data SO'!$D$2:$D$1085,MATCH($J99,'Data SO'!$H$2:$H$1085,0)),K99)</f>
        <v>Pcs</v>
      </c>
      <c r="C99" s="9">
        <f>SUMIF('Data SO'!$H$2:$H$1085,$J99,'Data SO'!$F$2:$F$1085)</f>
        <v>22</v>
      </c>
      <c r="D99" s="9">
        <f>SUMIF('Data SCM'!$I$2:$I$698,$J99,'Data SCM'!$E$2:$E$698)*L99</f>
        <v>0</v>
      </c>
      <c r="E99" s="9">
        <f t="shared" si="3"/>
        <v>-22</v>
      </c>
      <c r="F99" s="4">
        <f>SUMIF('Data SO'!$H$2:$H$1085,$J99,'Data SO'!$G$2:$G$1085)</f>
        <v>187000</v>
      </c>
      <c r="G99" s="4">
        <f>SUMIF('Data SCM'!$I$2:$I$698,$J99,'Data SCM'!$H$2:$H$698)</f>
        <v>0</v>
      </c>
      <c r="H99" s="4">
        <f t="shared" si="4"/>
        <v>-187000</v>
      </c>
      <c r="I99" s="3" t="str">
        <f>IF(COUNTIF('Data SCM'!$I$2:$I$698,$J99)=0,"Hanya di SO",IF(COUNTIF('Data SO'!$H$2:$H$1085,$J99)=0,"Hanya di SCM",IF(AND(ABS(E99)&lt;0.01,ABS(H99)&lt;1),"Sama",IF(ABS(E99)&lt;0.01,"Selisih nominal",IF(ABS(H99)&lt;1,"Selisih qty","Selisih qty &amp; nominal")))))</f>
        <v>Selisih qty &amp; nominal</v>
      </c>
      <c r="J99" t="s">
        <v>123</v>
      </c>
      <c r="K99" t="str">
        <f>IFERROR(INDEX('Data SCM'!$D$2:$D$698,MATCH($J99,'Data SCM'!$I$2:$I$698,0)),"")</f>
        <v>PCS</v>
      </c>
      <c r="L99">
        <f t="shared" si="5"/>
        <v>1</v>
      </c>
      <c r="M99" t="s">
        <v>3481</v>
      </c>
    </row>
    <row r="100" spans="1:13" x14ac:dyDescent="0.25">
      <c r="A100" s="3" t="str">
        <f>IFERROR(INDEX('Data SO'!$C$2:$C$1085,MATCH($J100,'Data SO'!$H$2:$H$1085,0)),INDEX('Data SCM'!$B$2:$B$698,MATCH($J100,'Data SCM'!$I$2:$I$698,0)))</f>
        <v>Backround Frozen</v>
      </c>
      <c r="B100" s="3" t="str">
        <f>IFERROR(INDEX('Data SO'!$D$2:$D$1085,MATCH($J100,'Data SO'!$H$2:$H$1085,0)),K100)</f>
        <v>Pcs</v>
      </c>
      <c r="C100" s="9">
        <f>SUMIF('Data SO'!$H$2:$H$1085,$J100,'Data SO'!$F$2:$F$1085)</f>
        <v>21</v>
      </c>
      <c r="D100" s="9">
        <f>SUMIF('Data SCM'!$I$2:$I$698,$J100,'Data SCM'!$E$2:$E$698)*L100</f>
        <v>0</v>
      </c>
      <c r="E100" s="9">
        <f t="shared" si="3"/>
        <v>-21</v>
      </c>
      <c r="F100" s="4">
        <f>SUMIF('Data SO'!$H$2:$H$1085,$J100,'Data SO'!$G$2:$G$1085)</f>
        <v>178500</v>
      </c>
      <c r="G100" s="4">
        <f>SUMIF('Data SCM'!$I$2:$I$698,$J100,'Data SCM'!$H$2:$H$698)</f>
        <v>0</v>
      </c>
      <c r="H100" s="4">
        <f t="shared" si="4"/>
        <v>-178500</v>
      </c>
      <c r="I100" s="3" t="str">
        <f>IF(COUNTIF('Data SCM'!$I$2:$I$698,$J100)=0,"Hanya di SO",IF(COUNTIF('Data SO'!$H$2:$H$1085,$J100)=0,"Hanya di SCM",IF(AND(ABS(E100)&lt;0.01,ABS(H100)&lt;1),"Sama",IF(ABS(E100)&lt;0.01,"Selisih nominal",IF(ABS(H100)&lt;1,"Selisih qty","Selisih qty &amp; nominal")))))</f>
        <v>Selisih qty &amp; nominal</v>
      </c>
      <c r="J100" t="s">
        <v>124</v>
      </c>
      <c r="K100" t="str">
        <f>IFERROR(INDEX('Data SCM'!$D$2:$D$698,MATCH($J100,'Data SCM'!$I$2:$I$698,0)),"")</f>
        <v>PCS</v>
      </c>
      <c r="L100">
        <f t="shared" si="5"/>
        <v>1</v>
      </c>
      <c r="M100" t="s">
        <v>3489</v>
      </c>
    </row>
    <row r="101" spans="1:13" x14ac:dyDescent="0.25">
      <c r="A101" s="3" t="str">
        <f>IFERROR(INDEX('Data SO'!$C$2:$C$1085,MATCH($J101,'Data SO'!$H$2:$H$1085,0)),INDEX('Data SCM'!$B$2:$B$698,MATCH($J101,'Data SCM'!$I$2:$I$698,0)))</f>
        <v>Backround Hello Kitty</v>
      </c>
      <c r="B101" s="3" t="str">
        <f>IFERROR(INDEX('Data SO'!$D$2:$D$1085,MATCH($J101,'Data SO'!$H$2:$H$1085,0)),K101)</f>
        <v>Pcs</v>
      </c>
      <c r="C101" s="9">
        <f>SUMIF('Data SO'!$H$2:$H$1085,$J101,'Data SO'!$F$2:$F$1085)</f>
        <v>19</v>
      </c>
      <c r="D101" s="9">
        <f>SUMIF('Data SCM'!$I$2:$I$698,$J101,'Data SCM'!$E$2:$E$698)*L101</f>
        <v>0</v>
      </c>
      <c r="E101" s="9">
        <f t="shared" si="3"/>
        <v>-19</v>
      </c>
      <c r="F101" s="4">
        <f>SUMIF('Data SO'!$H$2:$H$1085,$J101,'Data SO'!$G$2:$G$1085)</f>
        <v>161500</v>
      </c>
      <c r="G101" s="4">
        <f>SUMIF('Data SCM'!$I$2:$I$698,$J101,'Data SCM'!$H$2:$H$698)</f>
        <v>0</v>
      </c>
      <c r="H101" s="4">
        <f t="shared" si="4"/>
        <v>-161500</v>
      </c>
      <c r="I101" s="3" t="str">
        <f>IF(COUNTIF('Data SCM'!$I$2:$I$698,$J101)=0,"Hanya di SO",IF(COUNTIF('Data SO'!$H$2:$H$1085,$J101)=0,"Hanya di SCM",IF(AND(ABS(E101)&lt;0.01,ABS(H101)&lt;1),"Sama",IF(ABS(E101)&lt;0.01,"Selisih nominal",IF(ABS(H101)&lt;1,"Selisih qty","Selisih qty &amp; nominal")))))</f>
        <v>Selisih qty &amp; nominal</v>
      </c>
      <c r="J101" t="s">
        <v>125</v>
      </c>
      <c r="K101" t="str">
        <f>IFERROR(INDEX('Data SCM'!$D$2:$D$698,MATCH($J101,'Data SCM'!$I$2:$I$698,0)),"")</f>
        <v>PCS</v>
      </c>
      <c r="L101">
        <f t="shared" si="5"/>
        <v>1</v>
      </c>
      <c r="M101" t="s">
        <v>3491</v>
      </c>
    </row>
    <row r="102" spans="1:13" x14ac:dyDescent="0.25">
      <c r="A102" s="3" t="str">
        <f>IFERROR(INDEX('Data SO'!$C$2:$C$1085,MATCH($J102,'Data SO'!$H$2:$H$1085,0)),INDEX('Data SCM'!$B$2:$B$698,MATCH($J102,'Data SCM'!$I$2:$I$698,0)))</f>
        <v>BUBBLE WRAP</v>
      </c>
      <c r="B102" s="3" t="str">
        <f>IFERROR(INDEX('Data SO'!$D$2:$D$1085,MATCH($J102,'Data SO'!$H$2:$H$1085,0)),K102)</f>
        <v>Pack</v>
      </c>
      <c r="C102" s="9">
        <f>SUMIF('Data SO'!$H$2:$H$1085,$J102,'Data SO'!$F$2:$F$1085)</f>
        <v>1</v>
      </c>
      <c r="D102" s="9">
        <f>SUMIF('Data SCM'!$I$2:$I$698,$J102,'Data SCM'!$E$2:$E$698)*L102</f>
        <v>0</v>
      </c>
      <c r="E102" s="9">
        <f t="shared" si="3"/>
        <v>-1</v>
      </c>
      <c r="F102" s="4">
        <f>SUMIF('Data SO'!$H$2:$H$1085,$J102,'Data SO'!$G$2:$G$1085)</f>
        <v>150000</v>
      </c>
      <c r="G102" s="4">
        <f>SUMIF('Data SCM'!$I$2:$I$698,$J102,'Data SCM'!$H$2:$H$698)</f>
        <v>0</v>
      </c>
      <c r="H102" s="4">
        <f t="shared" si="4"/>
        <v>-150000</v>
      </c>
      <c r="I102" s="3" t="str">
        <f>IF(COUNTIF('Data SCM'!$I$2:$I$698,$J102)=0,"Hanya di SO",IF(COUNTIF('Data SO'!$H$2:$H$1085,$J102)=0,"Hanya di SCM",IF(AND(ABS(E102)&lt;0.01,ABS(H102)&lt;1),"Sama",IF(ABS(E102)&lt;0.01,"Selisih nominal",IF(ABS(H102)&lt;1,"Selisih qty","Selisih qty &amp; nominal")))))</f>
        <v>Hanya di SO</v>
      </c>
      <c r="J102" t="s">
        <v>126</v>
      </c>
      <c r="K102" t="str">
        <f>IFERROR(INDEX('Data SCM'!$D$2:$D$698,MATCH($J102,'Data SCM'!$I$2:$I$698,0)),"")</f>
        <v/>
      </c>
      <c r="L102">
        <f t="shared" si="5"/>
        <v>1</v>
      </c>
      <c r="M102" t="s">
        <v>3408</v>
      </c>
    </row>
    <row r="103" spans="1:13" x14ac:dyDescent="0.25">
      <c r="A103" s="3" t="str">
        <f>IFERROR(INDEX('Data SO'!$C$2:$C$1085,MATCH($J103,'Data SO'!$H$2:$H$1085,0)),INDEX('Data SCM'!$B$2:$B$698,MATCH($J103,'Data SCM'!$I$2:$I$698,0)))</f>
        <v>PEWARNA UNGU CAP KUPU-KUPU</v>
      </c>
      <c r="B103" s="3" t="str">
        <f>IFERROR(INDEX('Data SO'!$D$2:$D$1085,MATCH($J103,'Data SO'!$H$2:$H$1085,0)),K103)</f>
        <v>Pcs</v>
      </c>
      <c r="C103" s="9">
        <f>SUMIF('Data SO'!$H$2:$H$1085,$J103,'Data SO'!$F$2:$F$1085)</f>
        <v>0</v>
      </c>
      <c r="D103" s="9">
        <f>SUMIF('Data SCM'!$I$2:$I$698,$J103,'Data SCM'!$E$2:$E$698)*L103</f>
        <v>24</v>
      </c>
      <c r="E103" s="9">
        <f t="shared" si="3"/>
        <v>24</v>
      </c>
      <c r="F103" s="4">
        <f>SUMIF('Data SO'!$H$2:$H$1085,$J103,'Data SO'!$G$2:$G$1085)</f>
        <v>0</v>
      </c>
      <c r="G103" s="4">
        <f>SUMIF('Data SCM'!$I$2:$I$698,$J103,'Data SCM'!$H$2:$H$698)</f>
        <v>144000</v>
      </c>
      <c r="H103" s="4">
        <f t="shared" si="4"/>
        <v>144000</v>
      </c>
      <c r="I103" s="3" t="str">
        <f>IF(COUNTIF('Data SCM'!$I$2:$I$698,$J103)=0,"Hanya di SO",IF(COUNTIF('Data SO'!$H$2:$H$1085,$J103)=0,"Hanya di SCM",IF(AND(ABS(E103)&lt;0.01,ABS(H103)&lt;1),"Sama",IF(ABS(E103)&lt;0.01,"Selisih nominal",IF(ABS(H103)&lt;1,"Selisih qty","Selisih qty &amp; nominal")))))</f>
        <v>Selisih qty &amp; nominal</v>
      </c>
      <c r="J103" t="s">
        <v>127</v>
      </c>
      <c r="K103" t="str">
        <f>IFERROR(INDEX('Data SCM'!$D$2:$D$698,MATCH($J103,'Data SCM'!$I$2:$I$698,0)),"")</f>
        <v>PCS</v>
      </c>
      <c r="L103">
        <f t="shared" si="5"/>
        <v>1</v>
      </c>
      <c r="M103" t="s">
        <v>3440</v>
      </c>
    </row>
    <row r="104" spans="1:13" x14ac:dyDescent="0.25">
      <c r="A104" s="3" t="str">
        <f>IFERROR(INDEX('Data SO'!$C$2:$C$1085,MATCH($J104,'Data SO'!$H$2:$H$1085,0)),INDEX('Data SCM'!$B$2:$B$698,MATCH($J104,'Data SCM'!$I$2:$I$698,0)))</f>
        <v>Gelatin @1Kg</v>
      </c>
      <c r="B104" s="3" t="str">
        <f>IFERROR(INDEX('Data SO'!$D$2:$D$1085,MATCH($J104,'Data SO'!$H$2:$H$1085,0)),K104)</f>
        <v>kg</v>
      </c>
      <c r="C104" s="9">
        <f>SUMIF('Data SO'!$H$2:$H$1085,$J104,'Data SO'!$F$2:$F$1085)</f>
        <v>0</v>
      </c>
      <c r="D104" s="9">
        <f>SUMIF('Data SCM'!$I$2:$I$698,$J104,'Data SCM'!$E$2:$E$698)*L104</f>
        <v>0.5</v>
      </c>
      <c r="E104" s="9">
        <f t="shared" si="3"/>
        <v>0.5</v>
      </c>
      <c r="F104" s="4">
        <f>SUMIF('Data SO'!$H$2:$H$1085,$J104,'Data SO'!$G$2:$G$1085)</f>
        <v>0</v>
      </c>
      <c r="G104" s="4">
        <f>SUMIF('Data SCM'!$I$2:$I$698,$J104,'Data SCM'!$H$2:$H$698)</f>
        <v>120000</v>
      </c>
      <c r="H104" s="4">
        <f t="shared" si="4"/>
        <v>120000</v>
      </c>
      <c r="I104" s="3" t="str">
        <f>IF(COUNTIF('Data SCM'!$I$2:$I$698,$J104)=0,"Hanya di SO",IF(COUNTIF('Data SO'!$H$2:$H$1085,$J104)=0,"Hanya di SCM",IF(AND(ABS(E104)&lt;0.01,ABS(H104)&lt;1),"Sama",IF(ABS(E104)&lt;0.01,"Selisih nominal",IF(ABS(H104)&lt;1,"Selisih qty","Selisih qty &amp; nominal")))))</f>
        <v>Selisih qty &amp; nominal</v>
      </c>
      <c r="J104" t="s">
        <v>128</v>
      </c>
      <c r="K104" t="str">
        <f>IFERROR(INDEX('Data SCM'!$D$2:$D$698,MATCH($J104,'Data SCM'!$I$2:$I$698,0)),"")</f>
        <v>KG</v>
      </c>
      <c r="L104">
        <f t="shared" si="5"/>
        <v>1</v>
      </c>
      <c r="M104" t="s">
        <v>3500</v>
      </c>
    </row>
    <row r="105" spans="1:13" x14ac:dyDescent="0.25">
      <c r="A105" s="3" t="str">
        <f>IFERROR(INDEX('Data SO'!$C$2:$C$1085,MATCH($J105,'Data SO'!$H$2:$H$1085,0)),INDEX('Data SCM'!$B$2:$B$698,MATCH($J105,'Data SCM'!$I$2:$I$698,0)))</f>
        <v>PATUNG ANGRY BIRD PLASTIK</v>
      </c>
      <c r="B105" s="3" t="str">
        <f>IFERROR(INDEX('Data SO'!$D$2:$D$1085,MATCH($J105,'Data SO'!$H$2:$H$1085,0)),K105)</f>
        <v>Pcs</v>
      </c>
      <c r="C105" s="9">
        <f>SUMIF('Data SO'!$H$2:$H$1085,$J105,'Data SO'!$F$2:$F$1085)</f>
        <v>18</v>
      </c>
      <c r="D105" s="9">
        <f>SUMIF('Data SCM'!$I$2:$I$698,$J105,'Data SCM'!$E$2:$E$698)*L105</f>
        <v>0</v>
      </c>
      <c r="E105" s="9">
        <f t="shared" si="3"/>
        <v>-18</v>
      </c>
      <c r="F105" s="4">
        <f>SUMIF('Data SO'!$H$2:$H$1085,$J105,'Data SO'!$G$2:$G$1085)</f>
        <v>117000</v>
      </c>
      <c r="G105" s="4">
        <f>SUMIF('Data SCM'!$I$2:$I$698,$J105,'Data SCM'!$H$2:$H$698)</f>
        <v>0</v>
      </c>
      <c r="H105" s="4">
        <f t="shared" si="4"/>
        <v>-117000</v>
      </c>
      <c r="I105" s="3" t="str">
        <f>IF(COUNTIF('Data SCM'!$I$2:$I$698,$J105)=0,"Hanya di SO",IF(COUNTIF('Data SO'!$H$2:$H$1085,$J105)=0,"Hanya di SCM",IF(AND(ABS(E105)&lt;0.01,ABS(H105)&lt;1),"Sama",IF(ABS(E105)&lt;0.01,"Selisih nominal",IF(ABS(H105)&lt;1,"Selisih qty","Selisih qty &amp; nominal")))))</f>
        <v>Hanya di SO</v>
      </c>
      <c r="J105" t="s">
        <v>129</v>
      </c>
      <c r="K105" t="str">
        <f>IFERROR(INDEX('Data SCM'!$D$2:$D$698,MATCH($J105,'Data SCM'!$I$2:$I$698,0)),"")</f>
        <v/>
      </c>
      <c r="L105">
        <f t="shared" si="5"/>
        <v>1</v>
      </c>
      <c r="M105" t="s">
        <v>3494</v>
      </c>
    </row>
    <row r="106" spans="1:13" x14ac:dyDescent="0.25">
      <c r="A106" s="3" t="str">
        <f>IFERROR(INDEX('Data SO'!$C$2:$C$1085,MATCH($J106,'Data SO'!$H$2:$H$1085,0)),INDEX('Data SCM'!$B$2:$B$698,MATCH($J106,'Data SCM'!$I$2:$I$698,0)))</f>
        <v>Backround Kecil Spiderman</v>
      </c>
      <c r="B106" s="3" t="str">
        <f>IFERROR(INDEX('Data SO'!$D$2:$D$1085,MATCH($J106,'Data SO'!$H$2:$H$1085,0)),K106)</f>
        <v>Pcs</v>
      </c>
      <c r="C106" s="9">
        <f>SUMIF('Data SO'!$H$2:$H$1085,$J106,'Data SO'!$F$2:$F$1085)</f>
        <v>25</v>
      </c>
      <c r="D106" s="9">
        <f>SUMIF('Data SCM'!$I$2:$I$698,$J106,'Data SCM'!$E$2:$E$698)*L106</f>
        <v>0</v>
      </c>
      <c r="E106" s="9">
        <f t="shared" si="3"/>
        <v>-25</v>
      </c>
      <c r="F106" s="4">
        <f>SUMIF('Data SO'!$H$2:$H$1085,$J106,'Data SO'!$G$2:$G$1085)</f>
        <v>112500</v>
      </c>
      <c r="G106" s="4">
        <f>SUMIF('Data SCM'!$I$2:$I$698,$J106,'Data SCM'!$H$2:$H$698)</f>
        <v>0</v>
      </c>
      <c r="H106" s="4">
        <f t="shared" si="4"/>
        <v>-112500</v>
      </c>
      <c r="I106" s="3" t="str">
        <f>IF(COUNTIF('Data SCM'!$I$2:$I$698,$J106)=0,"Hanya di SO",IF(COUNTIF('Data SO'!$H$2:$H$1085,$J106)=0,"Hanya di SCM",IF(AND(ABS(E106)&lt;0.01,ABS(H106)&lt;1),"Sama",IF(ABS(E106)&lt;0.01,"Selisih nominal",IF(ABS(H106)&lt;1,"Selisih qty","Selisih qty &amp; nominal")))))</f>
        <v>Selisih qty &amp; nominal</v>
      </c>
      <c r="J106" t="s">
        <v>130</v>
      </c>
      <c r="K106" t="str">
        <f>IFERROR(INDEX('Data SCM'!$D$2:$D$698,MATCH($J106,'Data SCM'!$I$2:$I$698,0)),"")</f>
        <v>PCS</v>
      </c>
      <c r="L106">
        <f t="shared" si="5"/>
        <v>1</v>
      </c>
      <c r="M106" t="s">
        <v>3493</v>
      </c>
    </row>
    <row r="107" spans="1:13" x14ac:dyDescent="0.25">
      <c r="A107" s="3" t="str">
        <f>IFERROR(INDEX('Data SO'!$C$2:$C$1085,MATCH($J107,'Data SO'!$H$2:$H$1085,0)),INDEX('Data SCM'!$B$2:$B$698,MATCH($J107,'Data SCM'!$I$2:$I$698,0)))</f>
        <v>MANDARIN ORANGE WILMOND</v>
      </c>
      <c r="B107" s="3" t="str">
        <f>IFERROR(INDEX('Data SO'!$D$2:$D$1085,MATCH($J107,'Data SO'!$H$2:$H$1085,0)),K107)</f>
        <v>jar</v>
      </c>
      <c r="C107" s="9">
        <f>SUMIF('Data SO'!$H$2:$H$1085,$J107,'Data SO'!$F$2:$F$1085)</f>
        <v>0</v>
      </c>
      <c r="D107" s="9">
        <f>SUMIF('Data SCM'!$I$2:$I$698,$J107,'Data SCM'!$E$2:$E$698)*L107</f>
        <v>7</v>
      </c>
      <c r="E107" s="9">
        <f t="shared" si="3"/>
        <v>7</v>
      </c>
      <c r="F107" s="4">
        <f>SUMIF('Data SO'!$H$2:$H$1085,$J107,'Data SO'!$G$2:$G$1085)</f>
        <v>0</v>
      </c>
      <c r="G107" s="4">
        <f>SUMIF('Data SCM'!$I$2:$I$698,$J107,'Data SCM'!$H$2:$H$698)</f>
        <v>104117.6955</v>
      </c>
      <c r="H107" s="4">
        <f t="shared" si="4"/>
        <v>104117.6955</v>
      </c>
      <c r="I107" s="3" t="str">
        <f>IF(COUNTIF('Data SCM'!$I$2:$I$698,$J107)=0,"Hanya di SO",IF(COUNTIF('Data SO'!$H$2:$H$1085,$J107)=0,"Hanya di SCM",IF(AND(ABS(E107)&lt;0.01,ABS(H107)&lt;1),"Sama",IF(ABS(E107)&lt;0.01,"Selisih nominal",IF(ABS(H107)&lt;1,"Selisih qty","Selisih qty &amp; nominal")))))</f>
        <v>Selisih qty &amp; nominal</v>
      </c>
      <c r="J107" t="s">
        <v>131</v>
      </c>
      <c r="K107" t="str">
        <f>IFERROR(INDEX('Data SCM'!$D$2:$D$698,MATCH($J107,'Data SCM'!$I$2:$I$698,0)),"")</f>
        <v>JAR</v>
      </c>
      <c r="L107">
        <f t="shared" si="5"/>
        <v>1</v>
      </c>
      <c r="M107" t="s">
        <v>3470</v>
      </c>
    </row>
    <row r="108" spans="1:13" x14ac:dyDescent="0.25">
      <c r="A108" s="3" t="str">
        <f>IFERROR(INDEX('Data SO'!$C$2:$C$1085,MATCH($J108,'Data SO'!$H$2:$H$1085,0)),INDEX('Data SCM'!$B$2:$B$698,MATCH($J108,'Data SCM'!$I$2:$I$698,0)))</f>
        <v>Backround Boboboi Kecil</v>
      </c>
      <c r="B108" s="3" t="str">
        <f>IFERROR(INDEX('Data SO'!$D$2:$D$1085,MATCH($J108,'Data SO'!$H$2:$H$1085,0)),K108)</f>
        <v>Pcs</v>
      </c>
      <c r="C108" s="9">
        <f>SUMIF('Data SO'!$H$2:$H$1085,$J108,'Data SO'!$F$2:$F$1085)</f>
        <v>23</v>
      </c>
      <c r="D108" s="9">
        <f>SUMIF('Data SCM'!$I$2:$I$698,$J108,'Data SCM'!$E$2:$E$698)*L108</f>
        <v>0</v>
      </c>
      <c r="E108" s="9">
        <f t="shared" si="3"/>
        <v>-23</v>
      </c>
      <c r="F108" s="4">
        <f>SUMIF('Data SO'!$H$2:$H$1085,$J108,'Data SO'!$G$2:$G$1085)</f>
        <v>103500</v>
      </c>
      <c r="G108" s="4">
        <f>SUMIF('Data SCM'!$I$2:$I$698,$J108,'Data SCM'!$H$2:$H$698)</f>
        <v>0</v>
      </c>
      <c r="H108" s="4">
        <f t="shared" si="4"/>
        <v>-103500</v>
      </c>
      <c r="I108" s="3" t="str">
        <f>IF(COUNTIF('Data SCM'!$I$2:$I$698,$J108)=0,"Hanya di SO",IF(COUNTIF('Data SO'!$H$2:$H$1085,$J108)=0,"Hanya di SCM",IF(AND(ABS(E108)&lt;0.01,ABS(H108)&lt;1),"Sama",IF(ABS(E108)&lt;0.01,"Selisih nominal",IF(ABS(H108)&lt;1,"Selisih qty","Selisih qty &amp; nominal")))))</f>
        <v>Selisih qty &amp; nominal</v>
      </c>
      <c r="J108" t="s">
        <v>132</v>
      </c>
      <c r="K108" t="str">
        <f>IFERROR(INDEX('Data SCM'!$D$2:$D$698,MATCH($J108,'Data SCM'!$I$2:$I$698,0)),"")</f>
        <v>PCS</v>
      </c>
      <c r="L108">
        <f t="shared" si="5"/>
        <v>1</v>
      </c>
      <c r="M108" t="s">
        <v>3495</v>
      </c>
    </row>
    <row r="109" spans="1:13" x14ac:dyDescent="0.25">
      <c r="A109" s="3" t="str">
        <f>IFERROR(INDEX('Data SO'!$C$2:$C$1085,MATCH($J109,'Data SO'!$H$2:$H$1085,0)),INDEX('Data SCM'!$B$2:$B$698,MATCH($J109,'Data SCM'!$I$2:$I$698,0)))</f>
        <v>KERTAS FOTO A4</v>
      </c>
      <c r="B109" s="3" t="str">
        <f>IFERROR(INDEX('Data SO'!$D$2:$D$1085,MATCH($J109,'Data SO'!$H$2:$H$1085,0)),K109)</f>
        <v>Pack</v>
      </c>
      <c r="C109" s="9">
        <f>SUMIF('Data SO'!$H$2:$H$1085,$J109,'Data SO'!$F$2:$F$1085)</f>
        <v>0</v>
      </c>
      <c r="D109" s="9">
        <f>SUMIF('Data SCM'!$I$2:$I$698,$J109,'Data SCM'!$E$2:$E$698)*L109</f>
        <v>100</v>
      </c>
      <c r="E109" s="9">
        <f t="shared" si="3"/>
        <v>100</v>
      </c>
      <c r="F109" s="4">
        <f>SUMIF('Data SO'!$H$2:$H$1085,$J109,'Data SO'!$G$2:$G$1085)</f>
        <v>0</v>
      </c>
      <c r="G109" s="4">
        <f>SUMIF('Data SCM'!$I$2:$I$698,$J109,'Data SCM'!$H$2:$H$698)</f>
        <v>97500</v>
      </c>
      <c r="H109" s="4">
        <f t="shared" si="4"/>
        <v>97500</v>
      </c>
      <c r="I109" s="3" t="str">
        <f>IF(COUNTIF('Data SCM'!$I$2:$I$698,$J109)=0,"Hanya di SO",IF(COUNTIF('Data SO'!$H$2:$H$1085,$J109)=0,"Hanya di SCM",IF(AND(ABS(E109)&lt;0.01,ABS(H109)&lt;1),"Sama",IF(ABS(E109)&lt;0.01,"Selisih nominal",IF(ABS(H109)&lt;1,"Selisih qty","Selisih qty &amp; nominal")))))</f>
        <v>Selisih qty &amp; nominal</v>
      </c>
      <c r="J109" t="s">
        <v>133</v>
      </c>
      <c r="K109" t="str">
        <f>IFERROR(INDEX('Data SCM'!$D$2:$D$698,MATCH($J109,'Data SCM'!$I$2:$I$698,0)),"")</f>
        <v>PCS</v>
      </c>
      <c r="L109">
        <f t="shared" si="5"/>
        <v>1</v>
      </c>
      <c r="M109" t="s">
        <v>3501</v>
      </c>
    </row>
    <row r="110" spans="1:13" x14ac:dyDescent="0.25">
      <c r="A110" s="3" t="str">
        <f>IFERROR(INDEX('Data SO'!$C$2:$C$1085,MATCH($J110,'Data SO'!$H$2:$H$1085,0)),INDEX('Data SCM'!$B$2:$B$698,MATCH($J110,'Data SCM'!$I$2:$I$698,0)))</f>
        <v>MIKA MOONCAKE</v>
      </c>
      <c r="B110" s="3" t="str">
        <f>IFERROR(INDEX('Data SO'!$D$2:$D$1085,MATCH($J110,'Data SO'!$H$2:$H$1085,0)),K110)</f>
        <v>pcs</v>
      </c>
      <c r="C110" s="9">
        <f>SUMIF('Data SO'!$H$2:$H$1085,$J110,'Data SO'!$F$2:$F$1085)</f>
        <v>5</v>
      </c>
      <c r="D110" s="9">
        <f>SUMIF('Data SCM'!$I$2:$I$698,$J110,'Data SCM'!$E$2:$E$698)*L110</f>
        <v>0</v>
      </c>
      <c r="E110" s="9">
        <f t="shared" si="3"/>
        <v>-5</v>
      </c>
      <c r="F110" s="4">
        <f>SUMIF('Data SO'!$H$2:$H$1085,$J110,'Data SO'!$G$2:$G$1085)</f>
        <v>97500</v>
      </c>
      <c r="G110" s="4">
        <f>SUMIF('Data SCM'!$I$2:$I$698,$J110,'Data SCM'!$H$2:$H$698)</f>
        <v>0</v>
      </c>
      <c r="H110" s="4">
        <f t="shared" si="4"/>
        <v>-97500</v>
      </c>
      <c r="I110" s="3" t="str">
        <f>IF(COUNTIF('Data SCM'!$I$2:$I$698,$J110)=0,"Hanya di SO",IF(COUNTIF('Data SO'!$H$2:$H$1085,$J110)=0,"Hanya di SCM",IF(AND(ABS(E110)&lt;0.01,ABS(H110)&lt;1),"Sama",IF(ABS(E110)&lt;0.01,"Selisih nominal",IF(ABS(H110)&lt;1,"Selisih qty","Selisih qty &amp; nominal")))))</f>
        <v>Selisih qty &amp; nominal</v>
      </c>
      <c r="J110" t="s">
        <v>134</v>
      </c>
      <c r="K110" t="str">
        <f>IFERROR(INDEX('Data SCM'!$D$2:$D$698,MATCH($J110,'Data SCM'!$I$2:$I$698,0)),"")</f>
        <v>PCS</v>
      </c>
      <c r="L110">
        <f t="shared" si="5"/>
        <v>1</v>
      </c>
      <c r="M110" t="s">
        <v>3440</v>
      </c>
    </row>
    <row r="111" spans="1:13" x14ac:dyDescent="0.25">
      <c r="A111" s="3" t="str">
        <f>IFERROR(INDEX('Data SO'!$C$2:$C$1085,MATCH($J111,'Data SO'!$H$2:$H$1085,0)),INDEX('Data SCM'!$B$2:$B$698,MATCH($J111,'Data SCM'!$I$2:$I$698,0)))</f>
        <v>PEWARNA PINK CAP KUPU-KUPU</v>
      </c>
      <c r="B111" s="3" t="str">
        <f>IFERROR(INDEX('Data SO'!$D$2:$D$1085,MATCH($J111,'Data SO'!$H$2:$H$1085,0)),K111)</f>
        <v>Pcs</v>
      </c>
      <c r="C111" s="9">
        <f>SUMIF('Data SO'!$H$2:$H$1085,$J111,'Data SO'!$F$2:$F$1085)</f>
        <v>8</v>
      </c>
      <c r="D111" s="9">
        <f>SUMIF('Data SCM'!$I$2:$I$698,$J111,'Data SCM'!$E$2:$E$698)*L111</f>
        <v>24000</v>
      </c>
      <c r="E111" s="9">
        <f t="shared" si="3"/>
        <v>23992</v>
      </c>
      <c r="F111" s="4">
        <f>SUMIF('Data SO'!$H$2:$H$1085,$J111,'Data SO'!$G$2:$G$1085)</f>
        <v>48000</v>
      </c>
      <c r="G111" s="4">
        <f>SUMIF('Data SCM'!$I$2:$I$698,$J111,'Data SCM'!$H$2:$H$698)</f>
        <v>144000</v>
      </c>
      <c r="H111" s="4">
        <f t="shared" si="4"/>
        <v>96000</v>
      </c>
      <c r="I111" s="3" t="str">
        <f>IF(COUNTIF('Data SCM'!$I$2:$I$698,$J111)=0,"Hanya di SO",IF(COUNTIF('Data SO'!$H$2:$H$1085,$J111)=0,"Hanya di SCM",IF(AND(ABS(E111)&lt;0.01,ABS(H111)&lt;1),"Sama",IF(ABS(E111)&lt;0.01,"Selisih nominal",IF(ABS(H111)&lt;1,"Selisih qty","Selisih qty &amp; nominal")))))</f>
        <v>Selisih qty &amp; nominal</v>
      </c>
      <c r="J111" t="s">
        <v>135</v>
      </c>
      <c r="K111" t="str">
        <f>IFERROR(INDEX('Data SCM'!$D$2:$D$698,MATCH($J111,'Data SCM'!$I$2:$I$698,0)),"")</f>
        <v>GR</v>
      </c>
      <c r="L111">
        <f t="shared" si="5"/>
        <v>1</v>
      </c>
      <c r="M111" t="s">
        <v>3507</v>
      </c>
    </row>
    <row r="112" spans="1:13" x14ac:dyDescent="0.25">
      <c r="A112" s="3" t="str">
        <f>IFERROR(INDEX('Data SO'!$C$2:$C$1085,MATCH($J112,'Data SO'!$H$2:$H$1085,0)),INDEX('Data SCM'!$B$2:$B$698,MATCH($J112,'Data SCM'!$I$2:$I$698,0)))</f>
        <v>Backround Kecil Hello Kitty</v>
      </c>
      <c r="B112" s="3" t="str">
        <f>IFERROR(INDEX('Data SO'!$D$2:$D$1085,MATCH($J112,'Data SO'!$H$2:$H$1085,0)),K112)</f>
        <v>Pcs</v>
      </c>
      <c r="C112" s="9">
        <f>SUMIF('Data SO'!$H$2:$H$1085,$J112,'Data SO'!$F$2:$F$1085)</f>
        <v>21</v>
      </c>
      <c r="D112" s="9">
        <f>SUMIF('Data SCM'!$I$2:$I$698,$J112,'Data SCM'!$E$2:$E$698)*L112</f>
        <v>0</v>
      </c>
      <c r="E112" s="9">
        <f t="shared" si="3"/>
        <v>-21</v>
      </c>
      <c r="F112" s="4">
        <f>SUMIF('Data SO'!$H$2:$H$1085,$J112,'Data SO'!$G$2:$G$1085)</f>
        <v>94500</v>
      </c>
      <c r="G112" s="4">
        <f>SUMIF('Data SCM'!$I$2:$I$698,$J112,'Data SCM'!$H$2:$H$698)</f>
        <v>0</v>
      </c>
      <c r="H112" s="4">
        <f t="shared" si="4"/>
        <v>-94500</v>
      </c>
      <c r="I112" s="3" t="str">
        <f>IF(COUNTIF('Data SCM'!$I$2:$I$698,$J112)=0,"Hanya di SO",IF(COUNTIF('Data SO'!$H$2:$H$1085,$J112)=0,"Hanya di SCM",IF(AND(ABS(E112)&lt;0.01,ABS(H112)&lt;1),"Sama",IF(ABS(E112)&lt;0.01,"Selisih nominal",IF(ABS(H112)&lt;1,"Selisih qty","Selisih qty &amp; nominal")))))</f>
        <v>Selisih qty &amp; nominal</v>
      </c>
      <c r="J112" t="s">
        <v>136</v>
      </c>
      <c r="K112" t="str">
        <f>IFERROR(INDEX('Data SCM'!$D$2:$D$698,MATCH($J112,'Data SCM'!$I$2:$I$698,0)),"")</f>
        <v>PCS</v>
      </c>
      <c r="L112">
        <f t="shared" si="5"/>
        <v>1</v>
      </c>
      <c r="M112" t="s">
        <v>3489</v>
      </c>
    </row>
    <row r="113" spans="1:13" x14ac:dyDescent="0.25">
      <c r="A113" s="3" t="str">
        <f>IFERROR(INDEX('Data SO'!$C$2:$C$1085,MATCH($J113,'Data SO'!$H$2:$H$1085,0)),INDEX('Data SCM'!$B$2:$B$698,MATCH($J113,'Data SCM'!$I$2:$I$698,0)))</f>
        <v>plaza go choco crunchy 1kg</v>
      </c>
      <c r="B113" s="3" t="str">
        <f>IFERROR(INDEX('Data SO'!$D$2:$D$1085,MATCH($J113,'Data SO'!$H$2:$H$1085,0)),K113)</f>
        <v>pail</v>
      </c>
      <c r="C113" s="9">
        <f>SUMIF('Data SO'!$H$2:$H$1085,$J113,'Data SO'!$F$2:$F$1085)</f>
        <v>2</v>
      </c>
      <c r="D113" s="9">
        <f>SUMIF('Data SCM'!$I$2:$I$698,$J113,'Data SCM'!$E$2:$E$698)*L113</f>
        <v>0</v>
      </c>
      <c r="E113" s="9">
        <f t="shared" si="3"/>
        <v>-2</v>
      </c>
      <c r="F113" s="4">
        <f>SUMIF('Data SO'!$H$2:$H$1085,$J113,'Data SO'!$G$2:$G$1085)</f>
        <v>89998</v>
      </c>
      <c r="G113" s="4">
        <f>SUMIF('Data SCM'!$I$2:$I$698,$J113,'Data SCM'!$H$2:$H$698)</f>
        <v>0</v>
      </c>
      <c r="H113" s="4">
        <f t="shared" si="4"/>
        <v>-89998</v>
      </c>
      <c r="I113" s="3" t="str">
        <f>IF(COUNTIF('Data SCM'!$I$2:$I$698,$J113)=0,"Hanya di SO",IF(COUNTIF('Data SO'!$H$2:$H$1085,$J113)=0,"Hanya di SCM",IF(AND(ABS(E113)&lt;0.01,ABS(H113)&lt;1),"Sama",IF(ABS(E113)&lt;0.01,"Selisih nominal",IF(ABS(H113)&lt;1,"Selisih qty","Selisih qty &amp; nominal")))))</f>
        <v>Hanya di SO</v>
      </c>
      <c r="J113" t="s">
        <v>137</v>
      </c>
      <c r="K113" t="str">
        <f>IFERROR(INDEX('Data SCM'!$D$2:$D$698,MATCH($J113,'Data SCM'!$I$2:$I$698,0)),"")</f>
        <v/>
      </c>
      <c r="L113">
        <f t="shared" si="5"/>
        <v>1</v>
      </c>
      <c r="M113" t="s">
        <v>3468</v>
      </c>
    </row>
    <row r="114" spans="1:13" x14ac:dyDescent="0.25">
      <c r="A114" s="3" t="str">
        <f>IFERROR(INDEX('Data SO'!$C$2:$C$1085,MATCH($J114,'Data SO'!$H$2:$H$1085,0)),INDEX('Data SCM'!$B$2:$B$698,MATCH($J114,'Data SCM'!$I$2:$I$698,0)))</f>
        <v>L'AGIE CHIC CHOC</v>
      </c>
      <c r="B114" s="3" t="str">
        <f>IFERROR(INDEX('Data SO'!$D$2:$D$1085,MATCH($J114,'Data SO'!$H$2:$H$1085,0)),K114)</f>
        <v>kg</v>
      </c>
      <c r="C114" s="9">
        <f>SUMIF('Data SO'!$H$2:$H$1085,$J114,'Data SO'!$F$2:$F$1085)</f>
        <v>0</v>
      </c>
      <c r="D114" s="9">
        <f>SUMIF('Data SCM'!$I$2:$I$698,$J114,'Data SCM'!$E$2:$E$698)*L114</f>
        <v>1</v>
      </c>
      <c r="E114" s="9">
        <f t="shared" si="3"/>
        <v>1</v>
      </c>
      <c r="F114" s="4">
        <f>SUMIF('Data SO'!$H$2:$H$1085,$J114,'Data SO'!$G$2:$G$1085)</f>
        <v>0</v>
      </c>
      <c r="G114" s="4">
        <f>SUMIF('Data SCM'!$I$2:$I$698,$J114,'Data SCM'!$H$2:$H$698)</f>
        <v>86083.3</v>
      </c>
      <c r="H114" s="4">
        <f t="shared" si="4"/>
        <v>86083.3</v>
      </c>
      <c r="I114" s="3" t="str">
        <f>IF(COUNTIF('Data SCM'!$I$2:$I$698,$J114)=0,"Hanya di SO",IF(COUNTIF('Data SO'!$H$2:$H$1085,$J114)=0,"Hanya di SCM",IF(AND(ABS(E114)&lt;0.01,ABS(H114)&lt;1),"Sama",IF(ABS(E114)&lt;0.01,"Selisih nominal",IF(ABS(H114)&lt;1,"Selisih qty","Selisih qty &amp; nominal")))))</f>
        <v>Selisih qty &amp; nominal</v>
      </c>
      <c r="J114" t="s">
        <v>138</v>
      </c>
      <c r="K114" t="str">
        <f>IFERROR(INDEX('Data SCM'!$D$2:$D$698,MATCH($J114,'Data SCM'!$I$2:$I$698,0)),"")</f>
        <v>KG</v>
      </c>
      <c r="L114">
        <f t="shared" si="5"/>
        <v>1</v>
      </c>
      <c r="M114" t="s">
        <v>3440</v>
      </c>
    </row>
    <row r="115" spans="1:13" x14ac:dyDescent="0.25">
      <c r="A115" s="3" t="str">
        <f>IFERROR(INDEX('Data SO'!$C$2:$C$1085,MATCH($J115,'Data SO'!$H$2:$H$1085,0)),INDEX('Data SCM'!$B$2:$B$698,MATCH($J115,'Data SCM'!$I$2:$I$698,0)))</f>
        <v>Backround Thomas</v>
      </c>
      <c r="B115" s="3" t="str">
        <f>IFERROR(INDEX('Data SO'!$D$2:$D$1085,MATCH($J115,'Data SO'!$H$2:$H$1085,0)),K115)</f>
        <v>Pcs</v>
      </c>
      <c r="C115" s="9">
        <f>SUMIF('Data SO'!$H$2:$H$1085,$J115,'Data SO'!$F$2:$F$1085)</f>
        <v>10</v>
      </c>
      <c r="D115" s="9">
        <f>SUMIF('Data SCM'!$I$2:$I$698,$J115,'Data SCM'!$E$2:$E$698)*L115</f>
        <v>0</v>
      </c>
      <c r="E115" s="9">
        <f t="shared" si="3"/>
        <v>-10</v>
      </c>
      <c r="F115" s="4">
        <f>SUMIF('Data SO'!$H$2:$H$1085,$J115,'Data SO'!$G$2:$G$1085)</f>
        <v>85000</v>
      </c>
      <c r="G115" s="4">
        <f>SUMIF('Data SCM'!$I$2:$I$698,$J115,'Data SCM'!$H$2:$H$698)</f>
        <v>0</v>
      </c>
      <c r="H115" s="4">
        <f t="shared" si="4"/>
        <v>-85000</v>
      </c>
      <c r="I115" s="3" t="str">
        <f>IF(COUNTIF('Data SCM'!$I$2:$I$698,$J115)=0,"Hanya di SO",IF(COUNTIF('Data SO'!$H$2:$H$1085,$J115)=0,"Hanya di SCM",IF(AND(ABS(E115)&lt;0.01,ABS(H115)&lt;1),"Sama",IF(ABS(E115)&lt;0.01,"Selisih nominal",IF(ABS(H115)&lt;1,"Selisih qty","Selisih qty &amp; nominal")))))</f>
        <v>Selisih qty &amp; nominal</v>
      </c>
      <c r="J115" t="s">
        <v>139</v>
      </c>
      <c r="K115" t="str">
        <f>IFERROR(INDEX('Data SCM'!$D$2:$D$698,MATCH($J115,'Data SCM'!$I$2:$I$698,0)),"")</f>
        <v>PCS</v>
      </c>
      <c r="L115">
        <f t="shared" si="5"/>
        <v>1</v>
      </c>
      <c r="M115" t="s">
        <v>3497</v>
      </c>
    </row>
    <row r="116" spans="1:13" x14ac:dyDescent="0.25">
      <c r="A116" s="3" t="str">
        <f>IFERROR(INDEX('Data SO'!$C$2:$C$1085,MATCH($J116,'Data SO'!$H$2:$H$1085,0)),INDEX('Data SCM'!$B$2:$B$698,MATCH($J116,'Data SCM'!$I$2:$I$698,0)))</f>
        <v xml:space="preserve">PLASTIK HD POLOS 40X60 </v>
      </c>
      <c r="B116" s="3" t="str">
        <f>IFERROR(INDEX('Data SO'!$D$2:$D$1085,MATCH($J116,'Data SO'!$H$2:$H$1085,0)),K116)</f>
        <v>kg</v>
      </c>
      <c r="C116" s="9">
        <f>SUMIF('Data SO'!$H$2:$H$1085,$J116,'Data SO'!$F$2:$F$1085)</f>
        <v>177</v>
      </c>
      <c r="D116" s="9">
        <f>SUMIF('Data SCM'!$I$2:$I$698,$J116,'Data SCM'!$E$2:$E$698)*L116</f>
        <v>175</v>
      </c>
      <c r="E116" s="9">
        <f t="shared" si="3"/>
        <v>-2</v>
      </c>
      <c r="F116" s="4">
        <f>SUMIF('Data SO'!$H$2:$H$1085,$J116,'Data SO'!$G$2:$G$1085)</f>
        <v>6018000</v>
      </c>
      <c r="G116" s="4">
        <f>SUMIF('Data SCM'!$I$2:$I$698,$J116,'Data SCM'!$H$2:$H$698)</f>
        <v>5950000</v>
      </c>
      <c r="H116" s="4">
        <f t="shared" si="4"/>
        <v>-68000</v>
      </c>
      <c r="I116" s="3" t="str">
        <f>IF(COUNTIF('Data SCM'!$I$2:$I$698,$J116)=0,"Hanya di SO",IF(COUNTIF('Data SO'!$H$2:$H$1085,$J116)=0,"Hanya di SCM",IF(AND(ABS(E116)&lt;0.01,ABS(H116)&lt;1),"Sama",IF(ABS(E116)&lt;0.01,"Selisih nominal",IF(ABS(H116)&lt;1,"Selisih qty","Selisih qty &amp; nominal")))))</f>
        <v>Selisih qty &amp; nominal</v>
      </c>
      <c r="J116" t="s">
        <v>140</v>
      </c>
      <c r="K116" t="str">
        <f>IFERROR(INDEX('Data SCM'!$D$2:$D$698,MATCH($J116,'Data SCM'!$I$2:$I$698,0)),"")</f>
        <v>KG</v>
      </c>
      <c r="L116">
        <f t="shared" si="5"/>
        <v>1</v>
      </c>
      <c r="M116" t="s">
        <v>3456</v>
      </c>
    </row>
    <row r="117" spans="1:13" x14ac:dyDescent="0.25">
      <c r="A117" s="3" t="str">
        <f>IFERROR(INDEX('Data SO'!$C$2:$C$1085,MATCH($J117,'Data SO'!$H$2:$H$1085,0)),INDEX('Data SCM'!$B$2:$B$698,MATCH($J117,'Data SCM'!$I$2:$I$698,0)))</f>
        <v>PATUNG TAYO</v>
      </c>
      <c r="B117" s="3" t="str">
        <f>IFERROR(INDEX('Data SO'!$D$2:$D$1085,MATCH($J117,'Data SO'!$H$2:$H$1085,0)),K117)</f>
        <v>Pcs</v>
      </c>
      <c r="C117" s="9">
        <f>SUMIF('Data SO'!$H$2:$H$1085,$J117,'Data SO'!$F$2:$F$1085)</f>
        <v>6</v>
      </c>
      <c r="D117" s="9">
        <f>SUMIF('Data SCM'!$I$2:$I$698,$J117,'Data SCM'!$E$2:$E$698)*L117</f>
        <v>0</v>
      </c>
      <c r="E117" s="9">
        <f t="shared" si="3"/>
        <v>-6</v>
      </c>
      <c r="F117" s="4">
        <f>SUMIF('Data SO'!$H$2:$H$1085,$J117,'Data SO'!$G$2:$G$1085)</f>
        <v>60000</v>
      </c>
      <c r="G117" s="4">
        <f>SUMIF('Data SCM'!$I$2:$I$698,$J117,'Data SCM'!$H$2:$H$698)</f>
        <v>0</v>
      </c>
      <c r="H117" s="4">
        <f t="shared" si="4"/>
        <v>-60000</v>
      </c>
      <c r="I117" s="3" t="str">
        <f>IF(COUNTIF('Data SCM'!$I$2:$I$698,$J117)=0,"Hanya di SO",IF(COUNTIF('Data SO'!$H$2:$H$1085,$J117)=0,"Hanya di SCM",IF(AND(ABS(E117)&lt;0.01,ABS(H117)&lt;1),"Sama",IF(ABS(E117)&lt;0.01,"Selisih nominal",IF(ABS(H117)&lt;1,"Selisih qty","Selisih qty &amp; nominal")))))</f>
        <v>Hanya di SO</v>
      </c>
      <c r="J117" t="s">
        <v>141</v>
      </c>
      <c r="K117" t="str">
        <f>IFERROR(INDEX('Data SCM'!$D$2:$D$698,MATCH($J117,'Data SCM'!$I$2:$I$698,0)),"")</f>
        <v/>
      </c>
      <c r="L117">
        <f t="shared" si="5"/>
        <v>1</v>
      </c>
      <c r="M117" t="s">
        <v>3498</v>
      </c>
    </row>
    <row r="118" spans="1:13" x14ac:dyDescent="0.25">
      <c r="A118" s="3" t="str">
        <f>IFERROR(INDEX('Data SO'!$C$2:$C$1085,MATCH($J118,'Data SO'!$H$2:$H$1085,0)),INDEX('Data SCM'!$B$2:$B$698,MATCH($J118,'Data SCM'!$I$2:$I$698,0)))</f>
        <v>COKLAT BUBUK DANISH GRADE A</v>
      </c>
      <c r="B118" s="3" t="str">
        <f>IFERROR(INDEX('Data SO'!$D$2:$D$1085,MATCH($J118,'Data SO'!$H$2:$H$1085,0)),K118)</f>
        <v>Kg</v>
      </c>
      <c r="C118" s="9">
        <f>SUMIF('Data SO'!$H$2:$H$1085,$J118,'Data SO'!$F$2:$F$1085)</f>
        <v>19.75</v>
      </c>
      <c r="D118" s="9">
        <f>SUMIF('Data SCM'!$I$2:$I$698,$J118,'Data SCM'!$E$2:$E$698)*L118</f>
        <v>19.95</v>
      </c>
      <c r="E118" s="9">
        <f t="shared" si="3"/>
        <v>0.19999999999999929</v>
      </c>
      <c r="F118" s="4">
        <f>SUMIF('Data SO'!$H$2:$H$1085,$J118,'Data SO'!$G$2:$G$1085)</f>
        <v>5843669.5</v>
      </c>
      <c r="G118" s="4">
        <f>SUMIF('Data SCM'!$I$2:$I$698,$J118,'Data SCM'!$H$2:$H$698)</f>
        <v>5902845.9000000004</v>
      </c>
      <c r="H118" s="4">
        <f t="shared" si="4"/>
        <v>59176.400000000373</v>
      </c>
      <c r="I118" s="3" t="str">
        <f>IF(COUNTIF('Data SCM'!$I$2:$I$698,$J118)=0,"Hanya di SO",IF(COUNTIF('Data SO'!$H$2:$H$1085,$J118)=0,"Hanya di SCM",IF(AND(ABS(E118)&lt;0.01,ABS(H118)&lt;1),"Sama",IF(ABS(E118)&lt;0.01,"Selisih nominal",IF(ABS(H118)&lt;1,"Selisih qty","Selisih qty &amp; nominal")))))</f>
        <v>Selisih qty &amp; nominal</v>
      </c>
      <c r="J118" t="s">
        <v>142</v>
      </c>
      <c r="K118" t="str">
        <f>IFERROR(INDEX('Data SCM'!$D$2:$D$698,MATCH($J118,'Data SCM'!$I$2:$I$698,0)),"")</f>
        <v>KG</v>
      </c>
      <c r="L118">
        <f t="shared" si="5"/>
        <v>1</v>
      </c>
      <c r="M118" t="s">
        <v>3502</v>
      </c>
    </row>
    <row r="119" spans="1:13" x14ac:dyDescent="0.25">
      <c r="A119" s="3" t="str">
        <f>IFERROR(INDEX('Data SO'!$C$2:$C$1085,MATCH($J119,'Data SO'!$H$2:$H$1085,0)),INDEX('Data SCM'!$B$2:$B$698,MATCH($J119,'Data SCM'!$I$2:$I$698,0)))</f>
        <v>PLAZA FIESTA VIOLET</v>
      </c>
      <c r="B119" s="3" t="str">
        <f>IFERROR(INDEX('Data SO'!$D$2:$D$1085,MATCH($J119,'Data SO'!$H$2:$H$1085,0)),K119)</f>
        <v>Kg</v>
      </c>
      <c r="C119" s="9">
        <f>SUMIF('Data SO'!$H$2:$H$1085,$J119,'Data SO'!$F$2:$F$1085)</f>
        <v>1</v>
      </c>
      <c r="D119" s="9">
        <f>SUMIF('Data SCM'!$I$2:$I$698,$J119,'Data SCM'!$E$2:$E$698)*L119</f>
        <v>0</v>
      </c>
      <c r="E119" s="9">
        <f t="shared" si="3"/>
        <v>-1</v>
      </c>
      <c r="F119" s="4">
        <f>SUMIF('Data SO'!$H$2:$H$1085,$J119,'Data SO'!$G$2:$G$1085)</f>
        <v>52000</v>
      </c>
      <c r="G119" s="4">
        <f>SUMIF('Data SCM'!$I$2:$I$698,$J119,'Data SCM'!$H$2:$H$698)</f>
        <v>0</v>
      </c>
      <c r="H119" s="4">
        <f t="shared" si="4"/>
        <v>-52000</v>
      </c>
      <c r="I119" s="3" t="str">
        <f>IF(COUNTIF('Data SCM'!$I$2:$I$698,$J119)=0,"Hanya di SO",IF(COUNTIF('Data SO'!$H$2:$H$1085,$J119)=0,"Hanya di SCM",IF(AND(ABS(E119)&lt;0.01,ABS(H119)&lt;1),"Sama",IF(ABS(E119)&lt;0.01,"Selisih nominal",IF(ABS(H119)&lt;1,"Selisih qty","Selisih qty &amp; nominal")))))</f>
        <v>Selisih qty &amp; nominal</v>
      </c>
      <c r="J119" t="s">
        <v>143</v>
      </c>
      <c r="K119" t="str">
        <f>IFERROR(INDEX('Data SCM'!$D$2:$D$698,MATCH($J119,'Data SCM'!$I$2:$I$698,0)),"")</f>
        <v>KG</v>
      </c>
      <c r="L119">
        <f t="shared" si="5"/>
        <v>1</v>
      </c>
      <c r="M119" t="s">
        <v>3408</v>
      </c>
    </row>
    <row r="120" spans="1:13" x14ac:dyDescent="0.25">
      <c r="A120" s="3" t="str">
        <f>IFERROR(INDEX('Data SO'!$C$2:$C$1085,MATCH($J120,'Data SO'!$H$2:$H$1085,0)),INDEX('Data SCM'!$B$2:$B$698,MATCH($J120,'Data SCM'!$I$2:$I$698,0)))</f>
        <v>STICKER COOKIES TUTUP TOPLES</v>
      </c>
      <c r="B120" s="3" t="str">
        <f>IFERROR(INDEX('Data SO'!$D$2:$D$1085,MATCH($J120,'Data SO'!$H$2:$H$1085,0)),K120)</f>
        <v>Pcs</v>
      </c>
      <c r="C120" s="9">
        <f>SUMIF('Data SO'!$H$2:$H$1085,$J120,'Data SO'!$F$2:$F$1085)</f>
        <v>205</v>
      </c>
      <c r="D120" s="9">
        <f>SUMIF('Data SCM'!$I$2:$I$698,$J120,'Data SCM'!$E$2:$E$698)*L120</f>
        <v>0</v>
      </c>
      <c r="E120" s="9">
        <f t="shared" si="3"/>
        <v>-205</v>
      </c>
      <c r="F120" s="4">
        <f>SUMIF('Data SO'!$H$2:$H$1085,$J120,'Data SO'!$G$2:$G$1085)</f>
        <v>51250</v>
      </c>
      <c r="G120" s="4">
        <f>SUMIF('Data SCM'!$I$2:$I$698,$J120,'Data SCM'!$H$2:$H$698)</f>
        <v>0</v>
      </c>
      <c r="H120" s="4">
        <f t="shared" si="4"/>
        <v>-51250</v>
      </c>
      <c r="I120" s="3" t="str">
        <f>IF(COUNTIF('Data SCM'!$I$2:$I$698,$J120)=0,"Hanya di SO",IF(COUNTIF('Data SO'!$H$2:$H$1085,$J120)=0,"Hanya di SCM",IF(AND(ABS(E120)&lt;0.01,ABS(H120)&lt;1),"Sama",IF(ABS(E120)&lt;0.01,"Selisih nominal",IF(ABS(H120)&lt;1,"Selisih qty","Selisih qty &amp; nominal")))))</f>
        <v>Selisih qty &amp; nominal</v>
      </c>
      <c r="J120" t="s">
        <v>144</v>
      </c>
      <c r="K120" t="str">
        <f>IFERROR(INDEX('Data SCM'!$D$2:$D$698,MATCH($J120,'Data SCM'!$I$2:$I$698,0)),"")</f>
        <v>PCS</v>
      </c>
      <c r="L120">
        <f t="shared" si="5"/>
        <v>1</v>
      </c>
      <c r="M120" t="s">
        <v>3469</v>
      </c>
    </row>
    <row r="121" spans="1:13" x14ac:dyDescent="0.25">
      <c r="A121" s="3" t="str">
        <f>IFERROR(INDEX('Data SO'!$C$2:$C$1085,MATCH($J121,'Data SO'!$H$2:$H$1085,0)),INDEX('Data SCM'!$B$2:$B$698,MATCH($J121,'Data SCM'!$I$2:$I$698,0)))</f>
        <v>Mauripan 20X500Gr</v>
      </c>
      <c r="B121" s="3" t="str">
        <f>IFERROR(INDEX('Data SO'!$D$2:$D$1085,MATCH($J121,'Data SO'!$H$2:$H$1085,0)),K121)</f>
        <v>pcs</v>
      </c>
      <c r="C121" s="9">
        <f>SUMIF('Data SO'!$H$2:$H$1085,$J121,'Data SO'!$F$2:$F$1085)</f>
        <v>0</v>
      </c>
      <c r="D121" s="9">
        <f>SUMIF('Data SCM'!$I$2:$I$698,$J121,'Data SCM'!$E$2:$E$698)*L121</f>
        <v>1</v>
      </c>
      <c r="E121" s="9">
        <f t="shared" si="3"/>
        <v>1</v>
      </c>
      <c r="F121" s="4">
        <f>SUMIF('Data SO'!$H$2:$H$1085,$J121,'Data SO'!$G$2:$G$1085)</f>
        <v>0</v>
      </c>
      <c r="G121" s="4">
        <f>SUMIF('Data SCM'!$I$2:$I$698,$J121,'Data SCM'!$H$2:$H$698)</f>
        <v>46824.137900000002</v>
      </c>
      <c r="H121" s="4">
        <f t="shared" si="4"/>
        <v>46824.137900000002</v>
      </c>
      <c r="I121" s="3" t="str">
        <f>IF(COUNTIF('Data SCM'!$I$2:$I$698,$J121)=0,"Hanya di SO",IF(COUNTIF('Data SO'!$H$2:$H$1085,$J121)=0,"Hanya di SCM",IF(AND(ABS(E121)&lt;0.01,ABS(H121)&lt;1),"Sama",IF(ABS(E121)&lt;0.01,"Selisih nominal",IF(ABS(H121)&lt;1,"Selisih qty","Selisih qty &amp; nominal")))))</f>
        <v>Selisih qty &amp; nominal</v>
      </c>
      <c r="J121" t="s">
        <v>145</v>
      </c>
      <c r="K121" t="str">
        <f>IFERROR(INDEX('Data SCM'!$D$2:$D$698,MATCH($J121,'Data SCM'!$I$2:$I$698,0)),"")</f>
        <v>PCS</v>
      </c>
      <c r="L121">
        <f t="shared" si="5"/>
        <v>1</v>
      </c>
      <c r="M121" t="s">
        <v>3506</v>
      </c>
    </row>
    <row r="122" spans="1:13" x14ac:dyDescent="0.25">
      <c r="A122" s="3" t="str">
        <f>IFERROR(INDEX('Data SO'!$C$2:$C$1085,MATCH($J122,'Data SO'!$H$2:$H$1085,0)),INDEX('Data SCM'!$B$2:$B$698,MATCH($J122,'Data SCM'!$I$2:$I$698,0)))</f>
        <v>Lilin Spiral Pendek Silver @1x50 Pack</v>
      </c>
      <c r="B122" s="3" t="str">
        <f>IFERROR(INDEX('Data SO'!$D$2:$D$1085,MATCH($J122,'Data SO'!$H$2:$H$1085,0)),K122)</f>
        <v>Pcs</v>
      </c>
      <c r="C122" s="9">
        <f>SUMIF('Data SO'!$H$2:$H$1085,$J122,'Data SO'!$F$2:$F$1085)</f>
        <v>60</v>
      </c>
      <c r="D122" s="9">
        <f>SUMIF('Data SCM'!$I$2:$I$698,$J122,'Data SCM'!$E$2:$E$698)*L122</f>
        <v>6</v>
      </c>
      <c r="E122" s="9">
        <f t="shared" si="3"/>
        <v>-54</v>
      </c>
      <c r="F122" s="4">
        <f>SUMIF('Data SO'!$H$2:$H$1085,$J122,'Data SO'!$G$2:$G$1085)</f>
        <v>36000</v>
      </c>
      <c r="G122" s="4">
        <f>SUMIF('Data SCM'!$I$2:$I$698,$J122,'Data SCM'!$H$2:$H$698)</f>
        <v>3600</v>
      </c>
      <c r="H122" s="4">
        <f t="shared" si="4"/>
        <v>-32400</v>
      </c>
      <c r="I122" s="3" t="str">
        <f>IF(COUNTIF('Data SCM'!$I$2:$I$698,$J122)=0,"Hanya di SO",IF(COUNTIF('Data SO'!$H$2:$H$1085,$J122)=0,"Hanya di SCM",IF(AND(ABS(E122)&lt;0.01,ABS(H122)&lt;1),"Sama",IF(ABS(E122)&lt;0.01,"Selisih nominal",IF(ABS(H122)&lt;1,"Selisih qty","Selisih qty &amp; nominal")))))</f>
        <v>Selisih qty &amp; nominal</v>
      </c>
      <c r="J122" t="s">
        <v>146</v>
      </c>
      <c r="K122" t="str">
        <f>IFERROR(INDEX('Data SCM'!$D$2:$D$698,MATCH($J122,'Data SCM'!$I$2:$I$698,0)),"")</f>
        <v>PCS</v>
      </c>
      <c r="L122">
        <f t="shared" si="5"/>
        <v>1</v>
      </c>
      <c r="M122" t="s">
        <v>3503</v>
      </c>
    </row>
    <row r="123" spans="1:13" x14ac:dyDescent="0.25">
      <c r="A123" s="3" t="str">
        <f>IFERROR(INDEX('Data SO'!$C$2:$C$1085,MATCH($J123,'Data SO'!$H$2:$H$1085,0)),INDEX('Data SCM'!$B$2:$B$698,MATCH($J123,'Data SCM'!$I$2:$I$698,0)))</f>
        <v>Red bell Violet 30 Ml</v>
      </c>
      <c r="B123" s="3" t="str">
        <f>IFERROR(INDEX('Data SO'!$D$2:$D$1085,MATCH($J123,'Data SO'!$H$2:$H$1085,0)),K123)</f>
        <v>PCS</v>
      </c>
      <c r="C123" s="9">
        <f>SUMIF('Data SO'!$H$2:$H$1085,$J123,'Data SO'!$F$2:$F$1085)</f>
        <v>0</v>
      </c>
      <c r="D123" s="9">
        <f>SUMIF('Data SCM'!$I$2:$I$698,$J123,'Data SCM'!$E$2:$E$698)*L123</f>
        <v>6</v>
      </c>
      <c r="E123" s="9">
        <f t="shared" si="3"/>
        <v>6</v>
      </c>
      <c r="F123" s="4">
        <f>SUMIF('Data SO'!$H$2:$H$1085,$J123,'Data SO'!$G$2:$G$1085)</f>
        <v>0</v>
      </c>
      <c r="G123" s="4">
        <f>SUMIF('Data SCM'!$I$2:$I$698,$J123,'Data SCM'!$H$2:$H$698)</f>
        <v>24000</v>
      </c>
      <c r="H123" s="4">
        <f t="shared" si="4"/>
        <v>24000</v>
      </c>
      <c r="I123" s="3" t="str">
        <f>IF(COUNTIF('Data SCM'!$I$2:$I$698,$J123)=0,"Hanya di SO",IF(COUNTIF('Data SO'!$H$2:$H$1085,$J123)=0,"Hanya di SCM",IF(AND(ABS(E123)&lt;0.01,ABS(H123)&lt;1),"Sama",IF(ABS(E123)&lt;0.01,"Selisih nominal",IF(ABS(H123)&lt;1,"Selisih qty","Selisih qty &amp; nominal")))))</f>
        <v>Hanya di SCM</v>
      </c>
      <c r="J123" t="s">
        <v>147</v>
      </c>
      <c r="K123" t="str">
        <f>IFERROR(INDEX('Data SCM'!$D$2:$D$698,MATCH($J123,'Data SCM'!$I$2:$I$698,0)),"")</f>
        <v>PCS</v>
      </c>
      <c r="L123">
        <f t="shared" si="5"/>
        <v>1</v>
      </c>
      <c r="M123" t="s">
        <v>3508</v>
      </c>
    </row>
    <row r="124" spans="1:13" x14ac:dyDescent="0.25">
      <c r="A124" s="3" t="str">
        <f>IFERROR(INDEX('Data SO'!$C$2:$C$1085,MATCH($J124,'Data SO'!$H$2:$H$1085,0)),INDEX('Data SCM'!$B$2:$B$698,MATCH($J124,'Data SCM'!$I$2:$I$698,0)))</f>
        <v>Backround Doraemon</v>
      </c>
      <c r="B124" s="3" t="str">
        <f>IFERROR(INDEX('Data SO'!$D$2:$D$1085,MATCH($J124,'Data SO'!$H$2:$H$1085,0)),K124)</f>
        <v>Pcs</v>
      </c>
      <c r="C124" s="9">
        <f>SUMIF('Data SO'!$H$2:$H$1085,$J124,'Data SO'!$F$2:$F$1085)</f>
        <v>2</v>
      </c>
      <c r="D124" s="9">
        <f>SUMIF('Data SCM'!$I$2:$I$698,$J124,'Data SCM'!$E$2:$E$698)*L124</f>
        <v>0</v>
      </c>
      <c r="E124" s="9">
        <f t="shared" si="3"/>
        <v>-2</v>
      </c>
      <c r="F124" s="4">
        <f>SUMIF('Data SO'!$H$2:$H$1085,$J124,'Data SO'!$G$2:$G$1085)</f>
        <v>17000</v>
      </c>
      <c r="G124" s="4">
        <f>SUMIF('Data SCM'!$I$2:$I$698,$J124,'Data SCM'!$H$2:$H$698)</f>
        <v>0</v>
      </c>
      <c r="H124" s="4">
        <f t="shared" si="4"/>
        <v>-17000</v>
      </c>
      <c r="I124" s="3" t="str">
        <f>IF(COUNTIF('Data SCM'!$I$2:$I$698,$J124)=0,"Hanya di SO",IF(COUNTIF('Data SO'!$H$2:$H$1085,$J124)=0,"Hanya di SCM",IF(AND(ABS(E124)&lt;0.01,ABS(H124)&lt;1),"Sama",IF(ABS(E124)&lt;0.01,"Selisih nominal",IF(ABS(H124)&lt;1,"Selisih qty","Selisih qty &amp; nominal")))))</f>
        <v>Selisih qty &amp; nominal</v>
      </c>
      <c r="J124" t="s">
        <v>148</v>
      </c>
      <c r="K124" t="str">
        <f>IFERROR(INDEX('Data SCM'!$D$2:$D$698,MATCH($J124,'Data SCM'!$I$2:$I$698,0)),"")</f>
        <v>PCS</v>
      </c>
      <c r="L124">
        <f t="shared" si="5"/>
        <v>1</v>
      </c>
      <c r="M124" t="s">
        <v>3496</v>
      </c>
    </row>
    <row r="125" spans="1:13" x14ac:dyDescent="0.25">
      <c r="A125" s="3" t="str">
        <f>IFERROR(INDEX('Data SO'!$C$2:$C$1085,MATCH($J125,'Data SO'!$H$2:$H$1085,0)),INDEX('Data SCM'!$B$2:$B$698,MATCH($J125,'Data SCM'!$I$2:$I$698,0)))</f>
        <v>Balon foil angka 0-9 @10 pack</v>
      </c>
      <c r="B125" s="3" t="str">
        <f>IFERROR(INDEX('Data SO'!$D$2:$D$1085,MATCH($J125,'Data SO'!$H$2:$H$1085,0)),K125)</f>
        <v>Pcs</v>
      </c>
      <c r="C125" s="9">
        <f>SUMIF('Data SO'!$H$2:$H$1085,$J125,'Data SO'!$F$2:$F$1085)</f>
        <v>2</v>
      </c>
      <c r="D125" s="9">
        <f>SUMIF('Data SCM'!$I$2:$I$698,$J125,'Data SCM'!$E$2:$E$698)*L125</f>
        <v>0</v>
      </c>
      <c r="E125" s="9">
        <f t="shared" si="3"/>
        <v>-2</v>
      </c>
      <c r="F125" s="4">
        <f>SUMIF('Data SO'!$H$2:$H$1085,$J125,'Data SO'!$G$2:$G$1085)</f>
        <v>4000</v>
      </c>
      <c r="G125" s="4">
        <f>SUMIF('Data SCM'!$I$2:$I$698,$J125,'Data SCM'!$H$2:$H$698)</f>
        <v>0</v>
      </c>
      <c r="H125" s="4">
        <f t="shared" si="4"/>
        <v>-4000</v>
      </c>
      <c r="I125" s="3" t="str">
        <f>IF(COUNTIF('Data SCM'!$I$2:$I$698,$J125)=0,"Hanya di SO",IF(COUNTIF('Data SO'!$H$2:$H$1085,$J125)=0,"Hanya di SCM",IF(AND(ABS(E125)&lt;0.01,ABS(H125)&lt;1),"Sama",IF(ABS(E125)&lt;0.01,"Selisih nominal",IF(ABS(H125)&lt;1,"Selisih qty","Selisih qty &amp; nominal")))))</f>
        <v>Selisih qty &amp; nominal</v>
      </c>
      <c r="J125" t="s">
        <v>149</v>
      </c>
      <c r="K125" t="str">
        <f>IFERROR(INDEX('Data SCM'!$D$2:$D$698,MATCH($J125,'Data SCM'!$I$2:$I$698,0)),"")</f>
        <v>PCS</v>
      </c>
      <c r="L125">
        <f t="shared" si="5"/>
        <v>1</v>
      </c>
      <c r="M125" t="s">
        <v>3468</v>
      </c>
    </row>
    <row r="126" spans="1:13" x14ac:dyDescent="0.25">
      <c r="A126" s="3" t="str">
        <f>IFERROR(INDEX('Data SO'!$C$2:$C$1085,MATCH($J126,'Data SO'!$H$2:$H$1085,0)),INDEX('Data SCM'!$B$2:$B$698,MATCH($J126,'Data SCM'!$I$2:$I$698,0)))</f>
        <v>Topper Ultah Baby Shark @12 set</v>
      </c>
      <c r="B126" s="3" t="str">
        <f>IFERROR(INDEX('Data SO'!$D$2:$D$1085,MATCH($J126,'Data SO'!$H$2:$H$1085,0)),K126)</f>
        <v>pcs</v>
      </c>
      <c r="C126" s="9">
        <f>SUMIF('Data SO'!$H$2:$H$1085,$J126,'Data SO'!$F$2:$F$1085)</f>
        <v>155</v>
      </c>
      <c r="D126" s="9">
        <f>SUMIF('Data SCM'!$I$2:$I$698,$J126,'Data SCM'!$E$2:$E$698)*L126</f>
        <v>156</v>
      </c>
      <c r="E126" s="9">
        <f t="shared" si="3"/>
        <v>1</v>
      </c>
      <c r="F126" s="4">
        <f>SUMIF('Data SO'!$H$2:$H$1085,$J126,'Data SO'!$G$2:$G$1085)</f>
        <v>542500</v>
      </c>
      <c r="G126" s="4">
        <f>SUMIF('Data SCM'!$I$2:$I$698,$J126,'Data SCM'!$H$2:$H$698)</f>
        <v>546000</v>
      </c>
      <c r="H126" s="4">
        <f t="shared" si="4"/>
        <v>3500</v>
      </c>
      <c r="I126" s="3" t="str">
        <f>IF(COUNTIF('Data SCM'!$I$2:$I$698,$J126)=0,"Hanya di SO",IF(COUNTIF('Data SO'!$H$2:$H$1085,$J126)=0,"Hanya di SCM",IF(AND(ABS(E126)&lt;0.01,ABS(H126)&lt;1),"Sama",IF(ABS(E126)&lt;0.01,"Selisih nominal",IF(ABS(H126)&lt;1,"Selisih qty","Selisih qty &amp; nominal")))))</f>
        <v>Selisih qty &amp; nominal</v>
      </c>
      <c r="J126" t="s">
        <v>150</v>
      </c>
      <c r="K126" t="str">
        <f>IFERROR(INDEX('Data SCM'!$D$2:$D$698,MATCH($J126,'Data SCM'!$I$2:$I$698,0)),"")</f>
        <v>PCS</v>
      </c>
      <c r="L126">
        <f t="shared" si="5"/>
        <v>1</v>
      </c>
      <c r="M126" t="s">
        <v>3459</v>
      </c>
    </row>
    <row r="127" spans="1:13" x14ac:dyDescent="0.25">
      <c r="A127" s="3" t="str">
        <f>IFERROR(INDEX('Data SO'!$C$2:$C$1085,MATCH($J127,'Data SO'!$H$2:$H$1085,0)),INDEX('Data SCM'!$B$2:$B$698,MATCH($J127,'Data SCM'!$I$2:$I$698,0)))</f>
        <v>CABE RAWIT</v>
      </c>
      <c r="B127" s="3" t="str">
        <f>IFERROR(INDEX('Data SO'!$D$2:$D$1085,MATCH($J127,'Data SO'!$H$2:$H$1085,0)),K127)</f>
        <v>gram</v>
      </c>
      <c r="C127" s="9">
        <f>SUMIF('Data SO'!$H$2:$H$1085,$J127,'Data SO'!$F$2:$F$1085)</f>
        <v>250</v>
      </c>
      <c r="D127" s="9">
        <f>SUMIF('Data SCM'!$I$2:$I$698,$J127,'Data SCM'!$E$2:$E$698)*L127</f>
        <v>247.20500000000001</v>
      </c>
      <c r="E127" s="9">
        <f t="shared" si="3"/>
        <v>-2.7949999999999875</v>
      </c>
      <c r="F127" s="4">
        <f>SUMIF('Data SO'!$H$2:$H$1085,$J127,'Data SO'!$G$2:$G$1085)</f>
        <v>12000</v>
      </c>
      <c r="G127" s="4">
        <f>SUMIF('Data SCM'!$I$2:$I$698,$J127,'Data SCM'!$H$2:$H$698)</f>
        <v>11865.84</v>
      </c>
      <c r="H127" s="4">
        <f t="shared" si="4"/>
        <v>-134.15999999999985</v>
      </c>
      <c r="I127" s="3" t="str">
        <f>IF(COUNTIF('Data SCM'!$I$2:$I$698,$J127)=0,"Hanya di SO",IF(COUNTIF('Data SO'!$H$2:$H$1085,$J127)=0,"Hanya di SCM",IF(AND(ABS(E127)&lt;0.01,ABS(H127)&lt;1),"Sama",IF(ABS(E127)&lt;0.01,"Selisih nominal",IF(ABS(H127)&lt;1,"Selisih qty","Selisih qty &amp; nominal")))))</f>
        <v>Selisih qty &amp; nominal</v>
      </c>
      <c r="J127" t="s">
        <v>151</v>
      </c>
      <c r="K127" t="str">
        <f>IFERROR(INDEX('Data SCM'!$D$2:$D$698,MATCH($J127,'Data SCM'!$I$2:$I$698,0)),"")</f>
        <v>GR</v>
      </c>
      <c r="L127">
        <f t="shared" si="5"/>
        <v>1</v>
      </c>
      <c r="M127" t="s">
        <v>3464</v>
      </c>
    </row>
    <row r="128" spans="1:13" x14ac:dyDescent="0.25">
      <c r="A128" s="3" t="str">
        <f>IFERROR(INDEX('Data SO'!$C$2:$C$1085,MATCH($J128,'Data SO'!$H$2:$H$1085,0)),INDEX('Data SCM'!$B$2:$B$698,MATCH($J128,'Data SCM'!$I$2:$I$698,0)))</f>
        <v>Nevada Mauripan</v>
      </c>
      <c r="B128" s="3" t="str">
        <f>IFERROR(INDEX('Data SO'!$D$2:$D$1085,MATCH($J128,'Data SO'!$H$2:$H$1085,0)),K128)</f>
        <v>PCS</v>
      </c>
      <c r="C128" s="9">
        <f>SUMIF('Data SO'!$H$2:$H$1085,$J128,'Data SO'!$F$2:$F$1085)</f>
        <v>0</v>
      </c>
      <c r="D128" s="9">
        <f>SUMIF('Data SCM'!$I$2:$I$698,$J128,'Data SCM'!$E$2:$E$698)*L128</f>
        <v>2</v>
      </c>
      <c r="E128" s="9">
        <f t="shared" si="3"/>
        <v>2</v>
      </c>
      <c r="F128" s="4">
        <f>SUMIF('Data SO'!$H$2:$H$1085,$J128,'Data SO'!$G$2:$G$1085)</f>
        <v>0</v>
      </c>
      <c r="G128" s="4">
        <f>SUMIF('Data SCM'!$I$2:$I$698,$J128,'Data SCM'!$H$2:$H$698)</f>
        <v>2</v>
      </c>
      <c r="H128" s="4">
        <f t="shared" si="4"/>
        <v>2</v>
      </c>
      <c r="I128" s="3" t="str">
        <f>IF(COUNTIF('Data SCM'!$I$2:$I$698,$J128)=0,"Hanya di SO",IF(COUNTIF('Data SO'!$H$2:$H$1085,$J128)=0,"Hanya di SCM",IF(AND(ABS(E128)&lt;0.01,ABS(H128)&lt;1),"Sama",IF(ABS(E128)&lt;0.01,"Selisih nominal",IF(ABS(H128)&lt;1,"Selisih qty","Selisih qty &amp; nominal")))))</f>
        <v>Hanya di SCM</v>
      </c>
      <c r="J128" t="s">
        <v>152</v>
      </c>
      <c r="K128" t="str">
        <f>IFERROR(INDEX('Data SCM'!$D$2:$D$698,MATCH($J128,'Data SCM'!$I$2:$I$698,0)),"")</f>
        <v>PCS</v>
      </c>
      <c r="L128">
        <f t="shared" si="5"/>
        <v>1</v>
      </c>
      <c r="M128" t="s">
        <v>3505</v>
      </c>
    </row>
    <row r="129" spans="1:13" x14ac:dyDescent="0.25">
      <c r="A129" s="3" t="str">
        <f>IFERROR(INDEX('Data SO'!$C$2:$C$1085,MATCH($J129,'Data SO'!$H$2:$H$1085,0)),INDEX('Data SCM'!$B$2:$B$698,MATCH($J129,'Data SCM'!$I$2:$I$698,0)))</f>
        <v xml:space="preserve">Zee Strawberry </v>
      </c>
      <c r="B129" s="3" t="str">
        <f>IFERROR(INDEX('Data SO'!$D$2:$D$1085,MATCH($J129,'Data SO'!$H$2:$H$1085,0)),K129)</f>
        <v>gram</v>
      </c>
      <c r="C129" s="9">
        <f>SUMIF('Data SO'!$H$2:$H$1085,$J129,'Data SO'!$F$2:$F$1085)</f>
        <v>14280</v>
      </c>
      <c r="D129" s="9">
        <f>SUMIF('Data SCM'!$I$2:$I$698,$J129,'Data SCM'!$E$2:$E$698)*L129</f>
        <v>14280</v>
      </c>
      <c r="E129" s="9">
        <f t="shared" si="3"/>
        <v>0</v>
      </c>
      <c r="F129" s="4">
        <f>SUMIF('Data SO'!$H$2:$H$1085,$J129,'Data SO'!$G$2:$G$1085)</f>
        <v>2268000</v>
      </c>
      <c r="G129" s="4">
        <f>SUMIF('Data SCM'!$I$2:$I$698,$J129,'Data SCM'!$H$2:$H$698)</f>
        <v>2267999.58</v>
      </c>
      <c r="H129" s="4">
        <f t="shared" si="4"/>
        <v>-0.41999999992549419</v>
      </c>
      <c r="I129" s="3" t="str">
        <f>IF(COUNTIF('Data SCM'!$I$2:$I$698,$J129)=0,"Hanya di SO",IF(COUNTIF('Data SO'!$H$2:$H$1085,$J129)=0,"Hanya di SCM",IF(AND(ABS(E129)&lt;0.01,ABS(H129)&lt;1),"Sama",IF(ABS(E129)&lt;0.01,"Selisih nominal",IF(ABS(H129)&lt;1,"Selisih qty","Selisih qty &amp; nominal")))))</f>
        <v>Sama</v>
      </c>
      <c r="J129" t="s">
        <v>153</v>
      </c>
      <c r="K129" t="str">
        <f>IFERROR(INDEX('Data SCM'!$D$2:$D$698,MATCH($J129,'Data SCM'!$I$2:$I$698,0)),"")</f>
        <v>GR</v>
      </c>
      <c r="L129">
        <f t="shared" si="5"/>
        <v>1</v>
      </c>
    </row>
    <row r="130" spans="1:13" x14ac:dyDescent="0.25">
      <c r="A130" s="3" t="str">
        <f>IFERROR(INDEX('Data SO'!$C$2:$C$1085,MATCH($J130,'Data SO'!$H$2:$H$1085,0)),INDEX('Data SCM'!$B$2:$B$698,MATCH($J130,'Data SCM'!$I$2:$I$698,0)))</f>
        <v>Kresek Jumbo Uk 50 @50Pcs</v>
      </c>
      <c r="B130" s="3" t="str">
        <f>IFERROR(INDEX('Data SO'!$D$2:$D$1085,MATCH($J130,'Data SO'!$H$2:$H$1085,0)),K130)</f>
        <v>kg</v>
      </c>
      <c r="C130" s="9">
        <f>SUMIF('Data SO'!$H$2:$H$1085,$J130,'Data SO'!$F$2:$F$1085)</f>
        <v>228</v>
      </c>
      <c r="D130" s="9">
        <f>SUMIF('Data SCM'!$I$2:$I$698,$J130,'Data SCM'!$E$2:$E$698)*L130</f>
        <v>6612</v>
      </c>
      <c r="E130" s="9">
        <f t="shared" ref="E130:E193" si="6">D130-C130</f>
        <v>6384</v>
      </c>
      <c r="F130" s="4">
        <f>SUMIF('Data SO'!$H$2:$H$1085,$J130,'Data SO'!$G$2:$G$1085)</f>
        <v>9006000</v>
      </c>
      <c r="G130" s="4">
        <f>SUMIF('Data SCM'!$I$2:$I$698,$J130,'Data SCM'!$H$2:$H$698)</f>
        <v>9006000.2280000001</v>
      </c>
      <c r="H130" s="4">
        <f t="shared" ref="H130:H193" si="7">G130-F130</f>
        <v>0.22800000011920929</v>
      </c>
      <c r="I130" s="3" t="str">
        <f>IF(COUNTIF('Data SCM'!$I$2:$I$698,$J130)=0,"Hanya di SO",IF(COUNTIF('Data SO'!$H$2:$H$1085,$J130)=0,"Hanya di SCM",IF(AND(ABS(E130)&lt;0.01,ABS(H130)&lt;1),"Sama",IF(ABS(E130)&lt;0.01,"Selisih nominal",IF(ABS(H130)&lt;1,"Selisih qty","Selisih qty &amp; nominal")))))</f>
        <v>Selisih qty</v>
      </c>
      <c r="J130" t="s">
        <v>154</v>
      </c>
      <c r="K130" t="str">
        <f>IFERROR(INDEX('Data SCM'!$D$2:$D$698,MATCH($J130,'Data SCM'!$I$2:$I$698,0)),"")</f>
        <v>PCS</v>
      </c>
      <c r="L130">
        <f t="shared" ref="L130:L193" si="8">IF(OR(AND(K130="GR",LOWER(B130)="kg"),AND(K130="ML",LOWER(B130)="liter")),0.001,1)</f>
        <v>1</v>
      </c>
      <c r="M130" t="s">
        <v>3504</v>
      </c>
    </row>
    <row r="131" spans="1:13" x14ac:dyDescent="0.25">
      <c r="A131" s="3" t="str">
        <f>IFERROR(INDEX('Data SO'!$C$2:$C$1085,MATCH($J131,'Data SO'!$H$2:$H$1085,0)),INDEX('Data SCM'!$B$2:$B$698,MATCH($J131,'Data SCM'!$I$2:$I$698,0)))</f>
        <v>Tatakan 22X22 Kotak</v>
      </c>
      <c r="B131" s="3" t="str">
        <f>IFERROR(INDEX('Data SO'!$D$2:$D$1085,MATCH($J131,'Data SO'!$H$2:$H$1085,0)),K131)</f>
        <v>pcs</v>
      </c>
      <c r="C131" s="9">
        <f>SUMIF('Data SO'!$H$2:$H$1085,$J131,'Data SO'!$F$2:$F$1085)</f>
        <v>2820</v>
      </c>
      <c r="D131" s="9">
        <f>SUMIF('Data SCM'!$I$2:$I$698,$J131,'Data SCM'!$E$2:$E$698)*L131</f>
        <v>2820</v>
      </c>
      <c r="E131" s="9">
        <f t="shared" si="6"/>
        <v>0</v>
      </c>
      <c r="F131" s="4">
        <f>SUMIF('Data SO'!$H$2:$H$1085,$J131,'Data SO'!$G$2:$G$1085)</f>
        <v>3995000</v>
      </c>
      <c r="G131" s="4">
        <f>SUMIF('Data SCM'!$I$2:$I$698,$J131,'Data SCM'!$H$2:$H$698)</f>
        <v>3995000.094</v>
      </c>
      <c r="H131" s="4">
        <f t="shared" si="7"/>
        <v>9.4000000040978193E-2</v>
      </c>
      <c r="I131" s="3" t="str">
        <f>IF(COUNTIF('Data SCM'!$I$2:$I$698,$J131)=0,"Hanya di SO",IF(COUNTIF('Data SO'!$H$2:$H$1085,$J131)=0,"Hanya di SCM",IF(AND(ABS(E131)&lt;0.01,ABS(H131)&lt;1),"Sama",IF(ABS(E131)&lt;0.01,"Selisih nominal",IF(ABS(H131)&lt;1,"Selisih qty","Selisih qty &amp; nominal")))))</f>
        <v>Sama</v>
      </c>
      <c r="J131" t="s">
        <v>155</v>
      </c>
      <c r="K131" t="str">
        <f>IFERROR(INDEX('Data SCM'!$D$2:$D$698,MATCH($J131,'Data SCM'!$I$2:$I$698,0)),"")</f>
        <v>PCS</v>
      </c>
      <c r="L131">
        <f t="shared" si="8"/>
        <v>1</v>
      </c>
    </row>
    <row r="132" spans="1:13" x14ac:dyDescent="0.25">
      <c r="A132" s="3" t="str">
        <f>IFERROR(INDEX('Data SO'!$C$2:$C$1085,MATCH($J132,'Data SO'!$H$2:$H$1085,0)),INDEX('Data SCM'!$B$2:$B$698,MATCH($J132,'Data SCM'!$I$2:$I$698,0)))</f>
        <v>Tatakan 28X28 Kotak</v>
      </c>
      <c r="B132" s="3" t="str">
        <f>IFERROR(INDEX('Data SO'!$D$2:$D$1085,MATCH($J132,'Data SO'!$H$2:$H$1085,0)),K132)</f>
        <v>pcs</v>
      </c>
      <c r="C132" s="9">
        <f>SUMIF('Data SO'!$H$2:$H$1085,$J132,'Data SO'!$F$2:$F$1085)</f>
        <v>2460</v>
      </c>
      <c r="D132" s="9">
        <f>SUMIF('Data SCM'!$I$2:$I$698,$J132,'Data SCM'!$E$2:$E$698)*L132</f>
        <v>2460</v>
      </c>
      <c r="E132" s="9">
        <f t="shared" si="6"/>
        <v>0</v>
      </c>
      <c r="F132" s="4">
        <f>SUMIF('Data SO'!$H$2:$H$1085,$J132,'Data SO'!$G$2:$G$1085)</f>
        <v>4715000</v>
      </c>
      <c r="G132" s="4">
        <f>SUMIF('Data SCM'!$I$2:$I$698,$J132,'Data SCM'!$H$2:$H$698)</f>
        <v>4715000.0820000004</v>
      </c>
      <c r="H132" s="4">
        <f t="shared" si="7"/>
        <v>8.2000000402331352E-2</v>
      </c>
      <c r="I132" s="3" t="str">
        <f>IF(COUNTIF('Data SCM'!$I$2:$I$698,$J132)=0,"Hanya di SO",IF(COUNTIF('Data SO'!$H$2:$H$1085,$J132)=0,"Hanya di SCM",IF(AND(ABS(E132)&lt;0.01,ABS(H132)&lt;1),"Sama",IF(ABS(E132)&lt;0.01,"Selisih nominal",IF(ABS(H132)&lt;1,"Selisih qty","Selisih qty &amp; nominal")))))</f>
        <v>Sama</v>
      </c>
      <c r="J132" t="s">
        <v>156</v>
      </c>
      <c r="K132" t="str">
        <f>IFERROR(INDEX('Data SCM'!$D$2:$D$698,MATCH($J132,'Data SCM'!$I$2:$I$698,0)),"")</f>
        <v>PCS</v>
      </c>
      <c r="L132">
        <f t="shared" si="8"/>
        <v>1</v>
      </c>
    </row>
    <row r="133" spans="1:13" x14ac:dyDescent="0.25">
      <c r="A133" s="3" t="str">
        <f>IFERROR(INDEX('Data SO'!$C$2:$C$1085,MATCH($J133,'Data SO'!$H$2:$H$1085,0)),INDEX('Data SCM'!$B$2:$B$698,MATCH($J133,'Data SCM'!$I$2:$I$698,0)))</f>
        <v>Lilin Kriting silver @1x100 pack</v>
      </c>
      <c r="B133" s="3" t="str">
        <f>IFERROR(INDEX('Data SO'!$D$2:$D$1085,MATCH($J133,'Data SO'!$H$2:$H$1085,0)),K133)</f>
        <v>pcs</v>
      </c>
      <c r="C133" s="9">
        <f>SUMIF('Data SO'!$H$2:$H$1085,$J133,'Data SO'!$F$2:$F$1085)</f>
        <v>1326</v>
      </c>
      <c r="D133" s="9">
        <f>SUMIF('Data SCM'!$I$2:$I$698,$J133,'Data SCM'!$E$2:$E$698)*L133</f>
        <v>1326</v>
      </c>
      <c r="E133" s="9">
        <f t="shared" si="6"/>
        <v>0</v>
      </c>
      <c r="F133" s="4">
        <f>SUMIF('Data SO'!$H$2:$H$1085,$J133,'Data SO'!$G$2:$G$1085)</f>
        <v>1105000</v>
      </c>
      <c r="G133" s="4">
        <f>SUMIF('Data SCM'!$I$2:$I$698,$J133,'Data SCM'!$H$2:$H$698)</f>
        <v>1104999.9558000001</v>
      </c>
      <c r="H133" s="4">
        <f t="shared" si="7"/>
        <v>-4.4199999887496233E-2</v>
      </c>
      <c r="I133" s="3" t="str">
        <f>IF(COUNTIF('Data SCM'!$I$2:$I$698,$J133)=0,"Hanya di SO",IF(COUNTIF('Data SO'!$H$2:$H$1085,$J133)=0,"Hanya di SCM",IF(AND(ABS(E133)&lt;0.01,ABS(H133)&lt;1),"Sama",IF(ABS(E133)&lt;0.01,"Selisih nominal",IF(ABS(H133)&lt;1,"Selisih qty","Selisih qty &amp; nominal")))))</f>
        <v>Sama</v>
      </c>
      <c r="J133" t="s">
        <v>157</v>
      </c>
      <c r="K133" t="str">
        <f>IFERROR(INDEX('Data SCM'!$D$2:$D$698,MATCH($J133,'Data SCM'!$I$2:$I$698,0)),"")</f>
        <v>PCS</v>
      </c>
      <c r="L133">
        <f t="shared" si="8"/>
        <v>1</v>
      </c>
    </row>
    <row r="134" spans="1:13" x14ac:dyDescent="0.25">
      <c r="A134" s="3" t="str">
        <f>IFERROR(INDEX('Data SO'!$C$2:$C$1085,MATCH($J134,'Data SO'!$H$2:$H$1085,0)),INDEX('Data SCM'!$B$2:$B$698,MATCH($J134,'Data SCM'!$I$2:$I$698,0)))</f>
        <v>Lilin Kriting gold @1x100 pack</v>
      </c>
      <c r="B134" s="3" t="str">
        <f>IFERROR(INDEX('Data SO'!$D$2:$D$1085,MATCH($J134,'Data SO'!$H$2:$H$1085,0)),K134)</f>
        <v>pcs</v>
      </c>
      <c r="C134" s="9">
        <f>SUMIF('Data SO'!$H$2:$H$1085,$J134,'Data SO'!$F$2:$F$1085)</f>
        <v>1176</v>
      </c>
      <c r="D134" s="9">
        <f>SUMIF('Data SCM'!$I$2:$I$698,$J134,'Data SCM'!$E$2:$E$698)*L134</f>
        <v>1176</v>
      </c>
      <c r="E134" s="9">
        <f t="shared" si="6"/>
        <v>0</v>
      </c>
      <c r="F134" s="4">
        <f>SUMIF('Data SO'!$H$2:$H$1085,$J134,'Data SO'!$G$2:$G$1085)</f>
        <v>980000</v>
      </c>
      <c r="G134" s="4">
        <f>SUMIF('Data SCM'!$I$2:$I$698,$J134,'Data SCM'!$H$2:$H$698)</f>
        <v>979999.9608</v>
      </c>
      <c r="H134" s="4">
        <f t="shared" si="7"/>
        <v>-3.9199999999254942E-2</v>
      </c>
      <c r="I134" s="3" t="str">
        <f>IF(COUNTIF('Data SCM'!$I$2:$I$698,$J134)=0,"Hanya di SO",IF(COUNTIF('Data SO'!$H$2:$H$1085,$J134)=0,"Hanya di SCM",IF(AND(ABS(E134)&lt;0.01,ABS(H134)&lt;1),"Sama",IF(ABS(E134)&lt;0.01,"Selisih nominal",IF(ABS(H134)&lt;1,"Selisih qty","Selisih qty &amp; nominal")))))</f>
        <v>Sama</v>
      </c>
      <c r="J134" t="s">
        <v>158</v>
      </c>
      <c r="K134" t="str">
        <f>IFERROR(INDEX('Data SCM'!$D$2:$D$698,MATCH($J134,'Data SCM'!$I$2:$I$698,0)),"")</f>
        <v>PCS</v>
      </c>
      <c r="L134">
        <f t="shared" si="8"/>
        <v>1</v>
      </c>
    </row>
    <row r="135" spans="1:13" x14ac:dyDescent="0.25">
      <c r="A135" s="3" t="str">
        <f>IFERROR(INDEX('Data SO'!$C$2:$C$1085,MATCH($J135,'Data SO'!$H$2:$H$1085,0)),INDEX('Data SCM'!$B$2:$B$698,MATCH($J135,'Data SCM'!$I$2:$I$698,0)))</f>
        <v>PEWARNA CROSS  CHOCOLATE @450ML</v>
      </c>
      <c r="B135" s="3" t="str">
        <f>IFERROR(INDEX('Data SO'!$D$2:$D$1085,MATCH($J135,'Data SO'!$H$2:$H$1085,0)),K135)</f>
        <v>ml</v>
      </c>
      <c r="C135" s="9">
        <f>SUMIF('Data SO'!$H$2:$H$1085,$J135,'Data SO'!$F$2:$F$1085)</f>
        <v>900</v>
      </c>
      <c r="D135" s="9">
        <f>SUMIF('Data SCM'!$I$2:$I$698,$J135,'Data SCM'!$E$2:$E$698)*L135</f>
        <v>900</v>
      </c>
      <c r="E135" s="9">
        <f t="shared" si="6"/>
        <v>0</v>
      </c>
      <c r="F135" s="4">
        <f>SUMIF('Data SO'!$H$2:$H$1085,$J135,'Data SO'!$G$2:$G$1085)</f>
        <v>277500</v>
      </c>
      <c r="G135" s="4">
        <f>SUMIF('Data SCM'!$I$2:$I$698,$J135,'Data SCM'!$H$2:$H$698)</f>
        <v>277499.96999999997</v>
      </c>
      <c r="H135" s="4">
        <f t="shared" si="7"/>
        <v>-3.0000000027939677E-2</v>
      </c>
      <c r="I135" s="3" t="str">
        <f>IF(COUNTIF('Data SCM'!$I$2:$I$698,$J135)=0,"Hanya di SO",IF(COUNTIF('Data SO'!$H$2:$H$1085,$J135)=0,"Hanya di SCM",IF(AND(ABS(E135)&lt;0.01,ABS(H135)&lt;1),"Sama",IF(ABS(E135)&lt;0.01,"Selisih nominal",IF(ABS(H135)&lt;1,"Selisih qty","Selisih qty &amp; nominal")))))</f>
        <v>Sama</v>
      </c>
      <c r="J135" t="s">
        <v>159</v>
      </c>
      <c r="K135" t="str">
        <f>IFERROR(INDEX('Data SCM'!$D$2:$D$698,MATCH($J135,'Data SCM'!$I$2:$I$698,0)),"")</f>
        <v>ML</v>
      </c>
      <c r="L135">
        <f t="shared" si="8"/>
        <v>1</v>
      </c>
    </row>
    <row r="136" spans="1:13" x14ac:dyDescent="0.25">
      <c r="A136" s="3" t="str">
        <f>IFERROR(INDEX('Data SO'!$C$2:$C$1085,MATCH($J136,'Data SO'!$H$2:$H$1085,0)),INDEX('Data SCM'!$B$2:$B$698,MATCH($J136,'Data SCM'!$I$2:$I$698,0)))</f>
        <v>LILIN KRITING BIRU @1X100 PACK</v>
      </c>
      <c r="B136" s="3" t="str">
        <f>IFERROR(INDEX('Data SO'!$D$2:$D$1085,MATCH($J136,'Data SO'!$H$2:$H$1085,0)),K136)</f>
        <v>Pcs</v>
      </c>
      <c r="C136" s="9">
        <f>SUMIF('Data SO'!$H$2:$H$1085,$J136,'Data SO'!$F$2:$F$1085)</f>
        <v>618</v>
      </c>
      <c r="D136" s="9">
        <f>SUMIF('Data SCM'!$I$2:$I$698,$J136,'Data SCM'!$E$2:$E$698)*L136</f>
        <v>618</v>
      </c>
      <c r="E136" s="9">
        <f t="shared" si="6"/>
        <v>0</v>
      </c>
      <c r="F136" s="4">
        <f>SUMIF('Data SO'!$H$2:$H$1085,$J136,'Data SO'!$G$2:$G$1085)</f>
        <v>515000</v>
      </c>
      <c r="G136" s="4">
        <f>SUMIF('Data SCM'!$I$2:$I$698,$J136,'Data SCM'!$H$2:$H$698)</f>
        <v>514999.97940000001</v>
      </c>
      <c r="H136" s="4">
        <f t="shared" si="7"/>
        <v>-2.0599999988917261E-2</v>
      </c>
      <c r="I136" s="3" t="str">
        <f>IF(COUNTIF('Data SCM'!$I$2:$I$698,$J136)=0,"Hanya di SO",IF(COUNTIF('Data SO'!$H$2:$H$1085,$J136)=0,"Hanya di SCM",IF(AND(ABS(E136)&lt;0.01,ABS(H136)&lt;1),"Sama",IF(ABS(E136)&lt;0.01,"Selisih nominal",IF(ABS(H136)&lt;1,"Selisih qty","Selisih qty &amp; nominal")))))</f>
        <v>Sama</v>
      </c>
      <c r="J136" t="s">
        <v>160</v>
      </c>
      <c r="K136" t="str">
        <f>IFERROR(INDEX('Data SCM'!$D$2:$D$698,MATCH($J136,'Data SCM'!$I$2:$I$698,0)),"")</f>
        <v>PCS</v>
      </c>
      <c r="L136">
        <f t="shared" si="8"/>
        <v>1</v>
      </c>
    </row>
    <row r="137" spans="1:13" x14ac:dyDescent="0.25">
      <c r="A137" s="3" t="str">
        <f>IFERROR(INDEX('Data SO'!$C$2:$C$1085,MATCH($J137,'Data SO'!$H$2:$H$1085,0)),INDEX('Data SCM'!$B$2:$B$698,MATCH($J137,'Data SCM'!$I$2:$I$698,0)))</f>
        <v>Lilin Kriting Rose Gold @1x100 pack</v>
      </c>
      <c r="B137" s="3" t="str">
        <f>IFERROR(INDEX('Data SO'!$D$2:$D$1085,MATCH($J137,'Data SO'!$H$2:$H$1085,0)),K137)</f>
        <v>pcs</v>
      </c>
      <c r="C137" s="9">
        <f>SUMIF('Data SO'!$H$2:$H$1085,$J137,'Data SO'!$F$2:$F$1085)</f>
        <v>600</v>
      </c>
      <c r="D137" s="9">
        <f>SUMIF('Data SCM'!$I$2:$I$698,$J137,'Data SCM'!$E$2:$E$698)*L137</f>
        <v>600</v>
      </c>
      <c r="E137" s="9">
        <f t="shared" si="6"/>
        <v>0</v>
      </c>
      <c r="F137" s="4">
        <f>SUMIF('Data SO'!$H$2:$H$1085,$J137,'Data SO'!$G$2:$G$1085)</f>
        <v>500000</v>
      </c>
      <c r="G137" s="4">
        <f>SUMIF('Data SCM'!$I$2:$I$698,$J137,'Data SCM'!$H$2:$H$698)</f>
        <v>499999.98</v>
      </c>
      <c r="H137" s="4">
        <f t="shared" si="7"/>
        <v>-2.0000000018626451E-2</v>
      </c>
      <c r="I137" s="3" t="str">
        <f>IF(COUNTIF('Data SCM'!$I$2:$I$698,$J137)=0,"Hanya di SO",IF(COUNTIF('Data SO'!$H$2:$H$1085,$J137)=0,"Hanya di SCM",IF(AND(ABS(E137)&lt;0.01,ABS(H137)&lt;1),"Sama",IF(ABS(E137)&lt;0.01,"Selisih nominal",IF(ABS(H137)&lt;1,"Selisih qty","Selisih qty &amp; nominal")))))</f>
        <v>Sama</v>
      </c>
      <c r="J137" t="s">
        <v>161</v>
      </c>
      <c r="K137" t="str">
        <f>IFERROR(INDEX('Data SCM'!$D$2:$D$698,MATCH($J137,'Data SCM'!$I$2:$I$698,0)),"")</f>
        <v>PCS</v>
      </c>
      <c r="L137">
        <f t="shared" si="8"/>
        <v>1</v>
      </c>
    </row>
    <row r="138" spans="1:13" x14ac:dyDescent="0.25">
      <c r="A138" s="3" t="str">
        <f>IFERROR(INDEX('Data SO'!$C$2:$C$1085,MATCH($J138,'Data SO'!$H$2:$H$1085,0)),INDEX('Data SCM'!$B$2:$B$698,MATCH($J138,'Data SCM'!$I$2:$I$698,0)))</f>
        <v>Palmia Bos @1X15Kg</v>
      </c>
      <c r="B138" s="3" t="str">
        <f>IFERROR(INDEX('Data SO'!$D$2:$D$1085,MATCH($J138,'Data SO'!$H$2:$H$1085,0)),K138)</f>
        <v>kg</v>
      </c>
      <c r="C138" s="9">
        <f>SUMIF('Data SO'!$H$2:$H$1085,$J138,'Data SO'!$F$2:$F$1085)</f>
        <v>555</v>
      </c>
      <c r="D138" s="9">
        <f>SUMIF('Data SCM'!$I$2:$I$698,$J138,'Data SCM'!$E$2:$E$698)*L138</f>
        <v>555</v>
      </c>
      <c r="E138" s="9">
        <f t="shared" si="6"/>
        <v>0</v>
      </c>
      <c r="F138" s="4">
        <f>SUMIF('Data SO'!$H$2:$H$1085,$J138,'Data SO'!$G$2:$G$1085)</f>
        <v>24682700</v>
      </c>
      <c r="G138" s="4">
        <f>SUMIF('Data SCM'!$I$2:$I$698,$J138,'Data SCM'!$H$2:$H$698)</f>
        <v>24682699.9815</v>
      </c>
      <c r="H138" s="4">
        <f t="shared" si="7"/>
        <v>-1.8500000238418579E-2</v>
      </c>
      <c r="I138" s="3" t="str">
        <f>IF(COUNTIF('Data SCM'!$I$2:$I$698,$J138)=0,"Hanya di SO",IF(COUNTIF('Data SO'!$H$2:$H$1085,$J138)=0,"Hanya di SCM",IF(AND(ABS(E138)&lt;0.01,ABS(H138)&lt;1),"Sama",IF(ABS(E138)&lt;0.01,"Selisih nominal",IF(ABS(H138)&lt;1,"Selisih qty","Selisih qty &amp; nominal")))))</f>
        <v>Sama</v>
      </c>
      <c r="J138" t="s">
        <v>162</v>
      </c>
      <c r="K138" t="str">
        <f>IFERROR(INDEX('Data SCM'!$D$2:$D$698,MATCH($J138,'Data SCM'!$I$2:$I$698,0)),"")</f>
        <v>KG</v>
      </c>
      <c r="L138">
        <f t="shared" si="8"/>
        <v>1</v>
      </c>
    </row>
    <row r="139" spans="1:13" x14ac:dyDescent="0.25">
      <c r="A139" s="3" t="str">
        <f>IFERROR(INDEX('Data SO'!$C$2:$C$1085,MATCH($J139,'Data SO'!$H$2:$H$1085,0)),INDEX('Data SCM'!$B$2:$B$698,MATCH($J139,'Data SCM'!$I$2:$I$698,0)))</f>
        <v>PEWARNA CROSS  SUPER RED @60ML</v>
      </c>
      <c r="B139" s="3" t="str">
        <f>IFERROR(INDEX('Data SO'!$D$2:$D$1085,MATCH($J139,'Data SO'!$H$2:$H$1085,0)),K139)</f>
        <v>ml</v>
      </c>
      <c r="C139" s="9">
        <f>SUMIF('Data SO'!$H$2:$H$1085,$J139,'Data SO'!$F$2:$F$1085)</f>
        <v>540</v>
      </c>
      <c r="D139" s="9">
        <f>SUMIF('Data SCM'!$I$2:$I$698,$J139,'Data SCM'!$E$2:$E$698)*L139</f>
        <v>540</v>
      </c>
      <c r="E139" s="9">
        <f t="shared" si="6"/>
        <v>0</v>
      </c>
      <c r="F139" s="4">
        <f>SUMIF('Data SO'!$H$2:$H$1085,$J139,'Data SO'!$G$2:$G$1085)</f>
        <v>495000</v>
      </c>
      <c r="G139" s="4">
        <f>SUMIF('Data SCM'!$I$2:$I$698,$J139,'Data SCM'!$H$2:$H$698)</f>
        <v>495000.01799999998</v>
      </c>
      <c r="H139" s="4">
        <f t="shared" si="7"/>
        <v>1.799999998183921E-2</v>
      </c>
      <c r="I139" s="3" t="str">
        <f>IF(COUNTIF('Data SCM'!$I$2:$I$698,$J139)=0,"Hanya di SO",IF(COUNTIF('Data SO'!$H$2:$H$1085,$J139)=0,"Hanya di SCM",IF(AND(ABS(E139)&lt;0.01,ABS(H139)&lt;1),"Sama",IF(ABS(E139)&lt;0.01,"Selisih nominal",IF(ABS(H139)&lt;1,"Selisih qty","Selisih qty &amp; nominal")))))</f>
        <v>Sama</v>
      </c>
      <c r="J139" t="s">
        <v>163</v>
      </c>
      <c r="K139" t="str">
        <f>IFERROR(INDEX('Data SCM'!$D$2:$D$698,MATCH($J139,'Data SCM'!$I$2:$I$698,0)),"")</f>
        <v>ML</v>
      </c>
      <c r="L139">
        <f t="shared" si="8"/>
        <v>1</v>
      </c>
    </row>
    <row r="140" spans="1:13" x14ac:dyDescent="0.25">
      <c r="A140" s="3" t="str">
        <f>IFERROR(INDEX('Data SO'!$C$2:$C$1085,MATCH($J140,'Data SO'!$H$2:$H$1085,0)),INDEX('Data SCM'!$B$2:$B$698,MATCH($J140,'Data SCM'!$I$2:$I$698,0)))</f>
        <v>Lilin Kriting purple @1x100 pack</v>
      </c>
      <c r="B140" s="3" t="str">
        <f>IFERROR(INDEX('Data SO'!$D$2:$D$1085,MATCH($J140,'Data SO'!$H$2:$H$1085,0)),K140)</f>
        <v>pcs</v>
      </c>
      <c r="C140" s="9">
        <f>SUMIF('Data SO'!$H$2:$H$1085,$J140,'Data SO'!$F$2:$F$1085)</f>
        <v>420</v>
      </c>
      <c r="D140" s="9">
        <f>SUMIF('Data SCM'!$I$2:$I$698,$J140,'Data SCM'!$E$2:$E$698)*L140</f>
        <v>420</v>
      </c>
      <c r="E140" s="9">
        <f t="shared" si="6"/>
        <v>0</v>
      </c>
      <c r="F140" s="4">
        <f>SUMIF('Data SO'!$H$2:$H$1085,$J140,'Data SO'!$G$2:$G$1085)</f>
        <v>350000</v>
      </c>
      <c r="G140" s="4">
        <f>SUMIF('Data SCM'!$I$2:$I$698,$J140,'Data SCM'!$H$2:$H$698)</f>
        <v>349999.98599999998</v>
      </c>
      <c r="H140" s="4">
        <f t="shared" si="7"/>
        <v>-1.4000000024680048E-2</v>
      </c>
      <c r="I140" s="3" t="str">
        <f>IF(COUNTIF('Data SCM'!$I$2:$I$698,$J140)=0,"Hanya di SO",IF(COUNTIF('Data SO'!$H$2:$H$1085,$J140)=0,"Hanya di SCM",IF(AND(ABS(E140)&lt;0.01,ABS(H140)&lt;1),"Sama",IF(ABS(E140)&lt;0.01,"Selisih nominal",IF(ABS(H140)&lt;1,"Selisih qty","Selisih qty &amp; nominal")))))</f>
        <v>Sama</v>
      </c>
      <c r="J140" t="s">
        <v>164</v>
      </c>
      <c r="K140" t="str">
        <f>IFERROR(INDEX('Data SCM'!$D$2:$D$698,MATCH($J140,'Data SCM'!$I$2:$I$698,0)),"")</f>
        <v>PCS</v>
      </c>
      <c r="L140">
        <f t="shared" si="8"/>
        <v>1</v>
      </c>
    </row>
    <row r="141" spans="1:13" x14ac:dyDescent="0.25">
      <c r="A141" s="3" t="str">
        <f>IFERROR(INDEX('Data SO'!$C$2:$C$1085,MATCH($J141,'Data SO'!$H$2:$H$1085,0)),INDEX('Data SCM'!$B$2:$B$698,MATCH($J141,'Data SCM'!$I$2:$I$698,0)))</f>
        <v>LILIN KRITING MERAH @1X100 PACK</v>
      </c>
      <c r="B141" s="3" t="str">
        <f>IFERROR(INDEX('Data SO'!$D$2:$D$1085,MATCH($J141,'Data SO'!$H$2:$H$1085,0)),K141)</f>
        <v>Pcs</v>
      </c>
      <c r="C141" s="9">
        <f>SUMIF('Data SO'!$H$2:$H$1085,$J141,'Data SO'!$F$2:$F$1085)</f>
        <v>354</v>
      </c>
      <c r="D141" s="9">
        <f>SUMIF('Data SCM'!$I$2:$I$698,$J141,'Data SCM'!$E$2:$E$698)*L141</f>
        <v>354</v>
      </c>
      <c r="E141" s="9">
        <f t="shared" si="6"/>
        <v>0</v>
      </c>
      <c r="F141" s="4">
        <f>SUMIF('Data SO'!$H$2:$H$1085,$J141,'Data SO'!$G$2:$G$1085)</f>
        <v>295000</v>
      </c>
      <c r="G141" s="4">
        <f>SUMIF('Data SCM'!$I$2:$I$698,$J141,'Data SCM'!$H$2:$H$698)</f>
        <v>294999.98820000002</v>
      </c>
      <c r="H141" s="4">
        <f t="shared" si="7"/>
        <v>-1.1799999978393316E-2</v>
      </c>
      <c r="I141" s="3" t="str">
        <f>IF(COUNTIF('Data SCM'!$I$2:$I$698,$J141)=0,"Hanya di SO",IF(COUNTIF('Data SO'!$H$2:$H$1085,$J141)=0,"Hanya di SCM",IF(AND(ABS(E141)&lt;0.01,ABS(H141)&lt;1),"Sama",IF(ABS(E141)&lt;0.01,"Selisih nominal",IF(ABS(H141)&lt;1,"Selisih qty","Selisih qty &amp; nominal")))))</f>
        <v>Sama</v>
      </c>
      <c r="J141" t="s">
        <v>165</v>
      </c>
      <c r="K141" t="str">
        <f>IFERROR(INDEX('Data SCM'!$D$2:$D$698,MATCH($J141,'Data SCM'!$I$2:$I$698,0)),"")</f>
        <v>PCS</v>
      </c>
      <c r="L141">
        <f t="shared" si="8"/>
        <v>1</v>
      </c>
    </row>
    <row r="142" spans="1:13" x14ac:dyDescent="0.25">
      <c r="A142" s="3" t="str">
        <f>IFERROR(INDEX('Data SO'!$C$2:$C$1085,MATCH($J142,'Data SO'!$H$2:$H$1085,0)),INDEX('Data SCM'!$B$2:$B$698,MATCH($J142,'Data SCM'!$I$2:$I$698,0)))</f>
        <v>Susu Cair Indomilk @12X1 Liter</v>
      </c>
      <c r="B142" s="3" t="str">
        <f>IFERROR(INDEX('Data SO'!$D$2:$D$1085,MATCH($J142,'Data SO'!$H$2:$H$1085,0)),K142)</f>
        <v>liter</v>
      </c>
      <c r="C142" s="9">
        <f>SUMIF('Data SO'!$H$2:$H$1085,$J142,'Data SO'!$F$2:$F$1085)</f>
        <v>1014.6</v>
      </c>
      <c r="D142" s="9">
        <f>SUMIF('Data SCM'!$I$2:$I$698,$J142,'Data SCM'!$E$2:$E$698)*L142</f>
        <v>1014.6</v>
      </c>
      <c r="E142" s="9">
        <f t="shared" si="6"/>
        <v>0</v>
      </c>
      <c r="F142" s="4">
        <f>SUMIF('Data SO'!$H$2:$H$1085,$J142,'Data SO'!$G$2:$G$1085)</f>
        <v>20826000</v>
      </c>
      <c r="G142" s="4">
        <f>SUMIF('Data SCM'!$I$2:$I$698,$J142,'Data SCM'!$H$2:$H$698)</f>
        <v>20826000.010699999</v>
      </c>
      <c r="H142" s="4">
        <f t="shared" si="7"/>
        <v>1.0699998587369919E-2</v>
      </c>
      <c r="I142" s="3" t="str">
        <f>IF(COUNTIF('Data SCM'!$I$2:$I$698,$J142)=0,"Hanya di SO",IF(COUNTIF('Data SO'!$H$2:$H$1085,$J142)=0,"Hanya di SCM",IF(AND(ABS(E142)&lt;0.01,ABS(H142)&lt;1),"Sama",IF(ABS(E142)&lt;0.01,"Selisih nominal",IF(ABS(H142)&lt;1,"Selisih qty","Selisih qty &amp; nominal")))))</f>
        <v>Sama</v>
      </c>
      <c r="J142" t="s">
        <v>166</v>
      </c>
      <c r="K142" t="str">
        <f>IFERROR(INDEX('Data SCM'!$D$2:$D$698,MATCH($J142,'Data SCM'!$I$2:$I$698,0)),"")</f>
        <v>LTR</v>
      </c>
      <c r="L142">
        <f t="shared" si="8"/>
        <v>1</v>
      </c>
    </row>
    <row r="143" spans="1:13" x14ac:dyDescent="0.25">
      <c r="A143" s="3" t="str">
        <f>IFERROR(INDEX('Data SO'!$C$2:$C$1085,MATCH($J143,'Data SO'!$H$2:$H$1085,0)),INDEX('Data SCM'!$B$2:$B$698,MATCH($J143,'Data SCM'!$I$2:$I$698,0)))</f>
        <v>GAS PORTABLE</v>
      </c>
      <c r="B143" s="3" t="str">
        <f>IFERROR(INDEX('Data SO'!$D$2:$D$1085,MATCH($J143,'Data SO'!$H$2:$H$1085,0)),K143)</f>
        <v>gram</v>
      </c>
      <c r="C143" s="9">
        <f>SUMIF('Data SO'!$H$2:$H$1085,$J143,'Data SO'!$F$2:$F$1085)</f>
        <v>235</v>
      </c>
      <c r="D143" s="9">
        <f>SUMIF('Data SCM'!$I$2:$I$698,$J143,'Data SCM'!$E$2:$E$698)*L143</f>
        <v>235</v>
      </c>
      <c r="E143" s="9">
        <f t="shared" si="6"/>
        <v>0</v>
      </c>
      <c r="F143" s="4">
        <f>SUMIF('Data SO'!$H$2:$H$1085,$J143,'Data SO'!$G$2:$G$1085)</f>
        <v>29000</v>
      </c>
      <c r="G143" s="4">
        <f>SUMIF('Data SCM'!$I$2:$I$698,$J143,'Data SCM'!$H$2:$H$698)</f>
        <v>29000.0105</v>
      </c>
      <c r="H143" s="4">
        <f t="shared" si="7"/>
        <v>1.0500000000320142E-2</v>
      </c>
      <c r="I143" s="3" t="str">
        <f>IF(COUNTIF('Data SCM'!$I$2:$I$698,$J143)=0,"Hanya di SO",IF(COUNTIF('Data SO'!$H$2:$H$1085,$J143)=0,"Hanya di SCM",IF(AND(ABS(E143)&lt;0.01,ABS(H143)&lt;1),"Sama",IF(ABS(E143)&lt;0.01,"Selisih nominal",IF(ABS(H143)&lt;1,"Selisih qty","Selisih qty &amp; nominal")))))</f>
        <v>Sama</v>
      </c>
      <c r="J143" t="s">
        <v>167</v>
      </c>
      <c r="K143" t="str">
        <f>IFERROR(INDEX('Data SCM'!$D$2:$D$698,MATCH($J143,'Data SCM'!$I$2:$I$698,0)),"")</f>
        <v>GR</v>
      </c>
      <c r="L143">
        <f t="shared" si="8"/>
        <v>1</v>
      </c>
    </row>
    <row r="144" spans="1:13" x14ac:dyDescent="0.25">
      <c r="A144" s="3" t="str">
        <f>IFERROR(INDEX('Data SO'!$C$2:$C$1085,MATCH($J144,'Data SO'!$H$2:$H$1085,0)),INDEX('Data SCM'!$B$2:$B$698,MATCH($J144,'Data SCM'!$I$2:$I$698,0)))</f>
        <v>Pewarna Kuning Muda Cap Kupu-Kupu@12X12X15Ml</v>
      </c>
      <c r="B144" s="3" t="str">
        <f>IFERROR(INDEX('Data SO'!$D$2:$D$1085,MATCH($J144,'Data SO'!$H$2:$H$1085,0)),K144)</f>
        <v>pcs</v>
      </c>
      <c r="C144" s="9">
        <f>SUMIF('Data SO'!$H$2:$H$1085,$J144,'Data SO'!$F$2:$F$1085)</f>
        <v>194</v>
      </c>
      <c r="D144" s="9">
        <f>SUMIF('Data SCM'!$I$2:$I$698,$J144,'Data SCM'!$E$2:$E$698)*L144</f>
        <v>194</v>
      </c>
      <c r="E144" s="9">
        <f t="shared" si="6"/>
        <v>0</v>
      </c>
      <c r="F144" s="4">
        <f>SUMIF('Data SO'!$H$2:$H$1085,$J144,'Data SO'!$G$2:$G$1085)</f>
        <v>695166.66666666698</v>
      </c>
      <c r="G144" s="4">
        <f>SUMIF('Data SCM'!$I$2:$I$698,$J144,'Data SCM'!$H$2:$H$698)</f>
        <v>695166.66020000004</v>
      </c>
      <c r="H144" s="4">
        <f t="shared" si="7"/>
        <v>-6.4666669350117445E-3</v>
      </c>
      <c r="I144" s="3" t="str">
        <f>IF(COUNTIF('Data SCM'!$I$2:$I$698,$J144)=0,"Hanya di SO",IF(COUNTIF('Data SO'!$H$2:$H$1085,$J144)=0,"Hanya di SCM",IF(AND(ABS(E144)&lt;0.01,ABS(H144)&lt;1),"Sama",IF(ABS(E144)&lt;0.01,"Selisih nominal",IF(ABS(H144)&lt;1,"Selisih qty","Selisih qty &amp; nominal")))))</f>
        <v>Sama</v>
      </c>
      <c r="J144" t="s">
        <v>168</v>
      </c>
      <c r="K144" t="str">
        <f>IFERROR(INDEX('Data SCM'!$D$2:$D$698,MATCH($J144,'Data SCM'!$I$2:$I$698,0)),"")</f>
        <v>PCS</v>
      </c>
      <c r="L144">
        <f t="shared" si="8"/>
        <v>1</v>
      </c>
    </row>
    <row r="145" spans="1:12" x14ac:dyDescent="0.25">
      <c r="A145" s="3" t="str">
        <f>IFERROR(INDEX('Data SO'!$C$2:$C$1085,MATCH($J145,'Data SO'!$H$2:$H$1085,0)),INDEX('Data SCM'!$B$2:$B$698,MATCH($J145,'Data SCM'!$I$2:$I$698,0)))</f>
        <v>Amanda Margarin @1X15Kg</v>
      </c>
      <c r="B145" s="3" t="str">
        <f>IFERROR(INDEX('Data SO'!$D$2:$D$1085,MATCH($J145,'Data SO'!$H$2:$H$1085,0)),K145)</f>
        <v>kg</v>
      </c>
      <c r="C145" s="9">
        <f>SUMIF('Data SO'!$H$2:$H$1085,$J145,'Data SO'!$F$2:$F$1085)</f>
        <v>150</v>
      </c>
      <c r="D145" s="9">
        <f>SUMIF('Data SCM'!$I$2:$I$698,$J145,'Data SCM'!$E$2:$E$698)*L145</f>
        <v>150</v>
      </c>
      <c r="E145" s="9">
        <f t="shared" si="6"/>
        <v>0</v>
      </c>
      <c r="F145" s="4">
        <f>SUMIF('Data SO'!$H$2:$H$1085,$J145,'Data SO'!$G$2:$G$1085)</f>
        <v>2743000</v>
      </c>
      <c r="G145" s="4">
        <f>SUMIF('Data SCM'!$I$2:$I$698,$J145,'Data SCM'!$H$2:$H$698)</f>
        <v>2743000.0049999999</v>
      </c>
      <c r="H145" s="4">
        <f t="shared" si="7"/>
        <v>4.999999888241291E-3</v>
      </c>
      <c r="I145" s="3" t="str">
        <f>IF(COUNTIF('Data SCM'!$I$2:$I$698,$J145)=0,"Hanya di SO",IF(COUNTIF('Data SO'!$H$2:$H$1085,$J145)=0,"Hanya di SCM",IF(AND(ABS(E145)&lt;0.01,ABS(H145)&lt;1),"Sama",IF(ABS(E145)&lt;0.01,"Selisih nominal",IF(ABS(H145)&lt;1,"Selisih qty","Selisih qty &amp; nominal")))))</f>
        <v>Sama</v>
      </c>
      <c r="J145" t="s">
        <v>169</v>
      </c>
      <c r="K145" t="str">
        <f>IFERROR(INDEX('Data SCM'!$D$2:$D$698,MATCH($J145,'Data SCM'!$I$2:$I$698,0)),"")</f>
        <v>KG</v>
      </c>
      <c r="L145">
        <f t="shared" si="8"/>
        <v>1</v>
      </c>
    </row>
    <row r="146" spans="1:12" x14ac:dyDescent="0.25">
      <c r="A146" s="3" t="str">
        <f>IFERROR(INDEX('Data SO'!$C$2:$C$1085,MATCH($J146,'Data SO'!$H$2:$H$1085,0)),INDEX('Data SCM'!$B$2:$B$698,MATCH($J146,'Data SCM'!$I$2:$I$698,0)))</f>
        <v>PEWARNA CROSS  BLACK PHANTOM @60ML</v>
      </c>
      <c r="B146" s="3" t="str">
        <f>IFERROR(INDEX('Data SO'!$D$2:$D$1085,MATCH($J146,'Data SO'!$H$2:$H$1085,0)),K146)</f>
        <v>ml</v>
      </c>
      <c r="C146" s="9">
        <f>SUMIF('Data SO'!$H$2:$H$1085,$J146,'Data SO'!$F$2:$F$1085)</f>
        <v>120</v>
      </c>
      <c r="D146" s="9">
        <f>SUMIF('Data SCM'!$I$2:$I$698,$J146,'Data SCM'!$E$2:$E$698)*L146</f>
        <v>120</v>
      </c>
      <c r="E146" s="9">
        <f t="shared" si="6"/>
        <v>0</v>
      </c>
      <c r="F146" s="4">
        <f>SUMIF('Data SO'!$H$2:$H$1085,$J146,'Data SO'!$G$2:$G$1085)</f>
        <v>110000</v>
      </c>
      <c r="G146" s="4">
        <f>SUMIF('Data SCM'!$I$2:$I$698,$J146,'Data SCM'!$H$2:$H$698)</f>
        <v>110000.004</v>
      </c>
      <c r="H146" s="4">
        <f t="shared" si="7"/>
        <v>4.0000000008149073E-3</v>
      </c>
      <c r="I146" s="3" t="str">
        <f>IF(COUNTIF('Data SCM'!$I$2:$I$698,$J146)=0,"Hanya di SO",IF(COUNTIF('Data SO'!$H$2:$H$1085,$J146)=0,"Hanya di SCM",IF(AND(ABS(E146)&lt;0.01,ABS(H146)&lt;1),"Sama",IF(ABS(E146)&lt;0.01,"Selisih nominal",IF(ABS(H146)&lt;1,"Selisih qty","Selisih qty &amp; nominal")))))</f>
        <v>Sama</v>
      </c>
      <c r="J146" t="s">
        <v>170</v>
      </c>
      <c r="K146" t="str">
        <f>IFERROR(INDEX('Data SCM'!$D$2:$D$698,MATCH($J146,'Data SCM'!$I$2:$I$698,0)),"")</f>
        <v>ML</v>
      </c>
      <c r="L146">
        <f t="shared" si="8"/>
        <v>1</v>
      </c>
    </row>
    <row r="147" spans="1:12" x14ac:dyDescent="0.25">
      <c r="A147" s="3" t="str">
        <f>IFERROR(INDEX('Data SO'!$C$2:$C$1085,MATCH($J147,'Data SO'!$H$2:$H$1085,0)),INDEX('Data SCM'!$B$2:$B$698,MATCH($J147,'Data SCM'!$I$2:$I$698,0)))</f>
        <v>Vanili Crystal</v>
      </c>
      <c r="B147" s="3" t="str">
        <f>IFERROR(INDEX('Data SO'!$D$2:$D$1085,MATCH($J147,'Data SO'!$H$2:$H$1085,0)),K147)</f>
        <v>pcs</v>
      </c>
      <c r="C147" s="9">
        <f>SUMIF('Data SO'!$H$2:$H$1085,$J147,'Data SO'!$F$2:$F$1085)</f>
        <v>288</v>
      </c>
      <c r="D147" s="9">
        <f>SUMIF('Data SCM'!$I$2:$I$698,$J147,'Data SCM'!$E$2:$E$698)*L147</f>
        <v>288</v>
      </c>
      <c r="E147" s="9">
        <f t="shared" si="6"/>
        <v>0</v>
      </c>
      <c r="F147" s="4">
        <f>SUMIF('Data SO'!$H$2:$H$1085,$J147,'Data SO'!$G$2:$G$1085)</f>
        <v>1904000</v>
      </c>
      <c r="G147" s="4">
        <f>SUMIF('Data SCM'!$I$2:$I$698,$J147,'Data SCM'!$H$2:$H$698)</f>
        <v>1903999.9968000001</v>
      </c>
      <c r="H147" s="4">
        <f t="shared" si="7"/>
        <v>-3.1999999191612005E-3</v>
      </c>
      <c r="I147" s="3" t="str">
        <f>IF(COUNTIF('Data SCM'!$I$2:$I$698,$J147)=0,"Hanya di SO",IF(COUNTIF('Data SO'!$H$2:$H$1085,$J147)=0,"Hanya di SCM",IF(AND(ABS(E147)&lt;0.01,ABS(H147)&lt;1),"Sama",IF(ABS(E147)&lt;0.01,"Selisih nominal",IF(ABS(H147)&lt;1,"Selisih qty","Selisih qty &amp; nominal")))))</f>
        <v>Sama</v>
      </c>
      <c r="J147" t="s">
        <v>171</v>
      </c>
      <c r="K147" t="str">
        <f>IFERROR(INDEX('Data SCM'!$D$2:$D$698,MATCH($J147,'Data SCM'!$I$2:$I$698,0)),"")</f>
        <v>PCS</v>
      </c>
      <c r="L147">
        <f t="shared" si="8"/>
        <v>1</v>
      </c>
    </row>
    <row r="148" spans="1:12" x14ac:dyDescent="0.25">
      <c r="A148" s="3" t="str">
        <f>IFERROR(INDEX('Data SO'!$C$2:$C$1085,MATCH($J148,'Data SO'!$H$2:$H$1085,0)),INDEX('Data SCM'!$B$2:$B$698,MATCH($J148,'Data SCM'!$I$2:$I$698,0)))</f>
        <v>FILMA PUFF PASTRY@ 12 X 1 KG</v>
      </c>
      <c r="B148" s="3" t="str">
        <f>IFERROR(INDEX('Data SO'!$D$2:$D$1085,MATCH($J148,'Data SO'!$H$2:$H$1085,0)),K148)</f>
        <v>kg</v>
      </c>
      <c r="C148" s="9">
        <f>SUMIF('Data SO'!$H$2:$H$1085,$J148,'Data SO'!$F$2:$F$1085)</f>
        <v>72</v>
      </c>
      <c r="D148" s="9">
        <f>SUMIF('Data SCM'!$I$2:$I$698,$J148,'Data SCM'!$E$2:$E$698)*L148</f>
        <v>72</v>
      </c>
      <c r="E148" s="9">
        <f t="shared" si="6"/>
        <v>0</v>
      </c>
      <c r="F148" s="4">
        <f>SUMIF('Data SO'!$H$2:$H$1085,$J148,'Data SO'!$G$2:$G$1085)</f>
        <v>2292000</v>
      </c>
      <c r="G148" s="4">
        <f>SUMIF('Data SCM'!$I$2:$I$698,$J148,'Data SCM'!$H$2:$H$698)</f>
        <v>2291999.9975999999</v>
      </c>
      <c r="H148" s="4">
        <f t="shared" si="7"/>
        <v>-2.4000001139938831E-3</v>
      </c>
      <c r="I148" s="3" t="str">
        <f>IF(COUNTIF('Data SCM'!$I$2:$I$698,$J148)=0,"Hanya di SO",IF(COUNTIF('Data SO'!$H$2:$H$1085,$J148)=0,"Hanya di SCM",IF(AND(ABS(E148)&lt;0.01,ABS(H148)&lt;1),"Sama",IF(ABS(E148)&lt;0.01,"Selisih nominal",IF(ABS(H148)&lt;1,"Selisih qty","Selisih qty &amp; nominal")))))</f>
        <v>Sama</v>
      </c>
      <c r="J148" t="s">
        <v>172</v>
      </c>
      <c r="K148" t="str">
        <f>IFERROR(INDEX('Data SCM'!$D$2:$D$698,MATCH($J148,'Data SCM'!$I$2:$I$698,0)),"")</f>
        <v>KG</v>
      </c>
      <c r="L148">
        <f t="shared" si="8"/>
        <v>1</v>
      </c>
    </row>
    <row r="149" spans="1:12" x14ac:dyDescent="0.25">
      <c r="A149" s="3" t="str">
        <f>IFERROR(INDEX('Data SO'!$C$2:$C$1085,MATCH($J149,'Data SO'!$H$2:$H$1085,0)),INDEX('Data SCM'!$B$2:$B$698,MATCH($J149,'Data SCM'!$I$2:$I$698,0)))</f>
        <v>Pasta Mocca Cap Kupu-Kupu @6X12X60Ml</v>
      </c>
      <c r="B149" s="3" t="str">
        <f>IFERROR(INDEX('Data SO'!$D$2:$D$1085,MATCH($J149,'Data SO'!$H$2:$H$1085,0)),K149)</f>
        <v>pcs</v>
      </c>
      <c r="C149" s="9">
        <f>SUMIF('Data SO'!$H$2:$H$1085,$J149,'Data SO'!$F$2:$F$1085)</f>
        <v>39</v>
      </c>
      <c r="D149" s="9">
        <f>SUMIF('Data SCM'!$I$2:$I$698,$J149,'Data SCM'!$E$2:$E$698)*L149</f>
        <v>39</v>
      </c>
      <c r="E149" s="9">
        <f t="shared" si="6"/>
        <v>0</v>
      </c>
      <c r="F149" s="4">
        <f>SUMIF('Data SO'!$H$2:$H$1085,$J149,'Data SO'!$G$2:$G$1085)</f>
        <v>265416.66666666698</v>
      </c>
      <c r="G149" s="4">
        <f>SUMIF('Data SCM'!$I$2:$I$698,$J149,'Data SCM'!$H$2:$H$698)</f>
        <v>265416.66840000002</v>
      </c>
      <c r="H149" s="4">
        <f t="shared" si="7"/>
        <v>1.7333330470137298E-3</v>
      </c>
      <c r="I149" s="3" t="str">
        <f>IF(COUNTIF('Data SCM'!$I$2:$I$698,$J149)=0,"Hanya di SO",IF(COUNTIF('Data SO'!$H$2:$H$1085,$J149)=0,"Hanya di SCM",IF(AND(ABS(E149)&lt;0.01,ABS(H149)&lt;1),"Sama",IF(ABS(E149)&lt;0.01,"Selisih nominal",IF(ABS(H149)&lt;1,"Selisih qty","Selisih qty &amp; nominal")))))</f>
        <v>Sama</v>
      </c>
      <c r="J149" t="s">
        <v>173</v>
      </c>
      <c r="K149" t="str">
        <f>IFERROR(INDEX('Data SCM'!$D$2:$D$698,MATCH($J149,'Data SCM'!$I$2:$I$698,0)),"")</f>
        <v>PCS</v>
      </c>
      <c r="L149">
        <f t="shared" si="8"/>
        <v>1</v>
      </c>
    </row>
    <row r="150" spans="1:12" x14ac:dyDescent="0.25">
      <c r="A150" s="3" t="str">
        <f>IFERROR(INDEX('Data SO'!$C$2:$C$1085,MATCH($J150,'Data SO'!$H$2:$H$1085,0)),INDEX('Data SCM'!$B$2:$B$698,MATCH($J150,'Data SCM'!$I$2:$I$698,0)))</f>
        <v>Almonesia</v>
      </c>
      <c r="B150" s="3" t="str">
        <f>IFERROR(INDEX('Data SO'!$D$2:$D$1085,MATCH($J150,'Data SO'!$H$2:$H$1085,0)),K150)</f>
        <v>kg</v>
      </c>
      <c r="C150" s="9">
        <f>SUMIF('Data SO'!$H$2:$H$1085,$J150,'Data SO'!$F$2:$F$1085)</f>
        <v>76.34</v>
      </c>
      <c r="D150" s="9">
        <f>SUMIF('Data SCM'!$I$2:$I$698,$J150,'Data SCM'!$E$2:$E$698)*L150</f>
        <v>76.34</v>
      </c>
      <c r="E150" s="9">
        <f t="shared" si="6"/>
        <v>0</v>
      </c>
      <c r="F150" s="4">
        <f>SUMIF('Data SO'!$H$2:$H$1085,$J150,'Data SO'!$G$2:$G$1085)</f>
        <v>14137037.037037</v>
      </c>
      <c r="G150" s="4">
        <f>SUMIF('Data SCM'!$I$2:$I$698,$J150,'Data SCM'!$H$2:$H$698)</f>
        <v>14137037.0382</v>
      </c>
      <c r="H150" s="4">
        <f t="shared" si="7"/>
        <v>1.1630002409219742E-3</v>
      </c>
      <c r="I150" s="3" t="str">
        <f>IF(COUNTIF('Data SCM'!$I$2:$I$698,$J150)=0,"Hanya di SO",IF(COUNTIF('Data SO'!$H$2:$H$1085,$J150)=0,"Hanya di SCM",IF(AND(ABS(E150)&lt;0.01,ABS(H150)&lt;1),"Sama",IF(ABS(E150)&lt;0.01,"Selisih nominal",IF(ABS(H150)&lt;1,"Selisih qty","Selisih qty &amp; nominal")))))</f>
        <v>Sama</v>
      </c>
      <c r="J150" t="s">
        <v>174</v>
      </c>
      <c r="K150" t="str">
        <f>IFERROR(INDEX('Data SCM'!$D$2:$D$698,MATCH($J150,'Data SCM'!$I$2:$I$698,0)),"")</f>
        <v>KG</v>
      </c>
      <c r="L150">
        <f t="shared" si="8"/>
        <v>1</v>
      </c>
    </row>
    <row r="151" spans="1:12" x14ac:dyDescent="0.25">
      <c r="A151" s="3" t="str">
        <f>IFERROR(INDEX('Data SO'!$C$2:$C$1085,MATCH($J151,'Data SO'!$H$2:$H$1085,0)),INDEX('Data SCM'!$B$2:$B$698,MATCH($J151,'Data SCM'!$I$2:$I$698,0)))</f>
        <v>PREMIX MENTEGA BASIC</v>
      </c>
      <c r="B151" s="3" t="str">
        <f>IFERROR(INDEX('Data SO'!$D$2:$D$1085,MATCH($J151,'Data SO'!$H$2:$H$1085,0)),K151)</f>
        <v>Pcs</v>
      </c>
      <c r="C151" s="9">
        <f>SUMIF('Data SO'!$H$2:$H$1085,$J151,'Data SO'!$F$2:$F$1085)</f>
        <v>15</v>
      </c>
      <c r="D151" s="9">
        <f>SUMIF('Data SCM'!$I$2:$I$698,$J151,'Data SCM'!$E$2:$E$698)*L151</f>
        <v>15</v>
      </c>
      <c r="E151" s="9">
        <f t="shared" si="6"/>
        <v>0</v>
      </c>
      <c r="F151" s="4">
        <f>SUMIF('Data SO'!$H$2:$H$1085,$J151,'Data SO'!$G$2:$G$1085)</f>
        <v>580930</v>
      </c>
      <c r="G151" s="4">
        <f>SUMIF('Data SCM'!$I$2:$I$698,$J151,'Data SCM'!$H$2:$H$698)</f>
        <v>580930.00049999997</v>
      </c>
      <c r="H151" s="4">
        <f t="shared" si="7"/>
        <v>4.9999996554106474E-4</v>
      </c>
      <c r="I151" s="3" t="str">
        <f>IF(COUNTIF('Data SCM'!$I$2:$I$698,$J151)=0,"Hanya di SO",IF(COUNTIF('Data SO'!$H$2:$H$1085,$J151)=0,"Hanya di SCM",IF(AND(ABS(E151)&lt;0.01,ABS(H151)&lt;1),"Sama",IF(ABS(E151)&lt;0.01,"Selisih nominal",IF(ABS(H151)&lt;1,"Selisih qty","Selisih qty &amp; nominal")))))</f>
        <v>Sama</v>
      </c>
      <c r="J151" t="s">
        <v>175</v>
      </c>
      <c r="K151" t="str">
        <f>IFERROR(INDEX('Data SCM'!$D$2:$D$698,MATCH($J151,'Data SCM'!$I$2:$I$698,0)),"")</f>
        <v>KG</v>
      </c>
      <c r="L151">
        <f t="shared" si="8"/>
        <v>1</v>
      </c>
    </row>
    <row r="152" spans="1:12" x14ac:dyDescent="0.25">
      <c r="A152" s="3" t="str">
        <f>IFERROR(INDEX('Data SO'!$C$2:$C$1085,MATCH($J152,'Data SO'!$H$2:$H$1085,0)),INDEX('Data SCM'!$B$2:$B$698,MATCH($J152,'Data SCM'!$I$2:$I$698,0)))</f>
        <v>PEWARNA HIJAU MUDA 30ML</v>
      </c>
      <c r="B152" s="3" t="str">
        <f>IFERROR(INDEX('Data SO'!$D$2:$D$1085,MATCH($J152,'Data SO'!$H$2:$H$1085,0)),K152)</f>
        <v>Pcs</v>
      </c>
      <c r="C152" s="9">
        <f>SUMIF('Data SO'!$H$2:$H$1085,$J152,'Data SO'!$F$2:$F$1085)</f>
        <v>7</v>
      </c>
      <c r="D152" s="9">
        <f>SUMIF('Data SCM'!$I$2:$I$698,$J152,'Data SCM'!$E$2:$E$698)*L152</f>
        <v>7</v>
      </c>
      <c r="E152" s="9">
        <f t="shared" si="6"/>
        <v>0</v>
      </c>
      <c r="F152" s="4">
        <f>SUMIF('Data SO'!$H$2:$H$1085,$J152,'Data SO'!$G$2:$G$1085)</f>
        <v>25083.333333333299</v>
      </c>
      <c r="G152" s="4">
        <f>SUMIF('Data SCM'!$I$2:$I$698,$J152,'Data SCM'!$H$2:$H$698)</f>
        <v>25083.3331</v>
      </c>
      <c r="H152" s="4">
        <f t="shared" si="7"/>
        <v>-2.3333329954766668E-4</v>
      </c>
      <c r="I152" s="3" t="str">
        <f>IF(COUNTIF('Data SCM'!$I$2:$I$698,$J152)=0,"Hanya di SO",IF(COUNTIF('Data SO'!$H$2:$H$1085,$J152)=0,"Hanya di SCM",IF(AND(ABS(E152)&lt;0.01,ABS(H152)&lt;1),"Sama",IF(ABS(E152)&lt;0.01,"Selisih nominal",IF(ABS(H152)&lt;1,"Selisih qty","Selisih qty &amp; nominal")))))</f>
        <v>Sama</v>
      </c>
      <c r="J152" t="s">
        <v>176</v>
      </c>
      <c r="K152" t="str">
        <f>IFERROR(INDEX('Data SCM'!$D$2:$D$698,MATCH($J152,'Data SCM'!$I$2:$I$698,0)),"")</f>
        <v>PCS</v>
      </c>
      <c r="L152">
        <f t="shared" si="8"/>
        <v>1</v>
      </c>
    </row>
    <row r="153" spans="1:12" x14ac:dyDescent="0.25">
      <c r="A153" s="3" t="str">
        <f>IFERROR(INDEX('Data SO'!$C$2:$C$1085,MATCH($J153,'Data SO'!$H$2:$H$1085,0)),INDEX('Data SCM'!$B$2:$B$698,MATCH($J153,'Data SCM'!$I$2:$I$698,0)))</f>
        <v>AIR MINERAL 220 ML</v>
      </c>
      <c r="B153" s="3" t="str">
        <f>IFERROR(INDEX('Data SO'!$D$2:$D$1085,MATCH($J153,'Data SO'!$H$2:$H$1085,0)),K153)</f>
        <v>Pcs</v>
      </c>
      <c r="C153" s="9">
        <f>SUMIF('Data SO'!$H$2:$H$1085,$J153,'Data SO'!$F$2:$F$1085)</f>
        <v>3</v>
      </c>
      <c r="D153" s="9">
        <f>SUMIF('Data SCM'!$I$2:$I$698,$J153,'Data SCM'!$E$2:$E$698)*L153</f>
        <v>3</v>
      </c>
      <c r="E153" s="9">
        <f t="shared" si="6"/>
        <v>0</v>
      </c>
      <c r="F153" s="4">
        <f>SUMIF('Data SO'!$H$2:$H$1085,$J153,'Data SO'!$G$2:$G$1085)</f>
        <v>2750</v>
      </c>
      <c r="G153" s="4">
        <f>SUMIF('Data SCM'!$I$2:$I$698,$J153,'Data SCM'!$H$2:$H$698)</f>
        <v>2750.0001000000002</v>
      </c>
      <c r="H153" s="4">
        <f t="shared" si="7"/>
        <v>1.0000000020227162E-4</v>
      </c>
      <c r="I153" s="3" t="str">
        <f>IF(COUNTIF('Data SCM'!$I$2:$I$698,$J153)=0,"Hanya di SO",IF(COUNTIF('Data SO'!$H$2:$H$1085,$J153)=0,"Hanya di SCM",IF(AND(ABS(E153)&lt;0.01,ABS(H153)&lt;1),"Sama",IF(ABS(E153)&lt;0.01,"Selisih nominal",IF(ABS(H153)&lt;1,"Selisih qty","Selisih qty &amp; nominal")))))</f>
        <v>Sama</v>
      </c>
      <c r="J153" t="s">
        <v>177</v>
      </c>
      <c r="K153" t="str">
        <f>IFERROR(INDEX('Data SCM'!$D$2:$D$698,MATCH($J153,'Data SCM'!$I$2:$I$698,0)),"")</f>
        <v>PCS</v>
      </c>
      <c r="L153">
        <f t="shared" si="8"/>
        <v>1</v>
      </c>
    </row>
    <row r="154" spans="1:12" x14ac:dyDescent="0.25">
      <c r="A154" s="3" t="str">
        <f>IFERROR(INDEX('Data SO'!$C$2:$C$1085,MATCH($J154,'Data SO'!$H$2:$H$1085,0)),INDEX('Data SCM'!$B$2:$B$698,MATCH($J154,'Data SCM'!$I$2:$I$698,0)))</f>
        <v>Ch-12 @1X3000Pcs</v>
      </c>
      <c r="B154" s="3" t="str">
        <f>IFERROR(INDEX('Data SO'!$D$2:$D$1085,MATCH($J154,'Data SO'!$H$2:$H$1085,0)),K154)</f>
        <v>pcs</v>
      </c>
      <c r="C154" s="9">
        <f>SUMIF('Data SO'!$H$2:$H$1085,$J154,'Data SO'!$F$2:$F$1085)</f>
        <v>2900</v>
      </c>
      <c r="D154" s="9">
        <f>SUMIF('Data SCM'!$I$2:$I$698,$J154,'Data SCM'!$E$2:$E$698)*L154</f>
        <v>2900</v>
      </c>
      <c r="E154" s="9">
        <f t="shared" si="6"/>
        <v>0</v>
      </c>
      <c r="F154" s="4">
        <f>SUMIF('Data SO'!$H$2:$H$1085,$J154,'Data SO'!$G$2:$G$1085)</f>
        <v>997890</v>
      </c>
      <c r="G154" s="4">
        <f>SUMIF('Data SCM'!$I$2:$I$698,$J154,'Data SCM'!$H$2:$H$698)</f>
        <v>997890</v>
      </c>
      <c r="H154" s="4">
        <f t="shared" si="7"/>
        <v>0</v>
      </c>
      <c r="I154" s="3" t="str">
        <f>IF(COUNTIF('Data SCM'!$I$2:$I$698,$J154)=0,"Hanya di SO",IF(COUNTIF('Data SO'!$H$2:$H$1085,$J154)=0,"Hanya di SCM",IF(AND(ABS(E154)&lt;0.01,ABS(H154)&lt;1),"Sama",IF(ABS(E154)&lt;0.01,"Selisih nominal",IF(ABS(H154)&lt;1,"Selisih qty","Selisih qty &amp; nominal")))))</f>
        <v>Sama</v>
      </c>
      <c r="J154" t="s">
        <v>178</v>
      </c>
      <c r="K154" t="str">
        <f>IFERROR(INDEX('Data SCM'!$D$2:$D$698,MATCH($J154,'Data SCM'!$I$2:$I$698,0)),"")</f>
        <v>PCS</v>
      </c>
      <c r="L154">
        <f t="shared" si="8"/>
        <v>1</v>
      </c>
    </row>
    <row r="155" spans="1:12" x14ac:dyDescent="0.25">
      <c r="A155" s="3" t="str">
        <f>IFERROR(INDEX('Data SO'!$C$2:$C$1085,MATCH($J155,'Data SO'!$H$2:$H$1085,0)),INDEX('Data SCM'!$B$2:$B$698,MATCH($J155,'Data SCM'!$I$2:$I$698,0)))</f>
        <v>ABON AYAM PEDAS</v>
      </c>
      <c r="B155" s="3" t="str">
        <f>IFERROR(INDEX('Data SO'!$D$2:$D$1085,MATCH($J155,'Data SO'!$H$2:$H$1085,0)),K155)</f>
        <v>kg</v>
      </c>
      <c r="C155" s="9">
        <f>SUMIF('Data SO'!$H$2:$H$1085,$J155,'Data SO'!$F$2:$F$1085)</f>
        <v>71</v>
      </c>
      <c r="D155" s="9">
        <f>SUMIF('Data SCM'!$I$2:$I$698,$J155,'Data SCM'!$E$2:$E$698)*L155</f>
        <v>71</v>
      </c>
      <c r="E155" s="9">
        <f t="shared" si="6"/>
        <v>0</v>
      </c>
      <c r="F155" s="4">
        <f>SUMIF('Data SO'!$H$2:$H$1085,$J155,'Data SO'!$G$2:$G$1085)</f>
        <v>10796970</v>
      </c>
      <c r="G155" s="4">
        <f>SUMIF('Data SCM'!$I$2:$I$698,$J155,'Data SCM'!$H$2:$H$698)</f>
        <v>10796970</v>
      </c>
      <c r="H155" s="4">
        <f t="shared" si="7"/>
        <v>0</v>
      </c>
      <c r="I155" s="3" t="str">
        <f>IF(COUNTIF('Data SCM'!$I$2:$I$698,$J155)=0,"Hanya di SO",IF(COUNTIF('Data SO'!$H$2:$H$1085,$J155)=0,"Hanya di SCM",IF(AND(ABS(E155)&lt;0.01,ABS(H155)&lt;1),"Sama",IF(ABS(E155)&lt;0.01,"Selisih nominal",IF(ABS(H155)&lt;1,"Selisih qty","Selisih qty &amp; nominal")))))</f>
        <v>Sama</v>
      </c>
      <c r="J155" t="s">
        <v>179</v>
      </c>
      <c r="K155" t="str">
        <f>IFERROR(INDEX('Data SCM'!$D$2:$D$698,MATCH($J155,'Data SCM'!$I$2:$I$698,0)),"")</f>
        <v>KG</v>
      </c>
      <c r="L155">
        <f t="shared" si="8"/>
        <v>1</v>
      </c>
    </row>
    <row r="156" spans="1:12" x14ac:dyDescent="0.25">
      <c r="A156" s="3" t="str">
        <f>IFERROR(INDEX('Data SO'!$C$2:$C$1085,MATCH($J156,'Data SO'!$H$2:$H$1085,0)),INDEX('Data SCM'!$B$2:$B$698,MATCH($J156,'Data SCM'!$I$2:$I$698,0)))</f>
        <v>AGAR-AGAR SWALLOW</v>
      </c>
      <c r="B156" s="3" t="str">
        <f>IFERROR(INDEX('Data SO'!$D$2:$D$1085,MATCH($J156,'Data SO'!$H$2:$H$1085,0)),K156)</f>
        <v>Pcs</v>
      </c>
      <c r="C156" s="9">
        <f>SUMIF('Data SO'!$H$2:$H$1085,$J156,'Data SO'!$F$2:$F$1085)</f>
        <v>17</v>
      </c>
      <c r="D156" s="9">
        <f>SUMIF('Data SCM'!$I$2:$I$698,$J156,'Data SCM'!$E$2:$E$698)*L156</f>
        <v>17</v>
      </c>
      <c r="E156" s="9">
        <f t="shared" si="6"/>
        <v>0</v>
      </c>
      <c r="F156" s="4">
        <f>SUMIF('Data SO'!$H$2:$H$1085,$J156,'Data SO'!$G$2:$G$1085)</f>
        <v>5950</v>
      </c>
      <c r="G156" s="4">
        <f>SUMIF('Data SCM'!$I$2:$I$698,$J156,'Data SCM'!$H$2:$H$698)</f>
        <v>5950</v>
      </c>
      <c r="H156" s="4">
        <f t="shared" si="7"/>
        <v>0</v>
      </c>
      <c r="I156" s="3" t="str">
        <f>IF(COUNTIF('Data SCM'!$I$2:$I$698,$J156)=0,"Hanya di SO",IF(COUNTIF('Data SO'!$H$2:$H$1085,$J156)=0,"Hanya di SCM",IF(AND(ABS(E156)&lt;0.01,ABS(H156)&lt;1),"Sama",IF(ABS(E156)&lt;0.01,"Selisih nominal",IF(ABS(H156)&lt;1,"Selisih qty","Selisih qty &amp; nominal")))))</f>
        <v>Sama</v>
      </c>
      <c r="J156" t="s">
        <v>180</v>
      </c>
      <c r="K156" t="str">
        <f>IFERROR(INDEX('Data SCM'!$D$2:$D$698,MATCH($J156,'Data SCM'!$I$2:$I$698,0)),"")</f>
        <v>PCS</v>
      </c>
      <c r="L156">
        <f t="shared" si="8"/>
        <v>1</v>
      </c>
    </row>
    <row r="157" spans="1:12" x14ac:dyDescent="0.25">
      <c r="A157" s="3" t="str">
        <f>IFERROR(INDEX('Data SO'!$C$2:$C$1085,MATCH($J157,'Data SO'!$H$2:$H$1085,0)),INDEX('Data SCM'!$B$2:$B$698,MATCH($J157,'Data SCM'!$I$2:$I$698,0)))</f>
        <v xml:space="preserve">ALAS KOTAK 10X10 </v>
      </c>
      <c r="B157" s="3" t="str">
        <f>IFERROR(INDEX('Data SO'!$D$2:$D$1085,MATCH($J157,'Data SO'!$H$2:$H$1085,0)),K157)</f>
        <v>pcs</v>
      </c>
      <c r="C157" s="9">
        <f>SUMIF('Data SO'!$H$2:$H$1085,$J157,'Data SO'!$F$2:$F$1085)</f>
        <v>400</v>
      </c>
      <c r="D157" s="9">
        <f>SUMIF('Data SCM'!$I$2:$I$698,$J157,'Data SCM'!$E$2:$E$698)*L157</f>
        <v>400</v>
      </c>
      <c r="E157" s="9">
        <f t="shared" si="6"/>
        <v>0</v>
      </c>
      <c r="F157" s="4">
        <f>SUMIF('Data SO'!$H$2:$H$1085,$J157,'Data SO'!$G$2:$G$1085)</f>
        <v>240000</v>
      </c>
      <c r="G157" s="4">
        <f>SUMIF('Data SCM'!$I$2:$I$698,$J157,'Data SCM'!$H$2:$H$698)</f>
        <v>240000</v>
      </c>
      <c r="H157" s="4">
        <f t="shared" si="7"/>
        <v>0</v>
      </c>
      <c r="I157" s="3" t="str">
        <f>IF(COUNTIF('Data SCM'!$I$2:$I$698,$J157)=0,"Hanya di SO",IF(COUNTIF('Data SO'!$H$2:$H$1085,$J157)=0,"Hanya di SCM",IF(AND(ABS(E157)&lt;0.01,ABS(H157)&lt;1),"Sama",IF(ABS(E157)&lt;0.01,"Selisih nominal",IF(ABS(H157)&lt;1,"Selisih qty","Selisih qty &amp; nominal")))))</f>
        <v>Sama</v>
      </c>
      <c r="J157" t="s">
        <v>181</v>
      </c>
      <c r="K157" t="str">
        <f>IFERROR(INDEX('Data SCM'!$D$2:$D$698,MATCH($J157,'Data SCM'!$I$2:$I$698,0)),"")</f>
        <v>PCS</v>
      </c>
      <c r="L157">
        <f t="shared" si="8"/>
        <v>1</v>
      </c>
    </row>
    <row r="158" spans="1:12" x14ac:dyDescent="0.25">
      <c r="A158" s="3" t="str">
        <f>IFERROR(INDEX('Data SO'!$C$2:$C$1085,MATCH($J158,'Data SO'!$H$2:$H$1085,0)),INDEX('Data SCM'!$B$2:$B$698,MATCH($J158,'Data SCM'!$I$2:$I$698,0)))</f>
        <v>ALAS KOTAK EMAS KECIL</v>
      </c>
      <c r="B158" s="3" t="str">
        <f>IFERROR(INDEX('Data SO'!$D$2:$D$1085,MATCH($J158,'Data SO'!$H$2:$H$1085,0)),K158)</f>
        <v>pcs</v>
      </c>
      <c r="C158" s="9">
        <f>SUMIF('Data SO'!$H$2:$H$1085,$J158,'Data SO'!$F$2:$F$1085)</f>
        <v>1250</v>
      </c>
      <c r="D158" s="9">
        <f>SUMIF('Data SCM'!$I$2:$I$698,$J158,'Data SCM'!$E$2:$E$698)*L158</f>
        <v>1250</v>
      </c>
      <c r="E158" s="9">
        <f t="shared" si="6"/>
        <v>0</v>
      </c>
      <c r="F158" s="4">
        <f>SUMIF('Data SO'!$H$2:$H$1085,$J158,'Data SO'!$G$2:$G$1085)</f>
        <v>710000</v>
      </c>
      <c r="G158" s="4">
        <f>SUMIF('Data SCM'!$I$2:$I$698,$J158,'Data SCM'!$H$2:$H$698)</f>
        <v>710000</v>
      </c>
      <c r="H158" s="4">
        <f t="shared" si="7"/>
        <v>0</v>
      </c>
      <c r="I158" s="3" t="str">
        <f>IF(COUNTIF('Data SCM'!$I$2:$I$698,$J158)=0,"Hanya di SO",IF(COUNTIF('Data SO'!$H$2:$H$1085,$J158)=0,"Hanya di SCM",IF(AND(ABS(E158)&lt;0.01,ABS(H158)&lt;1),"Sama",IF(ABS(E158)&lt;0.01,"Selisih nominal",IF(ABS(H158)&lt;1,"Selisih qty","Selisih qty &amp; nominal")))))</f>
        <v>Sama</v>
      </c>
      <c r="J158" t="s">
        <v>182</v>
      </c>
      <c r="K158" t="str">
        <f>IFERROR(INDEX('Data SCM'!$D$2:$D$698,MATCH($J158,'Data SCM'!$I$2:$I$698,0)),"")</f>
        <v>PCS</v>
      </c>
      <c r="L158">
        <f t="shared" si="8"/>
        <v>1</v>
      </c>
    </row>
    <row r="159" spans="1:12" x14ac:dyDescent="0.25">
      <c r="A159" s="3" t="str">
        <f>IFERROR(INDEX('Data SO'!$C$2:$C$1085,MATCH($J159,'Data SO'!$H$2:$H$1085,0)),INDEX('Data SCM'!$B$2:$B$698,MATCH($J159,'Data SCM'!$I$2:$I$698,0)))</f>
        <v>ANGGUR</v>
      </c>
      <c r="B159" s="3" t="str">
        <f>IFERROR(INDEX('Data SO'!$D$2:$D$1085,MATCH($J159,'Data SO'!$H$2:$H$1085,0)),K159)</f>
        <v>kg</v>
      </c>
      <c r="C159" s="9">
        <f>SUMIF('Data SO'!$H$2:$H$1085,$J159,'Data SO'!$F$2:$F$1085)</f>
        <v>14</v>
      </c>
      <c r="D159" s="9">
        <f>SUMIF('Data SCM'!$I$2:$I$698,$J159,'Data SCM'!$E$2:$E$698)*L159</f>
        <v>14</v>
      </c>
      <c r="E159" s="9">
        <f t="shared" si="6"/>
        <v>0</v>
      </c>
      <c r="F159" s="4">
        <f>SUMIF('Data SO'!$H$2:$H$1085,$J159,'Data SO'!$G$2:$G$1085)</f>
        <v>1750000</v>
      </c>
      <c r="G159" s="4">
        <f>SUMIF('Data SCM'!$I$2:$I$698,$J159,'Data SCM'!$H$2:$H$698)</f>
        <v>1750000</v>
      </c>
      <c r="H159" s="4">
        <f t="shared" si="7"/>
        <v>0</v>
      </c>
      <c r="I159" s="3" t="str">
        <f>IF(COUNTIF('Data SCM'!$I$2:$I$698,$J159)=0,"Hanya di SO",IF(COUNTIF('Data SO'!$H$2:$H$1085,$J159)=0,"Hanya di SCM",IF(AND(ABS(E159)&lt;0.01,ABS(H159)&lt;1),"Sama",IF(ABS(E159)&lt;0.01,"Selisih nominal",IF(ABS(H159)&lt;1,"Selisih qty","Selisih qty &amp; nominal")))))</f>
        <v>Sama</v>
      </c>
      <c r="J159" t="s">
        <v>183</v>
      </c>
      <c r="K159" t="str">
        <f>IFERROR(INDEX('Data SCM'!$D$2:$D$698,MATCH($J159,'Data SCM'!$I$2:$I$698,0)),"")</f>
        <v>KG</v>
      </c>
      <c r="L159">
        <f t="shared" si="8"/>
        <v>1</v>
      </c>
    </row>
    <row r="160" spans="1:12" x14ac:dyDescent="0.25">
      <c r="A160" s="3" t="str">
        <f>IFERROR(INDEX('Data SO'!$C$2:$C$1085,MATCH($J160,'Data SO'!$H$2:$H$1085,0)),INDEX('Data SCM'!$B$2:$B$698,MATCH($J160,'Data SCM'!$I$2:$I$698,0)))</f>
        <v>AYAM FILLET</v>
      </c>
      <c r="B160" s="3" t="str">
        <f>IFERROR(INDEX('Data SO'!$D$2:$D$1085,MATCH($J160,'Data SO'!$H$2:$H$1085,0)),K160)</f>
        <v>gram</v>
      </c>
      <c r="C160" s="9">
        <f>SUMIF('Data SO'!$H$2:$H$1085,$J160,'Data SO'!$F$2:$F$1085)</f>
        <v>20000</v>
      </c>
      <c r="D160" s="9">
        <f>SUMIF('Data SCM'!$I$2:$I$698,$J160,'Data SCM'!$E$2:$E$698)*L160</f>
        <v>20000</v>
      </c>
      <c r="E160" s="9">
        <f t="shared" si="6"/>
        <v>0</v>
      </c>
      <c r="F160" s="4">
        <f>SUMIF('Data SO'!$H$2:$H$1085,$J160,'Data SO'!$G$2:$G$1085)</f>
        <v>1220000</v>
      </c>
      <c r="G160" s="4">
        <f>SUMIF('Data SCM'!$I$2:$I$698,$J160,'Data SCM'!$H$2:$H$698)</f>
        <v>1220000</v>
      </c>
      <c r="H160" s="4">
        <f t="shared" si="7"/>
        <v>0</v>
      </c>
      <c r="I160" s="3" t="str">
        <f>IF(COUNTIF('Data SCM'!$I$2:$I$698,$J160)=0,"Hanya di SO",IF(COUNTIF('Data SO'!$H$2:$H$1085,$J160)=0,"Hanya di SCM",IF(AND(ABS(E160)&lt;0.01,ABS(H160)&lt;1),"Sama",IF(ABS(E160)&lt;0.01,"Selisih nominal",IF(ABS(H160)&lt;1,"Selisih qty","Selisih qty &amp; nominal")))))</f>
        <v>Sama</v>
      </c>
      <c r="J160" t="s">
        <v>184</v>
      </c>
      <c r="K160" t="str">
        <f>IFERROR(INDEX('Data SCM'!$D$2:$D$698,MATCH($J160,'Data SCM'!$I$2:$I$698,0)),"")</f>
        <v>GR</v>
      </c>
      <c r="L160">
        <f t="shared" si="8"/>
        <v>1</v>
      </c>
    </row>
    <row r="161" spans="1:12" x14ac:dyDescent="0.25">
      <c r="A161" s="3" t="str">
        <f>IFERROR(INDEX('Data SO'!$C$2:$C$1085,MATCH($J161,'Data SO'!$H$2:$H$1085,0)),INDEX('Data SCM'!$B$2:$B$698,MATCH($J161,'Data SCM'!$I$2:$I$698,0)))</f>
        <v>Abon Ayam</v>
      </c>
      <c r="B161" s="3" t="str">
        <f>IFERROR(INDEX('Data SO'!$D$2:$D$1085,MATCH($J161,'Data SO'!$H$2:$H$1085,0)),K161)</f>
        <v>kg</v>
      </c>
      <c r="C161" s="9">
        <f>SUMIF('Data SO'!$H$2:$H$1085,$J161,'Data SO'!$F$2:$F$1085)</f>
        <v>197</v>
      </c>
      <c r="D161" s="9">
        <f>SUMIF('Data SCM'!$I$2:$I$698,$J161,'Data SCM'!$E$2:$E$698)*L161</f>
        <v>197</v>
      </c>
      <c r="E161" s="9">
        <f t="shared" si="6"/>
        <v>0</v>
      </c>
      <c r="F161" s="4">
        <f>SUMIF('Data SO'!$H$2:$H$1085,$J161,'Data SO'!$G$2:$G$1085)</f>
        <v>28864440</v>
      </c>
      <c r="G161" s="4">
        <f>SUMIF('Data SCM'!$I$2:$I$698,$J161,'Data SCM'!$H$2:$H$698)</f>
        <v>28864440</v>
      </c>
      <c r="H161" s="4">
        <f t="shared" si="7"/>
        <v>0</v>
      </c>
      <c r="I161" s="3" t="str">
        <f>IF(COUNTIF('Data SCM'!$I$2:$I$698,$J161)=0,"Hanya di SO",IF(COUNTIF('Data SO'!$H$2:$H$1085,$J161)=0,"Hanya di SCM",IF(AND(ABS(E161)&lt;0.01,ABS(H161)&lt;1),"Sama",IF(ABS(E161)&lt;0.01,"Selisih nominal",IF(ABS(H161)&lt;1,"Selisih qty","Selisih qty &amp; nominal")))))</f>
        <v>Sama</v>
      </c>
      <c r="J161" t="s">
        <v>185</v>
      </c>
      <c r="K161" t="str">
        <f>IFERROR(INDEX('Data SCM'!$D$2:$D$698,MATCH($J161,'Data SCM'!$I$2:$I$698,0)),"")</f>
        <v>KG</v>
      </c>
      <c r="L161">
        <f t="shared" si="8"/>
        <v>1</v>
      </c>
    </row>
    <row r="162" spans="1:12" x14ac:dyDescent="0.25">
      <c r="A162" s="3" t="str">
        <f>IFERROR(INDEX('Data SO'!$C$2:$C$1085,MATCH($J162,'Data SO'!$H$2:$H$1085,0)),INDEX('Data SCM'!$B$2:$B$698,MATCH($J162,'Data SCM'!$I$2:$I$698,0)))</f>
        <v>Abon Sapi Piala @4x1kg</v>
      </c>
      <c r="B162" s="3" t="str">
        <f>IFERROR(INDEX('Data SO'!$D$2:$D$1085,MATCH($J162,'Data SO'!$H$2:$H$1085,0)),K162)</f>
        <v>kg</v>
      </c>
      <c r="C162" s="9">
        <f>SUMIF('Data SO'!$H$2:$H$1085,$J162,'Data SO'!$F$2:$F$1085)</f>
        <v>44</v>
      </c>
      <c r="D162" s="9">
        <f>SUMIF('Data SCM'!$I$2:$I$698,$J162,'Data SCM'!$E$2:$E$698)*L162</f>
        <v>44</v>
      </c>
      <c r="E162" s="9">
        <f t="shared" si="6"/>
        <v>0</v>
      </c>
      <c r="F162" s="4">
        <f>SUMIF('Data SO'!$H$2:$H$1085,$J162,'Data SO'!$G$2:$G$1085)</f>
        <v>4713060</v>
      </c>
      <c r="G162" s="4">
        <f>SUMIF('Data SCM'!$I$2:$I$698,$J162,'Data SCM'!$H$2:$H$698)</f>
        <v>4713060</v>
      </c>
      <c r="H162" s="4">
        <f t="shared" si="7"/>
        <v>0</v>
      </c>
      <c r="I162" s="3" t="str">
        <f>IF(COUNTIF('Data SCM'!$I$2:$I$698,$J162)=0,"Hanya di SO",IF(COUNTIF('Data SO'!$H$2:$H$1085,$J162)=0,"Hanya di SCM",IF(AND(ABS(E162)&lt;0.01,ABS(H162)&lt;1),"Sama",IF(ABS(E162)&lt;0.01,"Selisih nominal",IF(ABS(H162)&lt;1,"Selisih qty","Selisih qty &amp; nominal")))))</f>
        <v>Sama</v>
      </c>
      <c r="J162" t="s">
        <v>186</v>
      </c>
      <c r="K162" t="str">
        <f>IFERROR(INDEX('Data SCM'!$D$2:$D$698,MATCH($J162,'Data SCM'!$I$2:$I$698,0)),"")</f>
        <v>KG</v>
      </c>
      <c r="L162">
        <f t="shared" si="8"/>
        <v>1</v>
      </c>
    </row>
    <row r="163" spans="1:12" x14ac:dyDescent="0.25">
      <c r="A163" s="3" t="str">
        <f>IFERROR(INDEX('Data SO'!$C$2:$C$1085,MATCH($J163,'Data SO'!$H$2:$H$1085,0)),INDEX('Data SCM'!$B$2:$B$698,MATCH($J163,'Data SCM'!$I$2:$I$698,0)))</f>
        <v>Alas Bulat Emas Kecil</v>
      </c>
      <c r="B163" s="3" t="str">
        <f>IFERROR(INDEX('Data SO'!$D$2:$D$1085,MATCH($J163,'Data SO'!$H$2:$H$1085,0)),K163)</f>
        <v>pcs</v>
      </c>
      <c r="C163" s="9">
        <f>SUMIF('Data SO'!$H$2:$H$1085,$J163,'Data SO'!$F$2:$F$1085)</f>
        <v>600</v>
      </c>
      <c r="D163" s="9">
        <f>SUMIF('Data SCM'!$I$2:$I$698,$J163,'Data SCM'!$E$2:$E$698)*L163</f>
        <v>600</v>
      </c>
      <c r="E163" s="9">
        <f t="shared" si="6"/>
        <v>0</v>
      </c>
      <c r="F163" s="4">
        <f>SUMIF('Data SO'!$H$2:$H$1085,$J163,'Data SO'!$G$2:$G$1085)</f>
        <v>144000</v>
      </c>
      <c r="G163" s="4">
        <f>SUMIF('Data SCM'!$I$2:$I$698,$J163,'Data SCM'!$H$2:$H$698)</f>
        <v>144000</v>
      </c>
      <c r="H163" s="4">
        <f t="shared" si="7"/>
        <v>0</v>
      </c>
      <c r="I163" s="3" t="str">
        <f>IF(COUNTIF('Data SCM'!$I$2:$I$698,$J163)=0,"Hanya di SO",IF(COUNTIF('Data SO'!$H$2:$H$1085,$J163)=0,"Hanya di SCM",IF(AND(ABS(E163)&lt;0.01,ABS(H163)&lt;1),"Sama",IF(ABS(E163)&lt;0.01,"Selisih nominal",IF(ABS(H163)&lt;1,"Selisih qty","Selisih qty &amp; nominal")))))</f>
        <v>Sama</v>
      </c>
      <c r="J163" t="s">
        <v>187</v>
      </c>
      <c r="K163" t="str">
        <f>IFERROR(INDEX('Data SCM'!$D$2:$D$698,MATCH($J163,'Data SCM'!$I$2:$I$698,0)),"")</f>
        <v>PCS</v>
      </c>
      <c r="L163">
        <f t="shared" si="8"/>
        <v>1</v>
      </c>
    </row>
    <row r="164" spans="1:12" x14ac:dyDescent="0.25">
      <c r="A164" s="3" t="str">
        <f>IFERROR(INDEX('Data SO'!$C$2:$C$1085,MATCH($J164,'Data SO'!$H$2:$H$1085,0)),INDEX('Data SCM'!$B$2:$B$698,MATCH($J164,'Data SCM'!$I$2:$I$698,0)))</f>
        <v>Alas Segitiga Emas Kecil</v>
      </c>
      <c r="B164" s="3" t="str">
        <f>IFERROR(INDEX('Data SO'!$D$2:$D$1085,MATCH($J164,'Data SO'!$H$2:$H$1085,0)),K164)</f>
        <v>pcs</v>
      </c>
      <c r="C164" s="9">
        <f>SUMIF('Data SO'!$H$2:$H$1085,$J164,'Data SO'!$F$2:$F$1085)</f>
        <v>700</v>
      </c>
      <c r="D164" s="9">
        <f>SUMIF('Data SCM'!$I$2:$I$698,$J164,'Data SCM'!$E$2:$E$698)*L164</f>
        <v>700</v>
      </c>
      <c r="E164" s="9">
        <f t="shared" si="6"/>
        <v>0</v>
      </c>
      <c r="F164" s="4">
        <f>SUMIF('Data SO'!$H$2:$H$1085,$J164,'Data SO'!$G$2:$G$1085)</f>
        <v>311500</v>
      </c>
      <c r="G164" s="4">
        <f>SUMIF('Data SCM'!$I$2:$I$698,$J164,'Data SCM'!$H$2:$H$698)</f>
        <v>311500</v>
      </c>
      <c r="H164" s="4">
        <f t="shared" si="7"/>
        <v>0</v>
      </c>
      <c r="I164" s="3" t="str">
        <f>IF(COUNTIF('Data SCM'!$I$2:$I$698,$J164)=0,"Hanya di SO",IF(COUNTIF('Data SO'!$H$2:$H$1085,$J164)=0,"Hanya di SCM",IF(AND(ABS(E164)&lt;0.01,ABS(H164)&lt;1),"Sama",IF(ABS(E164)&lt;0.01,"Selisih nominal",IF(ABS(H164)&lt;1,"Selisih qty","Selisih qty &amp; nominal")))))</f>
        <v>Sama</v>
      </c>
      <c r="J164" t="s">
        <v>188</v>
      </c>
      <c r="K164" t="str">
        <f>IFERROR(INDEX('Data SCM'!$D$2:$D$698,MATCH($J164,'Data SCM'!$I$2:$I$698,0)),"")</f>
        <v>PCS</v>
      </c>
      <c r="L164">
        <f t="shared" si="8"/>
        <v>1</v>
      </c>
    </row>
    <row r="165" spans="1:12" x14ac:dyDescent="0.25">
      <c r="A165" s="3" t="str">
        <f>IFERROR(INDEX('Data SO'!$C$2:$C$1085,MATCH($J165,'Data SO'!$H$2:$H$1085,0)),INDEX('Data SCM'!$B$2:$B$698,MATCH($J165,'Data SCM'!$I$2:$I$698,0)))</f>
        <v>Anchor Cream Cheese @12X1Kg</v>
      </c>
      <c r="B165" s="3" t="str">
        <f>IFERROR(INDEX('Data SO'!$D$2:$D$1085,MATCH($J165,'Data SO'!$H$2:$H$1085,0)),K165)</f>
        <v>kg</v>
      </c>
      <c r="C165" s="9">
        <f>SUMIF('Data SO'!$H$2:$H$1085,$J165,'Data SO'!$F$2:$F$1085)</f>
        <v>1</v>
      </c>
      <c r="D165" s="9">
        <f>SUMIF('Data SCM'!$I$2:$I$698,$J165,'Data SCM'!$E$2:$E$698)*L165</f>
        <v>1</v>
      </c>
      <c r="E165" s="9">
        <f t="shared" si="6"/>
        <v>0</v>
      </c>
      <c r="F165" s="4">
        <f>SUMIF('Data SO'!$H$2:$H$1085,$J165,'Data SO'!$G$2:$G$1085)</f>
        <v>180000</v>
      </c>
      <c r="G165" s="4">
        <f>SUMIF('Data SCM'!$I$2:$I$698,$J165,'Data SCM'!$H$2:$H$698)</f>
        <v>180000</v>
      </c>
      <c r="H165" s="4">
        <f t="shared" si="7"/>
        <v>0</v>
      </c>
      <c r="I165" s="3" t="str">
        <f>IF(COUNTIF('Data SCM'!$I$2:$I$698,$J165)=0,"Hanya di SO",IF(COUNTIF('Data SO'!$H$2:$H$1085,$J165)=0,"Hanya di SCM",IF(AND(ABS(E165)&lt;0.01,ABS(H165)&lt;1),"Sama",IF(ABS(E165)&lt;0.01,"Selisih nominal",IF(ABS(H165)&lt;1,"Selisih qty","Selisih qty &amp; nominal")))))</f>
        <v>Sama</v>
      </c>
      <c r="J165" t="s">
        <v>189</v>
      </c>
      <c r="K165" t="str">
        <f>IFERROR(INDEX('Data SCM'!$D$2:$D$698,MATCH($J165,'Data SCM'!$I$2:$I$698,0)),"")</f>
        <v>KG</v>
      </c>
      <c r="L165">
        <f t="shared" si="8"/>
        <v>1</v>
      </c>
    </row>
    <row r="166" spans="1:12" x14ac:dyDescent="0.25">
      <c r="A166" s="3" t="str">
        <f>IFERROR(INDEX('Data SO'!$C$2:$C$1085,MATCH($J166,'Data SO'!$H$2:$H$1085,0)),INDEX('Data SCM'!$B$2:$B$698,MATCH($J166,'Data SCM'!$I$2:$I$698,0)))</f>
        <v>BAKERIN PLUS 20X500 GR</v>
      </c>
      <c r="B166" s="3" t="str">
        <f>IFERROR(INDEX('Data SO'!$D$2:$D$1085,MATCH($J166,'Data SO'!$H$2:$H$1085,0)),K166)</f>
        <v>Kg</v>
      </c>
      <c r="C166" s="9">
        <f>SUMIF('Data SO'!$H$2:$H$1085,$J166,'Data SO'!$F$2:$F$1085)</f>
        <v>2</v>
      </c>
      <c r="D166" s="9">
        <f>SUMIF('Data SCM'!$I$2:$I$698,$J166,'Data SCM'!$E$2:$E$698)*L166</f>
        <v>2</v>
      </c>
      <c r="E166" s="9">
        <f t="shared" si="6"/>
        <v>0</v>
      </c>
      <c r="F166" s="4">
        <f>SUMIF('Data SO'!$H$2:$H$1085,$J166,'Data SO'!$G$2:$G$1085)</f>
        <v>191400</v>
      </c>
      <c r="G166" s="4">
        <f>SUMIF('Data SCM'!$I$2:$I$698,$J166,'Data SCM'!$H$2:$H$698)</f>
        <v>191400</v>
      </c>
      <c r="H166" s="4">
        <f t="shared" si="7"/>
        <v>0</v>
      </c>
      <c r="I166" s="3" t="str">
        <f>IF(COUNTIF('Data SCM'!$I$2:$I$698,$J166)=0,"Hanya di SO",IF(COUNTIF('Data SO'!$H$2:$H$1085,$J166)=0,"Hanya di SCM",IF(AND(ABS(E166)&lt;0.01,ABS(H166)&lt;1),"Sama",IF(ABS(E166)&lt;0.01,"Selisih nominal",IF(ABS(H166)&lt;1,"Selisih qty","Selisih qty &amp; nominal")))))</f>
        <v>Sama</v>
      </c>
      <c r="J166" t="s">
        <v>190</v>
      </c>
      <c r="K166" t="str">
        <f>IFERROR(INDEX('Data SCM'!$D$2:$D$698,MATCH($J166,'Data SCM'!$I$2:$I$698,0)),"")</f>
        <v>KG</v>
      </c>
      <c r="L166">
        <f t="shared" si="8"/>
        <v>1</v>
      </c>
    </row>
    <row r="167" spans="1:12" x14ac:dyDescent="0.25">
      <c r="A167" s="3" t="str">
        <f>IFERROR(INDEX('Data SO'!$C$2:$C$1085,MATCH($J167,'Data SO'!$H$2:$H$1085,0)),INDEX('Data SCM'!$B$2:$B$698,MATCH($J167,'Data SCM'!$I$2:$I$698,0)))</f>
        <v>BAWANG MERAH @ 1 KG</v>
      </c>
      <c r="B167" s="3" t="str">
        <f>IFERROR(INDEX('Data SO'!$D$2:$D$1085,MATCH($J167,'Data SO'!$H$2:$H$1085,0)),K167)</f>
        <v>gram</v>
      </c>
      <c r="C167" s="9">
        <f>SUMIF('Data SO'!$H$2:$H$1085,$J167,'Data SO'!$F$2:$F$1085)</f>
        <v>4200</v>
      </c>
      <c r="D167" s="9">
        <f>SUMIF('Data SCM'!$I$2:$I$698,$J167,'Data SCM'!$E$2:$E$698)*L167</f>
        <v>4200</v>
      </c>
      <c r="E167" s="9">
        <f t="shared" si="6"/>
        <v>0</v>
      </c>
      <c r="F167" s="4">
        <f>SUMIF('Data SO'!$H$2:$H$1085,$J167,'Data SO'!$G$2:$G$1085)</f>
        <v>189000</v>
      </c>
      <c r="G167" s="4">
        <f>SUMIF('Data SCM'!$I$2:$I$698,$J167,'Data SCM'!$H$2:$H$698)</f>
        <v>189000</v>
      </c>
      <c r="H167" s="4">
        <f t="shared" si="7"/>
        <v>0</v>
      </c>
      <c r="I167" s="3" t="str">
        <f>IF(COUNTIF('Data SCM'!$I$2:$I$698,$J167)=0,"Hanya di SO",IF(COUNTIF('Data SO'!$H$2:$H$1085,$J167)=0,"Hanya di SCM",IF(AND(ABS(E167)&lt;0.01,ABS(H167)&lt;1),"Sama",IF(ABS(E167)&lt;0.01,"Selisih nominal",IF(ABS(H167)&lt;1,"Selisih qty","Selisih qty &amp; nominal")))))</f>
        <v>Sama</v>
      </c>
      <c r="J167" t="s">
        <v>191</v>
      </c>
      <c r="K167" t="str">
        <f>IFERROR(INDEX('Data SCM'!$D$2:$D$698,MATCH($J167,'Data SCM'!$I$2:$I$698,0)),"")</f>
        <v>GR</v>
      </c>
      <c r="L167">
        <f t="shared" si="8"/>
        <v>1</v>
      </c>
    </row>
    <row r="168" spans="1:12" x14ac:dyDescent="0.25">
      <c r="A168" s="3" t="str">
        <f>IFERROR(INDEX('Data SO'!$C$2:$C$1085,MATCH($J168,'Data SO'!$H$2:$H$1085,0)),INDEX('Data SCM'!$B$2:$B$698,MATCH($J168,'Data SCM'!$I$2:$I$698,0)))</f>
        <v>BAWANG PUTIH @ 1 KG</v>
      </c>
      <c r="B168" s="3" t="str">
        <f>IFERROR(INDEX('Data SO'!$D$2:$D$1085,MATCH($J168,'Data SO'!$H$2:$H$1085,0)),K168)</f>
        <v>gram</v>
      </c>
      <c r="C168" s="9">
        <f>SUMIF('Data SO'!$H$2:$H$1085,$J168,'Data SO'!$F$2:$F$1085)</f>
        <v>4300</v>
      </c>
      <c r="D168" s="9">
        <f>SUMIF('Data SCM'!$I$2:$I$698,$J168,'Data SCM'!$E$2:$E$698)*L168</f>
        <v>4300</v>
      </c>
      <c r="E168" s="9">
        <f t="shared" si="6"/>
        <v>0</v>
      </c>
      <c r="F168" s="4">
        <f>SUMIF('Data SO'!$H$2:$H$1085,$J168,'Data SO'!$G$2:$G$1085)</f>
        <v>172000</v>
      </c>
      <c r="G168" s="4">
        <f>SUMIF('Data SCM'!$I$2:$I$698,$J168,'Data SCM'!$H$2:$H$698)</f>
        <v>172000</v>
      </c>
      <c r="H168" s="4">
        <f t="shared" si="7"/>
        <v>0</v>
      </c>
      <c r="I168" s="3" t="str">
        <f>IF(COUNTIF('Data SCM'!$I$2:$I$698,$J168)=0,"Hanya di SO",IF(COUNTIF('Data SO'!$H$2:$H$1085,$J168)=0,"Hanya di SCM",IF(AND(ABS(E168)&lt;0.01,ABS(H168)&lt;1),"Sama",IF(ABS(E168)&lt;0.01,"Selisih nominal",IF(ABS(H168)&lt;1,"Selisih qty","Selisih qty &amp; nominal")))))</f>
        <v>Sama</v>
      </c>
      <c r="J168" t="s">
        <v>192</v>
      </c>
      <c r="K168" t="str">
        <f>IFERROR(INDEX('Data SCM'!$D$2:$D$698,MATCH($J168,'Data SCM'!$I$2:$I$698,0)),"")</f>
        <v>GR</v>
      </c>
      <c r="L168">
        <f t="shared" si="8"/>
        <v>1</v>
      </c>
    </row>
    <row r="169" spans="1:12" x14ac:dyDescent="0.25">
      <c r="A169" s="3" t="str">
        <f>IFERROR(INDEX('Data SO'!$C$2:$C$1085,MATCH($J169,'Data SO'!$H$2:$H$1085,0)),INDEX('Data SCM'!$B$2:$B$698,MATCH($J169,'Data SCM'!$I$2:$I$698,0)))</f>
        <v>BIHUN</v>
      </c>
      <c r="B169" s="3" t="str">
        <f>IFERROR(INDEX('Data SO'!$D$2:$D$1085,MATCH($J169,'Data SO'!$H$2:$H$1085,0)),K169)</f>
        <v>gram</v>
      </c>
      <c r="C169" s="9">
        <f>SUMIF('Data SO'!$H$2:$H$1085,$J169,'Data SO'!$F$2:$F$1085)</f>
        <v>4160</v>
      </c>
      <c r="D169" s="9">
        <f>SUMIF('Data SCM'!$I$2:$I$698,$J169,'Data SCM'!$E$2:$E$698)*L169</f>
        <v>4160</v>
      </c>
      <c r="E169" s="9">
        <f t="shared" si="6"/>
        <v>0</v>
      </c>
      <c r="F169" s="4">
        <f>SUMIF('Data SO'!$H$2:$H$1085,$J169,'Data SO'!$G$2:$G$1085)</f>
        <v>110500</v>
      </c>
      <c r="G169" s="4">
        <f>SUMIF('Data SCM'!$I$2:$I$698,$J169,'Data SCM'!$H$2:$H$698)</f>
        <v>110500</v>
      </c>
      <c r="H169" s="4">
        <f t="shared" si="7"/>
        <v>0</v>
      </c>
      <c r="I169" s="3" t="str">
        <f>IF(COUNTIF('Data SCM'!$I$2:$I$698,$J169)=0,"Hanya di SO",IF(COUNTIF('Data SO'!$H$2:$H$1085,$J169)=0,"Hanya di SCM",IF(AND(ABS(E169)&lt;0.01,ABS(H169)&lt;1),"Sama",IF(ABS(E169)&lt;0.01,"Selisih nominal",IF(ABS(H169)&lt;1,"Selisih qty","Selisih qty &amp; nominal")))))</f>
        <v>Sama</v>
      </c>
      <c r="J169" t="s">
        <v>193</v>
      </c>
      <c r="K169" t="str">
        <f>IFERROR(INDEX('Data SCM'!$D$2:$D$698,MATCH($J169,'Data SCM'!$I$2:$I$698,0)),"")</f>
        <v>GR</v>
      </c>
      <c r="L169">
        <f t="shared" si="8"/>
        <v>1</v>
      </c>
    </row>
    <row r="170" spans="1:12" x14ac:dyDescent="0.25">
      <c r="A170" s="3" t="str">
        <f>IFERROR(INDEX('Data SO'!$C$2:$C$1085,MATCH($J170,'Data SO'!$H$2:$H$1085,0)),INDEX('Data SCM'!$B$2:$B$698,MATCH($J170,'Data SCM'!$I$2:$I$698,0)))</f>
        <v>BISKUIT MARIE</v>
      </c>
      <c r="B170" s="3" t="str">
        <f>IFERROR(INDEX('Data SO'!$D$2:$D$1085,MATCH($J170,'Data SO'!$H$2:$H$1085,0)),K170)</f>
        <v>Pack</v>
      </c>
      <c r="C170" s="9">
        <f>SUMIF('Data SO'!$H$2:$H$1085,$J170,'Data SO'!$F$2:$F$1085)</f>
        <v>20</v>
      </c>
      <c r="D170" s="9">
        <f>SUMIF('Data SCM'!$I$2:$I$698,$J170,'Data SCM'!$E$2:$E$698)*L170</f>
        <v>20</v>
      </c>
      <c r="E170" s="9">
        <f t="shared" si="6"/>
        <v>0</v>
      </c>
      <c r="F170" s="4">
        <f>SUMIF('Data SO'!$H$2:$H$1085,$J170,'Data SO'!$G$2:$G$1085)</f>
        <v>147200</v>
      </c>
      <c r="G170" s="4">
        <f>SUMIF('Data SCM'!$I$2:$I$698,$J170,'Data SCM'!$H$2:$H$698)</f>
        <v>147200</v>
      </c>
      <c r="H170" s="4">
        <f t="shared" si="7"/>
        <v>0</v>
      </c>
      <c r="I170" s="3" t="str">
        <f>IF(COUNTIF('Data SCM'!$I$2:$I$698,$J170)=0,"Hanya di SO",IF(COUNTIF('Data SO'!$H$2:$H$1085,$J170)=0,"Hanya di SCM",IF(AND(ABS(E170)&lt;0.01,ABS(H170)&lt;1),"Sama",IF(ABS(E170)&lt;0.01,"Selisih nominal",IF(ABS(H170)&lt;1,"Selisih qty","Selisih qty &amp; nominal")))))</f>
        <v>Sama</v>
      </c>
      <c r="J170" t="s">
        <v>194</v>
      </c>
      <c r="K170" t="str">
        <f>IFERROR(INDEX('Data SCM'!$D$2:$D$698,MATCH($J170,'Data SCM'!$I$2:$I$698,0)),"")</f>
        <v>PACK</v>
      </c>
      <c r="L170">
        <f t="shared" si="8"/>
        <v>1</v>
      </c>
    </row>
    <row r="171" spans="1:12" x14ac:dyDescent="0.25">
      <c r="A171" s="3" t="str">
        <f>IFERROR(INDEX('Data SO'!$C$2:$C$1085,MATCH($J171,'Data SO'!$H$2:$H$1085,0)),INDEX('Data SCM'!$B$2:$B$698,MATCH($J171,'Data SCM'!$I$2:$I$698,0)))</f>
        <v>BISKUIT RODEO</v>
      </c>
      <c r="B171" s="3" t="str">
        <f>IFERROR(INDEX('Data SO'!$D$2:$D$1085,MATCH($J171,'Data SO'!$H$2:$H$1085,0)),K171)</f>
        <v>Kg</v>
      </c>
      <c r="C171" s="9">
        <f>SUMIF('Data SO'!$H$2:$H$1085,$J171,'Data SO'!$F$2:$F$1085)</f>
        <v>35</v>
      </c>
      <c r="D171" s="9">
        <f>SUMIF('Data SCM'!$I$2:$I$698,$J171,'Data SCM'!$E$2:$E$698)*L171</f>
        <v>35</v>
      </c>
      <c r="E171" s="9">
        <f t="shared" si="6"/>
        <v>0</v>
      </c>
      <c r="F171" s="4">
        <f>SUMIF('Data SO'!$H$2:$H$1085,$J171,'Data SO'!$G$2:$G$1085)</f>
        <v>1631700</v>
      </c>
      <c r="G171" s="4">
        <f>SUMIF('Data SCM'!$I$2:$I$698,$J171,'Data SCM'!$H$2:$H$698)</f>
        <v>1631700</v>
      </c>
      <c r="H171" s="4">
        <f t="shared" si="7"/>
        <v>0</v>
      </c>
      <c r="I171" s="3" t="str">
        <f>IF(COUNTIF('Data SCM'!$I$2:$I$698,$J171)=0,"Hanya di SO",IF(COUNTIF('Data SO'!$H$2:$H$1085,$J171)=0,"Hanya di SCM",IF(AND(ABS(E171)&lt;0.01,ABS(H171)&lt;1),"Sama",IF(ABS(E171)&lt;0.01,"Selisih nominal",IF(ABS(H171)&lt;1,"Selisih qty","Selisih qty &amp; nominal")))))</f>
        <v>Sama</v>
      </c>
      <c r="J171" t="s">
        <v>195</v>
      </c>
      <c r="K171" t="str">
        <f>IFERROR(INDEX('Data SCM'!$D$2:$D$698,MATCH($J171,'Data SCM'!$I$2:$I$698,0)),"")</f>
        <v>KG</v>
      </c>
      <c r="L171">
        <f t="shared" si="8"/>
        <v>1</v>
      </c>
    </row>
    <row r="172" spans="1:12" x14ac:dyDescent="0.25">
      <c r="A172" s="3" t="str">
        <f>IFERROR(INDEX('Data SO'!$C$2:$C$1085,MATCH($J172,'Data SO'!$H$2:$H$1085,0)),INDEX('Data SCM'!$B$2:$B$698,MATCH($J172,'Data SCM'!$I$2:$I$698,0)))</f>
        <v>BUMBU KARE INDOFOOD</v>
      </c>
      <c r="B172" s="3" t="str">
        <f>IFERROR(INDEX('Data SO'!$D$2:$D$1085,MATCH($J172,'Data SO'!$H$2:$H$1085,0)),K172)</f>
        <v>Gr</v>
      </c>
      <c r="C172" s="9">
        <f>SUMIF('Data SO'!$H$2:$H$1085,$J172,'Data SO'!$F$2:$F$1085)</f>
        <v>1350</v>
      </c>
      <c r="D172" s="9">
        <f>SUMIF('Data SCM'!$I$2:$I$698,$J172,'Data SCM'!$E$2:$E$698)*L172</f>
        <v>1350</v>
      </c>
      <c r="E172" s="9">
        <f t="shared" si="6"/>
        <v>0</v>
      </c>
      <c r="F172" s="4">
        <f>SUMIF('Data SO'!$H$2:$H$1085,$J172,'Data SO'!$G$2:$G$1085)</f>
        <v>270000</v>
      </c>
      <c r="G172" s="4">
        <f>SUMIF('Data SCM'!$I$2:$I$698,$J172,'Data SCM'!$H$2:$H$698)</f>
        <v>270000</v>
      </c>
      <c r="H172" s="4">
        <f t="shared" si="7"/>
        <v>0</v>
      </c>
      <c r="I172" s="3" t="str">
        <f>IF(COUNTIF('Data SCM'!$I$2:$I$698,$J172)=0,"Hanya di SO",IF(COUNTIF('Data SO'!$H$2:$H$1085,$J172)=0,"Hanya di SCM",IF(AND(ABS(E172)&lt;0.01,ABS(H172)&lt;1),"Sama",IF(ABS(E172)&lt;0.01,"Selisih nominal",IF(ABS(H172)&lt;1,"Selisih qty","Selisih qty &amp; nominal")))))</f>
        <v>Sama</v>
      </c>
      <c r="J172" t="s">
        <v>196</v>
      </c>
      <c r="K172" t="str">
        <f>IFERROR(INDEX('Data SCM'!$D$2:$D$698,MATCH($J172,'Data SCM'!$I$2:$I$698,0)),"")</f>
        <v>GR</v>
      </c>
      <c r="L172">
        <f t="shared" si="8"/>
        <v>1</v>
      </c>
    </row>
    <row r="173" spans="1:12" x14ac:dyDescent="0.25">
      <c r="A173" s="3" t="str">
        <f>IFERROR(INDEX('Data SO'!$C$2:$C$1085,MATCH($J173,'Data SO'!$H$2:$H$1085,0)),INDEX('Data SCM'!$B$2:$B$698,MATCH($J173,'Data SCM'!$I$2:$I$698,0)))</f>
        <v>Bathroom Rool Smart Due @1*100 Roll</v>
      </c>
      <c r="B173" s="3" t="str">
        <f>IFERROR(INDEX('Data SO'!$D$2:$D$1085,MATCH($J173,'Data SO'!$H$2:$H$1085,0)),K173)</f>
        <v>Pcs</v>
      </c>
      <c r="C173" s="9">
        <f>SUMIF('Data SO'!$H$2:$H$1085,$J173,'Data SO'!$F$2:$F$1085)</f>
        <v>121</v>
      </c>
      <c r="D173" s="9">
        <f>SUMIF('Data SCM'!$I$2:$I$698,$J173,'Data SCM'!$E$2:$E$698)*L173</f>
        <v>121</v>
      </c>
      <c r="E173" s="9">
        <f t="shared" si="6"/>
        <v>0</v>
      </c>
      <c r="F173" s="4">
        <f>SUMIF('Data SO'!$H$2:$H$1085,$J173,'Data SO'!$G$2:$G$1085)</f>
        <v>703312.5</v>
      </c>
      <c r="G173" s="4">
        <f>SUMIF('Data SCM'!$I$2:$I$698,$J173,'Data SCM'!$H$2:$H$698)</f>
        <v>703312.5</v>
      </c>
      <c r="H173" s="4">
        <f t="shared" si="7"/>
        <v>0</v>
      </c>
      <c r="I173" s="3" t="str">
        <f>IF(COUNTIF('Data SCM'!$I$2:$I$698,$J173)=0,"Hanya di SO",IF(COUNTIF('Data SO'!$H$2:$H$1085,$J173)=0,"Hanya di SCM",IF(AND(ABS(E173)&lt;0.01,ABS(H173)&lt;1),"Sama",IF(ABS(E173)&lt;0.01,"Selisih nominal",IF(ABS(H173)&lt;1,"Selisih qty","Selisih qty &amp; nominal")))))</f>
        <v>Sama</v>
      </c>
      <c r="J173" t="s">
        <v>197</v>
      </c>
      <c r="K173" t="str">
        <f>IFERROR(INDEX('Data SCM'!$D$2:$D$698,MATCH($J173,'Data SCM'!$I$2:$I$698,0)),"")</f>
        <v>PCS</v>
      </c>
      <c r="L173">
        <f t="shared" si="8"/>
        <v>1</v>
      </c>
    </row>
    <row r="174" spans="1:12" x14ac:dyDescent="0.25">
      <c r="A174" s="3" t="str">
        <f>IFERROR(INDEX('Data SO'!$C$2:$C$1085,MATCH($J174,'Data SO'!$H$2:$H$1085,0)),INDEX('Data SCM'!$B$2:$B$698,MATCH($J174,'Data SCM'!$I$2:$I$698,0)))</f>
        <v>Bawang Bombay</v>
      </c>
      <c r="B174" s="3" t="str">
        <f>IFERROR(INDEX('Data SO'!$D$2:$D$1085,MATCH($J174,'Data SO'!$H$2:$H$1085,0)),K174)</f>
        <v>kg</v>
      </c>
      <c r="C174" s="9">
        <f>SUMIF('Data SO'!$H$2:$H$1085,$J174,'Data SO'!$F$2:$F$1085)</f>
        <v>1.85</v>
      </c>
      <c r="D174" s="9">
        <f>SUMIF('Data SCM'!$I$2:$I$698,$J174,'Data SCM'!$E$2:$E$698)*L174</f>
        <v>1.85</v>
      </c>
      <c r="E174" s="9">
        <f t="shared" si="6"/>
        <v>0</v>
      </c>
      <c r="F174" s="4">
        <f>SUMIF('Data SO'!$H$2:$H$1085,$J174,'Data SO'!$G$2:$G$1085)</f>
        <v>74000</v>
      </c>
      <c r="G174" s="4">
        <f>SUMIF('Data SCM'!$I$2:$I$698,$J174,'Data SCM'!$H$2:$H$698)</f>
        <v>74000</v>
      </c>
      <c r="H174" s="4">
        <f t="shared" si="7"/>
        <v>0</v>
      </c>
      <c r="I174" s="3" t="str">
        <f>IF(COUNTIF('Data SCM'!$I$2:$I$698,$J174)=0,"Hanya di SO",IF(COUNTIF('Data SO'!$H$2:$H$1085,$J174)=0,"Hanya di SCM",IF(AND(ABS(E174)&lt;0.01,ABS(H174)&lt;1),"Sama",IF(ABS(E174)&lt;0.01,"Selisih nominal",IF(ABS(H174)&lt;1,"Selisih qty","Selisih qty &amp; nominal")))))</f>
        <v>Sama</v>
      </c>
      <c r="J174" t="s">
        <v>198</v>
      </c>
      <c r="K174" t="str">
        <f>IFERROR(INDEX('Data SCM'!$D$2:$D$698,MATCH($J174,'Data SCM'!$I$2:$I$698,0)),"")</f>
        <v>KG</v>
      </c>
      <c r="L174">
        <f t="shared" si="8"/>
        <v>1</v>
      </c>
    </row>
    <row r="175" spans="1:12" x14ac:dyDescent="0.25">
      <c r="A175" s="3" t="str">
        <f>IFERROR(INDEX('Data SO'!$C$2:$C$1085,MATCH($J175,'Data SO'!$H$2:$H$1085,0)),INDEX('Data SCM'!$B$2:$B$698,MATCH($J175,'Data SCM'!$I$2:$I$698,0)))</f>
        <v>Bawang Daun</v>
      </c>
      <c r="B175" s="3" t="str">
        <f>IFERROR(INDEX('Data SO'!$D$2:$D$1085,MATCH($J175,'Data SO'!$H$2:$H$1085,0)),K175)</f>
        <v>kg</v>
      </c>
      <c r="C175" s="9">
        <f>SUMIF('Data SO'!$H$2:$H$1085,$J175,'Data SO'!$F$2:$F$1085)</f>
        <v>1.9</v>
      </c>
      <c r="D175" s="9">
        <f>SUMIF('Data SCM'!$I$2:$I$698,$J175,'Data SCM'!$E$2:$E$698)*L175</f>
        <v>1.9</v>
      </c>
      <c r="E175" s="9">
        <f t="shared" si="6"/>
        <v>0</v>
      </c>
      <c r="F175" s="4">
        <f>SUMIF('Data SO'!$H$2:$H$1085,$J175,'Data SO'!$G$2:$G$1085)</f>
        <v>34200</v>
      </c>
      <c r="G175" s="4">
        <f>SUMIF('Data SCM'!$I$2:$I$698,$J175,'Data SCM'!$H$2:$H$698)</f>
        <v>34200</v>
      </c>
      <c r="H175" s="4">
        <f t="shared" si="7"/>
        <v>0</v>
      </c>
      <c r="I175" s="3" t="str">
        <f>IF(COUNTIF('Data SCM'!$I$2:$I$698,$J175)=0,"Hanya di SO",IF(COUNTIF('Data SO'!$H$2:$H$1085,$J175)=0,"Hanya di SCM",IF(AND(ABS(E175)&lt;0.01,ABS(H175)&lt;1),"Sama",IF(ABS(E175)&lt;0.01,"Selisih nominal",IF(ABS(H175)&lt;1,"Selisih qty","Selisih qty &amp; nominal")))))</f>
        <v>Sama</v>
      </c>
      <c r="J175" t="s">
        <v>199</v>
      </c>
      <c r="K175" t="str">
        <f>IFERROR(INDEX('Data SCM'!$D$2:$D$698,MATCH($J175,'Data SCM'!$I$2:$I$698,0)),"")</f>
        <v>KG</v>
      </c>
      <c r="L175">
        <f t="shared" si="8"/>
        <v>1</v>
      </c>
    </row>
    <row r="176" spans="1:12" x14ac:dyDescent="0.25">
      <c r="A176" s="3" t="str">
        <f>IFERROR(INDEX('Data SO'!$C$2:$C$1085,MATCH($J176,'Data SO'!$H$2:$H$1085,0)),INDEX('Data SCM'!$B$2:$B$698,MATCH($J176,'Data SCM'!$I$2:$I$698,0)))</f>
        <v>Black Coockie Crumb @5 Kg</v>
      </c>
      <c r="B176" s="3" t="str">
        <f>IFERROR(INDEX('Data SO'!$D$2:$D$1085,MATCH($J176,'Data SO'!$H$2:$H$1085,0)),K176)</f>
        <v>Kg</v>
      </c>
      <c r="C176" s="9">
        <f>SUMIF('Data SO'!$H$2:$H$1085,$J176,'Data SO'!$F$2:$F$1085)</f>
        <v>18</v>
      </c>
      <c r="D176" s="9">
        <f>SUMIF('Data SCM'!$I$2:$I$698,$J176,'Data SCM'!$E$2:$E$698)*L176</f>
        <v>18</v>
      </c>
      <c r="E176" s="9">
        <f t="shared" si="6"/>
        <v>0</v>
      </c>
      <c r="F176" s="4">
        <f>SUMIF('Data SO'!$H$2:$H$1085,$J176,'Data SO'!$G$2:$G$1085)</f>
        <v>1198800</v>
      </c>
      <c r="G176" s="4">
        <f>SUMIF('Data SCM'!$I$2:$I$698,$J176,'Data SCM'!$H$2:$H$698)</f>
        <v>1198800</v>
      </c>
      <c r="H176" s="4">
        <f t="shared" si="7"/>
        <v>0</v>
      </c>
      <c r="I176" s="3" t="str">
        <f>IF(COUNTIF('Data SCM'!$I$2:$I$698,$J176)=0,"Hanya di SO",IF(COUNTIF('Data SO'!$H$2:$H$1085,$J176)=0,"Hanya di SCM",IF(AND(ABS(E176)&lt;0.01,ABS(H176)&lt;1),"Sama",IF(ABS(E176)&lt;0.01,"Selisih nominal",IF(ABS(H176)&lt;1,"Selisih qty","Selisih qty &amp; nominal")))))</f>
        <v>Sama</v>
      </c>
      <c r="J176" t="s">
        <v>200</v>
      </c>
      <c r="K176" t="str">
        <f>IFERROR(INDEX('Data SCM'!$D$2:$D$698,MATCH($J176,'Data SCM'!$I$2:$I$698,0)),"")</f>
        <v>KG</v>
      </c>
      <c r="L176">
        <f t="shared" si="8"/>
        <v>1</v>
      </c>
    </row>
    <row r="177" spans="1:12" x14ac:dyDescent="0.25">
      <c r="A177" s="3" t="str">
        <f>IFERROR(INDEX('Data SO'!$C$2:$C$1085,MATCH($J177,'Data SO'!$H$2:$H$1085,0)),INDEX('Data SCM'!$B$2:$B$698,MATCH($J177,'Data SCM'!$I$2:$I$698,0)))</f>
        <v>Bun Falling - Pandan @1Kg</v>
      </c>
      <c r="B177" s="3" t="str">
        <f>IFERROR(INDEX('Data SO'!$D$2:$D$1085,MATCH($J177,'Data SO'!$H$2:$H$1085,0)),K177)</f>
        <v>pcs</v>
      </c>
      <c r="C177" s="9">
        <f>SUMIF('Data SO'!$H$2:$H$1085,$J177,'Data SO'!$F$2:$F$1085)</f>
        <v>74</v>
      </c>
      <c r="D177" s="9">
        <f>SUMIF('Data SCM'!$I$2:$I$698,$J177,'Data SCM'!$E$2:$E$698)*L177</f>
        <v>74</v>
      </c>
      <c r="E177" s="9">
        <f t="shared" si="6"/>
        <v>0</v>
      </c>
      <c r="F177" s="4">
        <f>SUMIF('Data SO'!$H$2:$H$1085,$J177,'Data SO'!$G$2:$G$1085)</f>
        <v>5002400</v>
      </c>
      <c r="G177" s="4">
        <f>SUMIF('Data SCM'!$I$2:$I$698,$J177,'Data SCM'!$H$2:$H$698)</f>
        <v>5002400</v>
      </c>
      <c r="H177" s="4">
        <f t="shared" si="7"/>
        <v>0</v>
      </c>
      <c r="I177" s="3" t="str">
        <f>IF(COUNTIF('Data SCM'!$I$2:$I$698,$J177)=0,"Hanya di SO",IF(COUNTIF('Data SO'!$H$2:$H$1085,$J177)=0,"Hanya di SCM",IF(AND(ABS(E177)&lt;0.01,ABS(H177)&lt;1),"Sama",IF(ABS(E177)&lt;0.01,"Selisih nominal",IF(ABS(H177)&lt;1,"Selisih qty","Selisih qty &amp; nominal")))))</f>
        <v>Sama</v>
      </c>
      <c r="J177" t="s">
        <v>201</v>
      </c>
      <c r="K177" t="str">
        <f>IFERROR(INDEX('Data SCM'!$D$2:$D$698,MATCH($J177,'Data SCM'!$I$2:$I$698,0)),"")</f>
        <v>PCS</v>
      </c>
      <c r="L177">
        <f t="shared" si="8"/>
        <v>1</v>
      </c>
    </row>
    <row r="178" spans="1:12" x14ac:dyDescent="0.25">
      <c r="A178" s="3" t="str">
        <f>IFERROR(INDEX('Data SO'!$C$2:$C$1085,MATCH($J178,'Data SO'!$H$2:$H$1085,0)),INDEX('Data SCM'!$B$2:$B$698,MATCH($J178,'Data SCM'!$I$2:$I$698,0)))</f>
        <v>Bun Falling - Red Bean @1Kg</v>
      </c>
      <c r="B178" s="3" t="str">
        <f>IFERROR(INDEX('Data SO'!$D$2:$D$1085,MATCH($J178,'Data SO'!$H$2:$H$1085,0)),K178)</f>
        <v>pcs</v>
      </c>
      <c r="C178" s="9">
        <f>SUMIF('Data SO'!$H$2:$H$1085,$J178,'Data SO'!$F$2:$F$1085)</f>
        <v>19</v>
      </c>
      <c r="D178" s="9">
        <f>SUMIF('Data SCM'!$I$2:$I$698,$J178,'Data SCM'!$E$2:$E$698)*L178</f>
        <v>19</v>
      </c>
      <c r="E178" s="9">
        <f t="shared" si="6"/>
        <v>0</v>
      </c>
      <c r="F178" s="4">
        <f>SUMIF('Data SO'!$H$2:$H$1085,$J178,'Data SO'!$G$2:$G$1085)</f>
        <v>937650</v>
      </c>
      <c r="G178" s="4">
        <f>SUMIF('Data SCM'!$I$2:$I$698,$J178,'Data SCM'!$H$2:$H$698)</f>
        <v>937650</v>
      </c>
      <c r="H178" s="4">
        <f t="shared" si="7"/>
        <v>0</v>
      </c>
      <c r="I178" s="3" t="str">
        <f>IF(COUNTIF('Data SCM'!$I$2:$I$698,$J178)=0,"Hanya di SO",IF(COUNTIF('Data SO'!$H$2:$H$1085,$J178)=0,"Hanya di SCM",IF(AND(ABS(E178)&lt;0.01,ABS(H178)&lt;1),"Sama",IF(ABS(E178)&lt;0.01,"Selisih nominal",IF(ABS(H178)&lt;1,"Selisih qty","Selisih qty &amp; nominal")))))</f>
        <v>Sama</v>
      </c>
      <c r="J178" t="s">
        <v>202</v>
      </c>
      <c r="K178" t="str">
        <f>IFERROR(INDEX('Data SCM'!$D$2:$D$698,MATCH($J178,'Data SCM'!$I$2:$I$698,0)),"")</f>
        <v>PCS</v>
      </c>
      <c r="L178">
        <f t="shared" si="8"/>
        <v>1</v>
      </c>
    </row>
    <row r="179" spans="1:12" x14ac:dyDescent="0.25">
      <c r="A179" s="3" t="str">
        <f>IFERROR(INDEX('Data SO'!$C$2:$C$1085,MATCH($J179,'Data SO'!$H$2:$H$1085,0)),INDEX('Data SCM'!$B$2:$B$698,MATCH($J179,'Data SCM'!$I$2:$I$698,0)))</f>
        <v>CAKE CASE</v>
      </c>
      <c r="B179" s="3" t="str">
        <f>IFERROR(INDEX('Data SO'!$D$2:$D$1085,MATCH($J179,'Data SO'!$H$2:$H$1085,0)),K179)</f>
        <v>PCS</v>
      </c>
      <c r="C179" s="9">
        <f>SUMIF('Data SO'!$H$2:$H$1085,$J179,'Data SO'!$F$2:$F$1085)</f>
        <v>9000</v>
      </c>
      <c r="D179" s="9">
        <f>SUMIF('Data SCM'!$I$2:$I$698,$J179,'Data SCM'!$E$2:$E$698)*L179</f>
        <v>9000</v>
      </c>
      <c r="E179" s="9">
        <f t="shared" si="6"/>
        <v>0</v>
      </c>
      <c r="F179" s="4">
        <f>SUMIF('Data SO'!$H$2:$H$1085,$J179,'Data SO'!$G$2:$G$1085)</f>
        <v>234000</v>
      </c>
      <c r="G179" s="4">
        <f>SUMIF('Data SCM'!$I$2:$I$698,$J179,'Data SCM'!$H$2:$H$698)</f>
        <v>234000</v>
      </c>
      <c r="H179" s="4">
        <f t="shared" si="7"/>
        <v>0</v>
      </c>
      <c r="I179" s="3" t="str">
        <f>IF(COUNTIF('Data SCM'!$I$2:$I$698,$J179)=0,"Hanya di SO",IF(COUNTIF('Data SO'!$H$2:$H$1085,$J179)=0,"Hanya di SCM",IF(AND(ABS(E179)&lt;0.01,ABS(H179)&lt;1),"Sama",IF(ABS(E179)&lt;0.01,"Selisih nominal",IF(ABS(H179)&lt;1,"Selisih qty","Selisih qty &amp; nominal")))))</f>
        <v>Sama</v>
      </c>
      <c r="J179" t="s">
        <v>203</v>
      </c>
      <c r="K179" t="str">
        <f>IFERROR(INDEX('Data SCM'!$D$2:$D$698,MATCH($J179,'Data SCM'!$I$2:$I$698,0)),"")</f>
        <v>PCS</v>
      </c>
      <c r="L179">
        <f t="shared" si="8"/>
        <v>1</v>
      </c>
    </row>
    <row r="180" spans="1:12" x14ac:dyDescent="0.25">
      <c r="A180" s="3" t="str">
        <f>IFERROR(INDEX('Data SO'!$C$2:$C$1085,MATCH($J180,'Data SO'!$H$2:$H$1085,0)),INDEX('Data SCM'!$B$2:$B$698,MATCH($J180,'Data SCM'!$I$2:$I$698,0)))</f>
        <v>CALSIUM PROPIONATE NIACET @1X25KG</v>
      </c>
      <c r="B180" s="3" t="str">
        <f>IFERROR(INDEX('Data SO'!$D$2:$D$1085,MATCH($J180,'Data SO'!$H$2:$H$1085,0)),K180)</f>
        <v>kg</v>
      </c>
      <c r="C180" s="9">
        <f>SUMIF('Data SO'!$H$2:$H$1085,$J180,'Data SO'!$F$2:$F$1085)</f>
        <v>100</v>
      </c>
      <c r="D180" s="9">
        <f>SUMIF('Data SCM'!$I$2:$I$698,$J180,'Data SCM'!$E$2:$E$698)*L180</f>
        <v>100</v>
      </c>
      <c r="E180" s="9">
        <f t="shared" si="6"/>
        <v>0</v>
      </c>
      <c r="F180" s="4">
        <f>SUMIF('Data SO'!$H$2:$H$1085,$J180,'Data SO'!$G$2:$G$1085)</f>
        <v>3200000</v>
      </c>
      <c r="G180" s="4">
        <f>SUMIF('Data SCM'!$I$2:$I$698,$J180,'Data SCM'!$H$2:$H$698)</f>
        <v>3200000</v>
      </c>
      <c r="H180" s="4">
        <f t="shared" si="7"/>
        <v>0</v>
      </c>
      <c r="I180" s="3" t="str">
        <f>IF(COUNTIF('Data SCM'!$I$2:$I$698,$J180)=0,"Hanya di SO",IF(COUNTIF('Data SO'!$H$2:$H$1085,$J180)=0,"Hanya di SCM",IF(AND(ABS(E180)&lt;0.01,ABS(H180)&lt;1),"Sama",IF(ABS(E180)&lt;0.01,"Selisih nominal",IF(ABS(H180)&lt;1,"Selisih qty","Selisih qty &amp; nominal")))))</f>
        <v>Sama</v>
      </c>
      <c r="J180" t="s">
        <v>204</v>
      </c>
      <c r="K180" t="str">
        <f>IFERROR(INDEX('Data SCM'!$D$2:$D$698,MATCH($J180,'Data SCM'!$I$2:$I$698,0)),"")</f>
        <v>KG</v>
      </c>
      <c r="L180">
        <f t="shared" si="8"/>
        <v>1</v>
      </c>
    </row>
    <row r="181" spans="1:12" x14ac:dyDescent="0.25">
      <c r="A181" s="3" t="str">
        <f>IFERROR(INDEX('Data SO'!$C$2:$C$1085,MATCH($J181,'Data SO'!$H$2:$H$1085,0)),INDEX('Data SCM'!$B$2:$B$698,MATCH($J181,'Data SCM'!$I$2:$I$698,0)))</f>
        <v>CHEFMATE PASTE CHOCO CRUNCH 4X5 KG</v>
      </c>
      <c r="B181" s="3" t="str">
        <f>IFERROR(INDEX('Data SO'!$D$2:$D$1085,MATCH($J181,'Data SO'!$H$2:$H$1085,0)),K181)</f>
        <v>kg</v>
      </c>
      <c r="C181" s="9">
        <f>SUMIF('Data SO'!$H$2:$H$1085,$J181,'Data SO'!$F$2:$F$1085)</f>
        <v>920</v>
      </c>
      <c r="D181" s="9">
        <f>SUMIF('Data SCM'!$I$2:$I$698,$J181,'Data SCM'!$E$2:$E$698)*L181</f>
        <v>920</v>
      </c>
      <c r="E181" s="9">
        <f t="shared" si="6"/>
        <v>0</v>
      </c>
      <c r="F181" s="4">
        <f>SUMIF('Data SO'!$H$2:$H$1085,$J181,'Data SO'!$G$2:$G$1085)</f>
        <v>64642650</v>
      </c>
      <c r="G181" s="4">
        <f>SUMIF('Data SCM'!$I$2:$I$698,$J181,'Data SCM'!$H$2:$H$698)</f>
        <v>64642650</v>
      </c>
      <c r="H181" s="4">
        <f t="shared" si="7"/>
        <v>0</v>
      </c>
      <c r="I181" s="3" t="str">
        <f>IF(COUNTIF('Data SCM'!$I$2:$I$698,$J181)=0,"Hanya di SO",IF(COUNTIF('Data SO'!$H$2:$H$1085,$J181)=0,"Hanya di SCM",IF(AND(ABS(E181)&lt;0.01,ABS(H181)&lt;1),"Sama",IF(ABS(E181)&lt;0.01,"Selisih nominal",IF(ABS(H181)&lt;1,"Selisih qty","Selisih qty &amp; nominal")))))</f>
        <v>Sama</v>
      </c>
      <c r="J181" t="s">
        <v>205</v>
      </c>
      <c r="K181" t="str">
        <f>IFERROR(INDEX('Data SCM'!$D$2:$D$698,MATCH($J181,'Data SCM'!$I$2:$I$698,0)),"")</f>
        <v>KG</v>
      </c>
      <c r="L181">
        <f t="shared" si="8"/>
        <v>1</v>
      </c>
    </row>
    <row r="182" spans="1:12" x14ac:dyDescent="0.25">
      <c r="A182" s="3" t="str">
        <f>IFERROR(INDEX('Data SO'!$C$2:$C$1085,MATCH($J182,'Data SO'!$H$2:$H$1085,0)),INDEX('Data SCM'!$B$2:$B$698,MATCH($J182,'Data SCM'!$I$2:$I$698,0)))</f>
        <v>CHICKEN SEASONING POWDER KNORR @ 1 KG</v>
      </c>
      <c r="B182" s="3" t="str">
        <f>IFERROR(INDEX('Data SO'!$D$2:$D$1085,MATCH($J182,'Data SO'!$H$2:$H$1085,0)),K182)</f>
        <v>gram</v>
      </c>
      <c r="C182" s="9">
        <f>SUMIF('Data SO'!$H$2:$H$1085,$J182,'Data SO'!$F$2:$F$1085)</f>
        <v>2000</v>
      </c>
      <c r="D182" s="9">
        <f>SUMIF('Data SCM'!$I$2:$I$698,$J182,'Data SCM'!$E$2:$E$698)*L182</f>
        <v>2000</v>
      </c>
      <c r="E182" s="9">
        <f t="shared" si="6"/>
        <v>0</v>
      </c>
      <c r="F182" s="4">
        <f>SUMIF('Data SO'!$H$2:$H$1085,$J182,'Data SO'!$G$2:$G$1085)</f>
        <v>190000</v>
      </c>
      <c r="G182" s="4">
        <f>SUMIF('Data SCM'!$I$2:$I$698,$J182,'Data SCM'!$H$2:$H$698)</f>
        <v>190000</v>
      </c>
      <c r="H182" s="4">
        <f t="shared" si="7"/>
        <v>0</v>
      </c>
      <c r="I182" s="3" t="str">
        <f>IF(COUNTIF('Data SCM'!$I$2:$I$698,$J182)=0,"Hanya di SO",IF(COUNTIF('Data SO'!$H$2:$H$1085,$J182)=0,"Hanya di SCM",IF(AND(ABS(E182)&lt;0.01,ABS(H182)&lt;1),"Sama",IF(ABS(E182)&lt;0.01,"Selisih nominal",IF(ABS(H182)&lt;1,"Selisih qty","Selisih qty &amp; nominal")))))</f>
        <v>Sama</v>
      </c>
      <c r="J182" t="s">
        <v>206</v>
      </c>
      <c r="K182" t="str">
        <f>IFERROR(INDEX('Data SCM'!$D$2:$D$698,MATCH($J182,'Data SCM'!$I$2:$I$698,0)),"")</f>
        <v>GR</v>
      </c>
      <c r="L182">
        <f t="shared" si="8"/>
        <v>1</v>
      </c>
    </row>
    <row r="183" spans="1:12" x14ac:dyDescent="0.25">
      <c r="A183" s="3" t="str">
        <f>IFERROR(INDEX('Data SO'!$C$2:$C$1085,MATCH($J183,'Data SO'!$H$2:$H$1085,0)),INDEX('Data SCM'!$B$2:$B$698,MATCH($J183,'Data SCM'!$I$2:$I$698,0)))</f>
        <v>COKLAT PASTA RIMBO</v>
      </c>
      <c r="B183" s="3" t="str">
        <f>IFERROR(INDEX('Data SO'!$D$2:$D$1085,MATCH($J183,'Data SO'!$H$2:$H$1085,0)),K183)</f>
        <v>Kg</v>
      </c>
      <c r="C183" s="9">
        <f>SUMIF('Data SO'!$H$2:$H$1085,$J183,'Data SO'!$F$2:$F$1085)</f>
        <v>255</v>
      </c>
      <c r="D183" s="9">
        <f>SUMIF('Data SCM'!$I$2:$I$698,$J183,'Data SCM'!$E$2:$E$698)*L183</f>
        <v>255</v>
      </c>
      <c r="E183" s="9">
        <f t="shared" si="6"/>
        <v>0</v>
      </c>
      <c r="F183" s="4">
        <f>SUMIF('Data SO'!$H$2:$H$1085,$J183,'Data SO'!$G$2:$G$1085)</f>
        <v>6566250</v>
      </c>
      <c r="G183" s="4">
        <f>SUMIF('Data SCM'!$I$2:$I$698,$J183,'Data SCM'!$H$2:$H$698)</f>
        <v>6566250</v>
      </c>
      <c r="H183" s="4">
        <f t="shared" si="7"/>
        <v>0</v>
      </c>
      <c r="I183" s="3" t="str">
        <f>IF(COUNTIF('Data SCM'!$I$2:$I$698,$J183)=0,"Hanya di SO",IF(COUNTIF('Data SO'!$H$2:$H$1085,$J183)=0,"Hanya di SCM",IF(AND(ABS(E183)&lt;0.01,ABS(H183)&lt;1),"Sama",IF(ABS(E183)&lt;0.01,"Selisih nominal",IF(ABS(H183)&lt;1,"Selisih qty","Selisih qty &amp; nominal")))))</f>
        <v>Sama</v>
      </c>
      <c r="J183" t="s">
        <v>207</v>
      </c>
      <c r="K183" t="str">
        <f>IFERROR(INDEX('Data SCM'!$D$2:$D$698,MATCH($J183,'Data SCM'!$I$2:$I$698,0)),"")</f>
        <v>GR</v>
      </c>
      <c r="L183">
        <f t="shared" si="8"/>
        <v>1E-3</v>
      </c>
    </row>
    <row r="184" spans="1:12" x14ac:dyDescent="0.25">
      <c r="A184" s="3" t="str">
        <f>IFERROR(INDEX('Data SO'!$C$2:$C$1085,MATCH($J184,'Data SO'!$H$2:$H$1085,0)),INDEX('Data SCM'!$B$2:$B$698,MATCH($J184,'Data SCM'!$I$2:$I$698,0)))</f>
        <v>COLLATA GLAZE DARK</v>
      </c>
      <c r="B184" s="3" t="str">
        <f>IFERROR(INDEX('Data SO'!$D$2:$D$1085,MATCH($J184,'Data SO'!$H$2:$H$1085,0)),K184)</f>
        <v>Kg</v>
      </c>
      <c r="C184" s="9">
        <f>SUMIF('Data SO'!$H$2:$H$1085,$J184,'Data SO'!$F$2:$F$1085)</f>
        <v>85</v>
      </c>
      <c r="D184" s="9">
        <f>SUMIF('Data SCM'!$I$2:$I$698,$J184,'Data SCM'!$E$2:$E$698)*L184</f>
        <v>85</v>
      </c>
      <c r="E184" s="9">
        <f t="shared" si="6"/>
        <v>0</v>
      </c>
      <c r="F184" s="4">
        <f>SUMIF('Data SO'!$H$2:$H$1085,$J184,'Data SO'!$G$2:$G$1085)</f>
        <v>22550500</v>
      </c>
      <c r="G184" s="4">
        <f>SUMIF('Data SCM'!$I$2:$I$698,$J184,'Data SCM'!$H$2:$H$698)</f>
        <v>22550500</v>
      </c>
      <c r="H184" s="4">
        <f t="shared" si="7"/>
        <v>0</v>
      </c>
      <c r="I184" s="3" t="str">
        <f>IF(COUNTIF('Data SCM'!$I$2:$I$698,$J184)=0,"Hanya di SO",IF(COUNTIF('Data SO'!$H$2:$H$1085,$J184)=0,"Hanya di SCM",IF(AND(ABS(E184)&lt;0.01,ABS(H184)&lt;1),"Sama",IF(ABS(E184)&lt;0.01,"Selisih nominal",IF(ABS(H184)&lt;1,"Selisih qty","Selisih qty &amp; nominal")))))</f>
        <v>Sama</v>
      </c>
      <c r="J184" t="s">
        <v>208</v>
      </c>
      <c r="K184" t="str">
        <f>IFERROR(INDEX('Data SCM'!$D$2:$D$698,MATCH($J184,'Data SCM'!$I$2:$I$698,0)),"")</f>
        <v>KG</v>
      </c>
      <c r="L184">
        <f t="shared" si="8"/>
        <v>1</v>
      </c>
    </row>
    <row r="185" spans="1:12" x14ac:dyDescent="0.25">
      <c r="A185" s="3" t="str">
        <f>IFERROR(INDEX('Data SO'!$C$2:$C$1085,MATCH($J185,'Data SO'!$H$2:$H$1085,0)),INDEX('Data SCM'!$B$2:$B$698,MATCH($J185,'Data SCM'!$I$2:$I$698,0)))</f>
        <v>CREAMFILL CLASSIC BANANA</v>
      </c>
      <c r="B185" s="3" t="str">
        <f>IFERROR(INDEX('Data SO'!$D$2:$D$1085,MATCH($J185,'Data SO'!$H$2:$H$1085,0)),K185)</f>
        <v>Kg</v>
      </c>
      <c r="C185" s="9">
        <f>SUMIF('Data SO'!$H$2:$H$1085,$J185,'Data SO'!$F$2:$F$1085)</f>
        <v>5</v>
      </c>
      <c r="D185" s="9">
        <f>SUMIF('Data SCM'!$I$2:$I$698,$J185,'Data SCM'!$E$2:$E$698)*L185</f>
        <v>5</v>
      </c>
      <c r="E185" s="9">
        <f t="shared" si="6"/>
        <v>0</v>
      </c>
      <c r="F185" s="4">
        <f>SUMIF('Data SO'!$H$2:$H$1085,$J185,'Data SO'!$G$2:$G$1085)</f>
        <v>266400</v>
      </c>
      <c r="G185" s="4">
        <f>SUMIF('Data SCM'!$I$2:$I$698,$J185,'Data SCM'!$H$2:$H$698)</f>
        <v>266400</v>
      </c>
      <c r="H185" s="4">
        <f t="shared" si="7"/>
        <v>0</v>
      </c>
      <c r="I185" s="3" t="str">
        <f>IF(COUNTIF('Data SCM'!$I$2:$I$698,$J185)=0,"Hanya di SO",IF(COUNTIF('Data SO'!$H$2:$H$1085,$J185)=0,"Hanya di SCM",IF(AND(ABS(E185)&lt;0.01,ABS(H185)&lt;1),"Sama",IF(ABS(E185)&lt;0.01,"Selisih nominal",IF(ABS(H185)&lt;1,"Selisih qty","Selisih qty &amp; nominal")))))</f>
        <v>Sama</v>
      </c>
      <c r="J185" t="s">
        <v>209</v>
      </c>
      <c r="K185" t="str">
        <f>IFERROR(INDEX('Data SCM'!$D$2:$D$698,MATCH($J185,'Data SCM'!$I$2:$I$698,0)),"")</f>
        <v>KG</v>
      </c>
      <c r="L185">
        <f t="shared" si="8"/>
        <v>1</v>
      </c>
    </row>
    <row r="186" spans="1:12" x14ac:dyDescent="0.25">
      <c r="A186" s="3" t="str">
        <f>IFERROR(INDEX('Data SO'!$C$2:$C$1085,MATCH($J186,'Data SO'!$H$2:$H$1085,0)),INDEX('Data SCM'!$B$2:$B$698,MATCH($J186,'Data SCM'!$I$2:$I$698,0)))</f>
        <v>Chefamate Cocoa Powder Zak 10Kg</v>
      </c>
      <c r="B186" s="3" t="str">
        <f>IFERROR(INDEX('Data SO'!$D$2:$D$1085,MATCH($J186,'Data SO'!$H$2:$H$1085,0)),K186)</f>
        <v>Kg</v>
      </c>
      <c r="C186" s="9">
        <f>SUMIF('Data SO'!$H$2:$H$1085,$J186,'Data SO'!$F$2:$F$1085)</f>
        <v>170</v>
      </c>
      <c r="D186" s="9">
        <f>SUMIF('Data SCM'!$I$2:$I$698,$J186,'Data SCM'!$E$2:$E$698)*L186</f>
        <v>170</v>
      </c>
      <c r="E186" s="9">
        <f t="shared" si="6"/>
        <v>0</v>
      </c>
      <c r="F186" s="4">
        <f>SUMIF('Data SO'!$H$2:$H$1085,$J186,'Data SO'!$G$2:$G$1085)</f>
        <v>49062000</v>
      </c>
      <c r="G186" s="4">
        <f>SUMIF('Data SCM'!$I$2:$I$698,$J186,'Data SCM'!$H$2:$H$698)</f>
        <v>49062000</v>
      </c>
      <c r="H186" s="4">
        <f t="shared" si="7"/>
        <v>0</v>
      </c>
      <c r="I186" s="3" t="str">
        <f>IF(COUNTIF('Data SCM'!$I$2:$I$698,$J186)=0,"Hanya di SO",IF(COUNTIF('Data SO'!$H$2:$H$1085,$J186)=0,"Hanya di SCM",IF(AND(ABS(E186)&lt;0.01,ABS(H186)&lt;1),"Sama",IF(ABS(E186)&lt;0.01,"Selisih nominal",IF(ABS(H186)&lt;1,"Selisih qty","Selisih qty &amp; nominal")))))</f>
        <v>Sama</v>
      </c>
      <c r="J186" t="s">
        <v>210</v>
      </c>
      <c r="K186" t="str">
        <f>IFERROR(INDEX('Data SCM'!$D$2:$D$698,MATCH($J186,'Data SCM'!$I$2:$I$698,0)),"")</f>
        <v>KG</v>
      </c>
      <c r="L186">
        <f t="shared" si="8"/>
        <v>1</v>
      </c>
    </row>
    <row r="187" spans="1:12" x14ac:dyDescent="0.25">
      <c r="A187" s="3" t="str">
        <f>IFERROR(INDEX('Data SO'!$C$2:$C$1085,MATCH($J187,'Data SO'!$H$2:$H$1085,0)),INDEX('Data SCM'!$B$2:$B$698,MATCH($J187,'Data SCM'!$I$2:$I$698,0)))</f>
        <v>Chefmate Stick Dark @8X1Kg</v>
      </c>
      <c r="B187" s="3" t="str">
        <f>IFERROR(INDEX('Data SO'!$D$2:$D$1085,MATCH($J187,'Data SO'!$H$2:$H$1085,0)),K187)</f>
        <v>Kg</v>
      </c>
      <c r="C187" s="9">
        <f>SUMIF('Data SO'!$H$2:$H$1085,$J187,'Data SO'!$F$2:$F$1085)</f>
        <v>304</v>
      </c>
      <c r="D187" s="9">
        <f>SUMIF('Data SCM'!$I$2:$I$698,$J187,'Data SCM'!$E$2:$E$698)*L187</f>
        <v>304</v>
      </c>
      <c r="E187" s="9">
        <f t="shared" si="6"/>
        <v>0</v>
      </c>
      <c r="F187" s="4">
        <f>SUMIF('Data SO'!$H$2:$H$1085,$J187,'Data SO'!$G$2:$G$1085)</f>
        <v>28823000</v>
      </c>
      <c r="G187" s="4">
        <f>SUMIF('Data SCM'!$I$2:$I$698,$J187,'Data SCM'!$H$2:$H$698)</f>
        <v>28823000</v>
      </c>
      <c r="H187" s="4">
        <f t="shared" si="7"/>
        <v>0</v>
      </c>
      <c r="I187" s="3" t="str">
        <f>IF(COUNTIF('Data SCM'!$I$2:$I$698,$J187)=0,"Hanya di SO",IF(COUNTIF('Data SO'!$H$2:$H$1085,$J187)=0,"Hanya di SCM",IF(AND(ABS(E187)&lt;0.01,ABS(H187)&lt;1),"Sama",IF(ABS(E187)&lt;0.01,"Selisih nominal",IF(ABS(H187)&lt;1,"Selisih qty","Selisih qty &amp; nominal")))))</f>
        <v>Sama</v>
      </c>
      <c r="J187" t="s">
        <v>211</v>
      </c>
      <c r="K187" t="str">
        <f>IFERROR(INDEX('Data SCM'!$D$2:$D$698,MATCH($J187,'Data SCM'!$I$2:$I$698,0)),"")</f>
        <v>KG</v>
      </c>
      <c r="L187">
        <f t="shared" si="8"/>
        <v>1</v>
      </c>
    </row>
    <row r="188" spans="1:12" x14ac:dyDescent="0.25">
      <c r="A188" s="3" t="str">
        <f>IFERROR(INDEX('Data SO'!$C$2:$C$1085,MATCH($J188,'Data SO'!$H$2:$H$1085,0)),INDEX('Data SCM'!$B$2:$B$698,MATCH($J188,'Data SCM'!$I$2:$I$698,0)))</f>
        <v>Creamfill Vanila 5kg</v>
      </c>
      <c r="B188" s="3" t="str">
        <f>IFERROR(INDEX('Data SO'!$D$2:$D$1085,MATCH($J188,'Data SO'!$H$2:$H$1085,0)),K188)</f>
        <v>kg</v>
      </c>
      <c r="C188" s="9">
        <f>SUMIF('Data SO'!$H$2:$H$1085,$J188,'Data SO'!$F$2:$F$1085)</f>
        <v>90</v>
      </c>
      <c r="D188" s="9">
        <f>SUMIF('Data SCM'!$I$2:$I$698,$J188,'Data SCM'!$E$2:$E$698)*L188</f>
        <v>90</v>
      </c>
      <c r="E188" s="9">
        <f t="shared" si="6"/>
        <v>0</v>
      </c>
      <c r="F188" s="4">
        <f>SUMIF('Data SO'!$H$2:$H$1085,$J188,'Data SO'!$G$2:$G$1085)</f>
        <v>4035960</v>
      </c>
      <c r="G188" s="4">
        <f>SUMIF('Data SCM'!$I$2:$I$698,$J188,'Data SCM'!$H$2:$H$698)</f>
        <v>4035960</v>
      </c>
      <c r="H188" s="4">
        <f t="shared" si="7"/>
        <v>0</v>
      </c>
      <c r="I188" s="3" t="str">
        <f>IF(COUNTIF('Data SCM'!$I$2:$I$698,$J188)=0,"Hanya di SO",IF(COUNTIF('Data SO'!$H$2:$H$1085,$J188)=0,"Hanya di SCM",IF(AND(ABS(E188)&lt;0.01,ABS(H188)&lt;1),"Sama",IF(ABS(E188)&lt;0.01,"Selisih nominal",IF(ABS(H188)&lt;1,"Selisih qty","Selisih qty &amp; nominal")))))</f>
        <v>Sama</v>
      </c>
      <c r="J188" t="s">
        <v>212</v>
      </c>
      <c r="K188" t="str">
        <f>IFERROR(INDEX('Data SCM'!$D$2:$D$698,MATCH($J188,'Data SCM'!$I$2:$I$698,0)),"")</f>
        <v>KG</v>
      </c>
      <c r="L188">
        <f t="shared" si="8"/>
        <v>1</v>
      </c>
    </row>
    <row r="189" spans="1:12" x14ac:dyDescent="0.25">
      <c r="A189" s="3" t="str">
        <f>IFERROR(INDEX('Data SO'!$C$2:$C$1085,MATCH($J189,'Data SO'!$H$2:$H$1085,0)),INDEX('Data SCM'!$B$2:$B$698,MATCH($J189,'Data SCM'!$I$2:$I$698,0)))</f>
        <v>Cup bento cake</v>
      </c>
      <c r="B189" s="3" t="str">
        <f>IFERROR(INDEX('Data SO'!$D$2:$D$1085,MATCH($J189,'Data SO'!$H$2:$H$1085,0)),K189)</f>
        <v>Pcs</v>
      </c>
      <c r="C189" s="9">
        <f>SUMIF('Data SO'!$H$2:$H$1085,$J189,'Data SO'!$F$2:$F$1085)</f>
        <v>400</v>
      </c>
      <c r="D189" s="9">
        <f>SUMIF('Data SCM'!$I$2:$I$698,$J189,'Data SCM'!$E$2:$E$698)*L189</f>
        <v>400</v>
      </c>
      <c r="E189" s="9">
        <f t="shared" si="6"/>
        <v>0</v>
      </c>
      <c r="F189" s="4">
        <f>SUMIF('Data SO'!$H$2:$H$1085,$J189,'Data SO'!$G$2:$G$1085)</f>
        <v>2800000</v>
      </c>
      <c r="G189" s="4">
        <f>SUMIF('Data SCM'!$I$2:$I$698,$J189,'Data SCM'!$H$2:$H$698)</f>
        <v>2800000</v>
      </c>
      <c r="H189" s="4">
        <f t="shared" si="7"/>
        <v>0</v>
      </c>
      <c r="I189" s="3" t="str">
        <f>IF(COUNTIF('Data SCM'!$I$2:$I$698,$J189)=0,"Hanya di SO",IF(COUNTIF('Data SO'!$H$2:$H$1085,$J189)=0,"Hanya di SCM",IF(AND(ABS(E189)&lt;0.01,ABS(H189)&lt;1),"Sama",IF(ABS(E189)&lt;0.01,"Selisih nominal",IF(ABS(H189)&lt;1,"Selisih qty","Selisih qty &amp; nominal")))))</f>
        <v>Sama</v>
      </c>
      <c r="J189" t="s">
        <v>213</v>
      </c>
      <c r="K189" t="str">
        <f>IFERROR(INDEX('Data SCM'!$D$2:$D$698,MATCH($J189,'Data SCM'!$I$2:$I$698,0)),"")</f>
        <v>PCS</v>
      </c>
      <c r="L189">
        <f t="shared" si="8"/>
        <v>1</v>
      </c>
    </row>
    <row r="190" spans="1:12" x14ac:dyDescent="0.25">
      <c r="A190" s="3" t="str">
        <f>IFERROR(INDEX('Data SO'!$C$2:$C$1085,MATCH($J190,'Data SO'!$H$2:$H$1085,0)),INDEX('Data SCM'!$B$2:$B$698,MATCH($J190,'Data SCM'!$I$2:$I$698,0)))</f>
        <v>DOILIES PAPER</v>
      </c>
      <c r="B190" s="3" t="str">
        <f>IFERROR(INDEX('Data SO'!$D$2:$D$1085,MATCH($J190,'Data SO'!$H$2:$H$1085,0)),K190)</f>
        <v>Pcs</v>
      </c>
      <c r="C190" s="9">
        <f>SUMIF('Data SO'!$H$2:$H$1085,$J190,'Data SO'!$F$2:$F$1085)</f>
        <v>1750</v>
      </c>
      <c r="D190" s="9">
        <f>SUMIF('Data SCM'!$I$2:$I$698,$J190,'Data SCM'!$E$2:$E$698)*L190</f>
        <v>1750</v>
      </c>
      <c r="E190" s="9">
        <f t="shared" si="6"/>
        <v>0</v>
      </c>
      <c r="F190" s="4">
        <f>SUMIF('Data SO'!$H$2:$H$1085,$J190,'Data SO'!$G$2:$G$1085)</f>
        <v>87500</v>
      </c>
      <c r="G190" s="4">
        <f>SUMIF('Data SCM'!$I$2:$I$698,$J190,'Data SCM'!$H$2:$H$698)</f>
        <v>87500</v>
      </c>
      <c r="H190" s="4">
        <f t="shared" si="7"/>
        <v>0</v>
      </c>
      <c r="I190" s="3" t="str">
        <f>IF(COUNTIF('Data SCM'!$I$2:$I$698,$J190)=0,"Hanya di SO",IF(COUNTIF('Data SO'!$H$2:$H$1085,$J190)=0,"Hanya di SCM",IF(AND(ABS(E190)&lt;0.01,ABS(H190)&lt;1),"Sama",IF(ABS(E190)&lt;0.01,"Selisih nominal",IF(ABS(H190)&lt;1,"Selisih qty","Selisih qty &amp; nominal")))))</f>
        <v>Sama</v>
      </c>
      <c r="J190" t="s">
        <v>214</v>
      </c>
      <c r="K190" t="str">
        <f>IFERROR(INDEX('Data SCM'!$D$2:$D$698,MATCH($J190,'Data SCM'!$I$2:$I$698,0)),"")</f>
        <v>PCS</v>
      </c>
      <c r="L190">
        <f t="shared" si="8"/>
        <v>1</v>
      </c>
    </row>
    <row r="191" spans="1:12" x14ac:dyDescent="0.25">
      <c r="A191" s="3" t="str">
        <f>IFERROR(INDEX('Data SO'!$C$2:$C$1085,MATCH($J191,'Data SO'!$H$2:$H$1085,0)),INDEX('Data SCM'!$B$2:$B$698,MATCH($J191,'Data SCM'!$I$2:$I$698,0)))</f>
        <v>DUS BF ULTAH 22X22</v>
      </c>
      <c r="B191" s="3" t="str">
        <f>IFERROR(INDEX('Data SO'!$D$2:$D$1085,MATCH($J191,'Data SO'!$H$2:$H$1085,0)),K191)</f>
        <v>Pcs</v>
      </c>
      <c r="C191" s="9">
        <f>SUMIF('Data SO'!$H$2:$H$1085,$J191,'Data SO'!$F$2:$F$1085)</f>
        <v>8807</v>
      </c>
      <c r="D191" s="9">
        <f>SUMIF('Data SCM'!$I$2:$I$698,$J191,'Data SCM'!$E$2:$E$698)*L191</f>
        <v>8807</v>
      </c>
      <c r="E191" s="9">
        <f t="shared" si="6"/>
        <v>0</v>
      </c>
      <c r="F191" s="4">
        <f>SUMIF('Data SO'!$H$2:$H$1085,$J191,'Data SO'!$G$2:$G$1085)</f>
        <v>32585900</v>
      </c>
      <c r="G191" s="4">
        <f>SUMIF('Data SCM'!$I$2:$I$698,$J191,'Data SCM'!$H$2:$H$698)</f>
        <v>32585900</v>
      </c>
      <c r="H191" s="4">
        <f t="shared" si="7"/>
        <v>0</v>
      </c>
      <c r="I191" s="3" t="str">
        <f>IF(COUNTIF('Data SCM'!$I$2:$I$698,$J191)=0,"Hanya di SO",IF(COUNTIF('Data SO'!$H$2:$H$1085,$J191)=0,"Hanya di SCM",IF(AND(ABS(E191)&lt;0.01,ABS(H191)&lt;1),"Sama",IF(ABS(E191)&lt;0.01,"Selisih nominal",IF(ABS(H191)&lt;1,"Selisih qty","Selisih qty &amp; nominal")))))</f>
        <v>Sama</v>
      </c>
      <c r="J191" t="s">
        <v>215</v>
      </c>
      <c r="K191" t="str">
        <f>IFERROR(INDEX('Data SCM'!$D$2:$D$698,MATCH($J191,'Data SCM'!$I$2:$I$698,0)),"")</f>
        <v>PCS</v>
      </c>
      <c r="L191">
        <f t="shared" si="8"/>
        <v>1</v>
      </c>
    </row>
    <row r="192" spans="1:12" x14ac:dyDescent="0.25">
      <c r="A192" s="3" t="str">
        <f>IFERROR(INDEX('Data SO'!$C$2:$C$1085,MATCH($J192,'Data SO'!$H$2:$H$1085,0)),INDEX('Data SCM'!$B$2:$B$698,MATCH($J192,'Data SCM'!$I$2:$I$698,0)))</f>
        <v>DUS BF ULTAH 28X28</v>
      </c>
      <c r="B192" s="3" t="str">
        <f>IFERROR(INDEX('Data SO'!$D$2:$D$1085,MATCH($J192,'Data SO'!$H$2:$H$1085,0)),K192)</f>
        <v>Pcs</v>
      </c>
      <c r="C192" s="9">
        <f>SUMIF('Data SO'!$H$2:$H$1085,$J192,'Data SO'!$F$2:$F$1085)</f>
        <v>3234</v>
      </c>
      <c r="D192" s="9">
        <f>SUMIF('Data SCM'!$I$2:$I$698,$J192,'Data SCM'!$E$2:$E$698)*L192</f>
        <v>3234</v>
      </c>
      <c r="E192" s="9">
        <f t="shared" si="6"/>
        <v>0</v>
      </c>
      <c r="F192" s="4">
        <f>SUMIF('Data SO'!$H$2:$H$1085,$J192,'Data SO'!$G$2:$G$1085)</f>
        <v>20697600</v>
      </c>
      <c r="G192" s="4">
        <f>SUMIF('Data SCM'!$I$2:$I$698,$J192,'Data SCM'!$H$2:$H$698)</f>
        <v>20697600</v>
      </c>
      <c r="H192" s="4">
        <f t="shared" si="7"/>
        <v>0</v>
      </c>
      <c r="I192" s="3" t="str">
        <f>IF(COUNTIF('Data SCM'!$I$2:$I$698,$J192)=0,"Hanya di SO",IF(COUNTIF('Data SO'!$H$2:$H$1085,$J192)=0,"Hanya di SCM",IF(AND(ABS(E192)&lt;0.01,ABS(H192)&lt;1),"Sama",IF(ABS(E192)&lt;0.01,"Selisih nominal",IF(ABS(H192)&lt;1,"Selisih qty","Selisih qty &amp; nominal")))))</f>
        <v>Sama</v>
      </c>
      <c r="J192" t="s">
        <v>216</v>
      </c>
      <c r="K192" t="str">
        <f>IFERROR(INDEX('Data SCM'!$D$2:$D$698,MATCH($J192,'Data SCM'!$I$2:$I$698,0)),"")</f>
        <v>PCS</v>
      </c>
      <c r="L192">
        <f t="shared" si="8"/>
        <v>1</v>
      </c>
    </row>
    <row r="193" spans="1:12" x14ac:dyDescent="0.25">
      <c r="A193" s="3" t="str">
        <f>IFERROR(INDEX('Data SO'!$C$2:$C$1085,MATCH($J193,'Data SO'!$H$2:$H$1085,0)),INDEX('Data SCM'!$B$2:$B$698,MATCH($J193,'Data SCM'!$I$2:$I$698,0)))</f>
        <v xml:space="preserve">DUS LAPIS SURABAYA </v>
      </c>
      <c r="B193" s="3" t="str">
        <f>IFERROR(INDEX('Data SO'!$D$2:$D$1085,MATCH($J193,'Data SO'!$H$2:$H$1085,0)),K193)</f>
        <v>pcs</v>
      </c>
      <c r="C193" s="9">
        <f>SUMIF('Data SO'!$H$2:$H$1085,$J193,'Data SO'!$F$2:$F$1085)</f>
        <v>1600</v>
      </c>
      <c r="D193" s="9">
        <f>SUMIF('Data SCM'!$I$2:$I$698,$J193,'Data SCM'!$E$2:$E$698)*L193</f>
        <v>1600</v>
      </c>
      <c r="E193" s="9">
        <f t="shared" si="6"/>
        <v>0</v>
      </c>
      <c r="F193" s="4">
        <f>SUMIF('Data SO'!$H$2:$H$1085,$J193,'Data SO'!$G$2:$G$1085)</f>
        <v>4496000</v>
      </c>
      <c r="G193" s="4">
        <f>SUMIF('Data SCM'!$I$2:$I$698,$J193,'Data SCM'!$H$2:$H$698)</f>
        <v>4496000</v>
      </c>
      <c r="H193" s="4">
        <f t="shared" si="7"/>
        <v>0</v>
      </c>
      <c r="I193" s="3" t="str">
        <f>IF(COUNTIF('Data SCM'!$I$2:$I$698,$J193)=0,"Hanya di SO",IF(COUNTIF('Data SO'!$H$2:$H$1085,$J193)=0,"Hanya di SCM",IF(AND(ABS(E193)&lt;0.01,ABS(H193)&lt;1),"Sama",IF(ABS(E193)&lt;0.01,"Selisih nominal",IF(ABS(H193)&lt;1,"Selisih qty","Selisih qty &amp; nominal")))))</f>
        <v>Sama</v>
      </c>
      <c r="J193" t="s">
        <v>217</v>
      </c>
      <c r="K193" t="str">
        <f>IFERROR(INDEX('Data SCM'!$D$2:$D$698,MATCH($J193,'Data SCM'!$I$2:$I$698,0)),"")</f>
        <v>PCS</v>
      </c>
      <c r="L193">
        <f t="shared" si="8"/>
        <v>1</v>
      </c>
    </row>
    <row r="194" spans="1:12" x14ac:dyDescent="0.25">
      <c r="A194" s="3" t="str">
        <f>IFERROR(INDEX('Data SO'!$C$2:$C$1085,MATCH($J194,'Data SO'!$H$2:$H$1085,0)),INDEX('Data SCM'!$B$2:$B$698,MATCH($J194,'Data SCM'!$I$2:$I$698,0)))</f>
        <v xml:space="preserve">DUS ONLINE SHOP ISI 2 </v>
      </c>
      <c r="B194" s="3" t="str">
        <f>IFERROR(INDEX('Data SO'!$D$2:$D$1085,MATCH($J194,'Data SO'!$H$2:$H$1085,0)),K194)</f>
        <v>Pack</v>
      </c>
      <c r="C194" s="9">
        <f>SUMIF('Data SO'!$H$2:$H$1085,$J194,'Data SO'!$F$2:$F$1085)</f>
        <v>8000</v>
      </c>
      <c r="D194" s="9">
        <f>SUMIF('Data SCM'!$I$2:$I$698,$J194,'Data SCM'!$E$2:$E$698)*L194</f>
        <v>8000</v>
      </c>
      <c r="E194" s="9">
        <f t="shared" ref="E194:E257" si="9">D194-C194</f>
        <v>0</v>
      </c>
      <c r="F194" s="4">
        <f>SUMIF('Data SO'!$H$2:$H$1085,$J194,'Data SO'!$G$2:$G$1085)</f>
        <v>10000000</v>
      </c>
      <c r="G194" s="4">
        <f>SUMIF('Data SCM'!$I$2:$I$698,$J194,'Data SCM'!$H$2:$H$698)</f>
        <v>10000000</v>
      </c>
      <c r="H194" s="4">
        <f t="shared" ref="H194:H257" si="10">G194-F194</f>
        <v>0</v>
      </c>
      <c r="I194" s="3" t="str">
        <f>IF(COUNTIF('Data SCM'!$I$2:$I$698,$J194)=0,"Hanya di SO",IF(COUNTIF('Data SO'!$H$2:$H$1085,$J194)=0,"Hanya di SCM",IF(AND(ABS(E194)&lt;0.01,ABS(H194)&lt;1),"Sama",IF(ABS(E194)&lt;0.01,"Selisih nominal",IF(ABS(H194)&lt;1,"Selisih qty","Selisih qty &amp; nominal")))))</f>
        <v>Sama</v>
      </c>
      <c r="J194" t="s">
        <v>218</v>
      </c>
      <c r="K194" t="str">
        <f>IFERROR(INDEX('Data SCM'!$D$2:$D$698,MATCH($J194,'Data SCM'!$I$2:$I$698,0)),"")</f>
        <v>PCS</v>
      </c>
      <c r="L194">
        <f t="shared" ref="L194:L257" si="11">IF(OR(AND(K194="GR",LOWER(B194)="kg"),AND(K194="ML",LOWER(B194)="liter")),0.001,1)</f>
        <v>1</v>
      </c>
    </row>
    <row r="195" spans="1:12" x14ac:dyDescent="0.25">
      <c r="A195" s="3" t="str">
        <f>IFERROR(INDEX('Data SO'!$C$2:$C$1085,MATCH($J195,'Data SO'!$H$2:$H$1085,0)),INDEX('Data SCM'!$B$2:$B$698,MATCH($J195,'Data SCM'!$I$2:$I$698,0)))</f>
        <v>DUS ONLINE SHOP ISI 4</v>
      </c>
      <c r="B195" s="3" t="str">
        <f>IFERROR(INDEX('Data SO'!$D$2:$D$1085,MATCH($J195,'Data SO'!$H$2:$H$1085,0)),K195)</f>
        <v>Pack</v>
      </c>
      <c r="C195" s="9">
        <f>SUMIF('Data SO'!$H$2:$H$1085,$J195,'Data SO'!$F$2:$F$1085)</f>
        <v>6700</v>
      </c>
      <c r="D195" s="9">
        <f>SUMIF('Data SCM'!$I$2:$I$698,$J195,'Data SCM'!$E$2:$E$698)*L195</f>
        <v>6700</v>
      </c>
      <c r="E195" s="9">
        <f t="shared" si="9"/>
        <v>0</v>
      </c>
      <c r="F195" s="4">
        <f>SUMIF('Data SO'!$H$2:$H$1085,$J195,'Data SO'!$G$2:$G$1085)</f>
        <v>11725000</v>
      </c>
      <c r="G195" s="4">
        <f>SUMIF('Data SCM'!$I$2:$I$698,$J195,'Data SCM'!$H$2:$H$698)</f>
        <v>11725000</v>
      </c>
      <c r="H195" s="4">
        <f t="shared" si="10"/>
        <v>0</v>
      </c>
      <c r="I195" s="3" t="str">
        <f>IF(COUNTIF('Data SCM'!$I$2:$I$698,$J195)=0,"Hanya di SO",IF(COUNTIF('Data SO'!$H$2:$H$1085,$J195)=0,"Hanya di SCM",IF(AND(ABS(E195)&lt;0.01,ABS(H195)&lt;1),"Sama",IF(ABS(E195)&lt;0.01,"Selisih nominal",IF(ABS(H195)&lt;1,"Selisih qty","Selisih qty &amp; nominal")))))</f>
        <v>Sama</v>
      </c>
      <c r="J195" t="s">
        <v>219</v>
      </c>
      <c r="K195" t="str">
        <f>IFERROR(INDEX('Data SCM'!$D$2:$D$698,MATCH($J195,'Data SCM'!$I$2:$I$698,0)),"")</f>
        <v>PCS</v>
      </c>
      <c r="L195">
        <f t="shared" si="11"/>
        <v>1</v>
      </c>
    </row>
    <row r="196" spans="1:12" x14ac:dyDescent="0.25">
      <c r="A196" s="3" t="str">
        <f>IFERROR(INDEX('Data SO'!$C$2:$C$1085,MATCH($J196,'Data SO'!$H$2:$H$1085,0)),INDEX('Data SCM'!$B$2:$B$698,MATCH($J196,'Data SCM'!$I$2:$I$698,0)))</f>
        <v>DUS ONLINE SHOP ISI 6</v>
      </c>
      <c r="B196" s="3" t="str">
        <f>IFERROR(INDEX('Data SO'!$D$2:$D$1085,MATCH($J196,'Data SO'!$H$2:$H$1085,0)),K196)</f>
        <v>Pack</v>
      </c>
      <c r="C196" s="9">
        <f>SUMIF('Data SO'!$H$2:$H$1085,$J196,'Data SO'!$F$2:$F$1085)</f>
        <v>8800</v>
      </c>
      <c r="D196" s="9">
        <f>SUMIF('Data SCM'!$I$2:$I$698,$J196,'Data SCM'!$E$2:$E$698)*L196</f>
        <v>8800</v>
      </c>
      <c r="E196" s="9">
        <f t="shared" si="9"/>
        <v>0</v>
      </c>
      <c r="F196" s="4">
        <f>SUMIF('Data SO'!$H$2:$H$1085,$J196,'Data SO'!$G$2:$G$1085)</f>
        <v>21120000</v>
      </c>
      <c r="G196" s="4">
        <f>SUMIF('Data SCM'!$I$2:$I$698,$J196,'Data SCM'!$H$2:$H$698)</f>
        <v>21120000</v>
      </c>
      <c r="H196" s="4">
        <f t="shared" si="10"/>
        <v>0</v>
      </c>
      <c r="I196" s="3" t="str">
        <f>IF(COUNTIF('Data SCM'!$I$2:$I$698,$J196)=0,"Hanya di SO",IF(COUNTIF('Data SO'!$H$2:$H$1085,$J196)=0,"Hanya di SCM",IF(AND(ABS(E196)&lt;0.01,ABS(H196)&lt;1),"Sama",IF(ABS(E196)&lt;0.01,"Selisih nominal",IF(ABS(H196)&lt;1,"Selisih qty","Selisih qty &amp; nominal")))))</f>
        <v>Sama</v>
      </c>
      <c r="J196" t="s">
        <v>220</v>
      </c>
      <c r="K196" t="str">
        <f>IFERROR(INDEX('Data SCM'!$D$2:$D$698,MATCH($J196,'Data SCM'!$I$2:$I$698,0)),"")</f>
        <v>PCS</v>
      </c>
      <c r="L196">
        <f t="shared" si="11"/>
        <v>1</v>
      </c>
    </row>
    <row r="197" spans="1:12" x14ac:dyDescent="0.25">
      <c r="A197" s="3" t="str">
        <f>IFERROR(INDEX('Data SO'!$C$2:$C$1085,MATCH($J197,'Data SO'!$H$2:$H$1085,0)),INDEX('Data SCM'!$B$2:$B$698,MATCH($J197,'Data SCM'!$I$2:$I$698,0)))</f>
        <v>DUS SNACKBOX 12X12</v>
      </c>
      <c r="B197" s="3" t="str">
        <f>IFERROR(INDEX('Data SO'!$D$2:$D$1085,MATCH($J197,'Data SO'!$H$2:$H$1085,0)),K197)</f>
        <v>pcs</v>
      </c>
      <c r="C197" s="9">
        <f>SUMIF('Data SO'!$H$2:$H$1085,$J197,'Data SO'!$F$2:$F$1085)</f>
        <v>1300</v>
      </c>
      <c r="D197" s="9">
        <f>SUMIF('Data SCM'!$I$2:$I$698,$J197,'Data SCM'!$E$2:$E$698)*L197</f>
        <v>1300</v>
      </c>
      <c r="E197" s="9">
        <f t="shared" si="9"/>
        <v>0</v>
      </c>
      <c r="F197" s="4">
        <f>SUMIF('Data SO'!$H$2:$H$1085,$J197,'Data SO'!$G$2:$G$1085)</f>
        <v>694200</v>
      </c>
      <c r="G197" s="4">
        <f>SUMIF('Data SCM'!$I$2:$I$698,$J197,'Data SCM'!$H$2:$H$698)</f>
        <v>694200</v>
      </c>
      <c r="H197" s="4">
        <f t="shared" si="10"/>
        <v>0</v>
      </c>
      <c r="I197" s="3" t="str">
        <f>IF(COUNTIF('Data SCM'!$I$2:$I$698,$J197)=0,"Hanya di SO",IF(COUNTIF('Data SO'!$H$2:$H$1085,$J197)=0,"Hanya di SCM",IF(AND(ABS(E197)&lt;0.01,ABS(H197)&lt;1),"Sama",IF(ABS(E197)&lt;0.01,"Selisih nominal",IF(ABS(H197)&lt;1,"Selisih qty","Selisih qty &amp; nominal")))))</f>
        <v>Sama</v>
      </c>
      <c r="J197" t="s">
        <v>221</v>
      </c>
      <c r="K197" t="str">
        <f>IFERROR(INDEX('Data SCM'!$D$2:$D$698,MATCH($J197,'Data SCM'!$I$2:$I$698,0)),"")</f>
        <v>PCS</v>
      </c>
      <c r="L197">
        <f t="shared" si="11"/>
        <v>1</v>
      </c>
    </row>
    <row r="198" spans="1:12" x14ac:dyDescent="0.25">
      <c r="A198" s="3" t="str">
        <f>IFERROR(INDEX('Data SO'!$C$2:$C$1085,MATCH($J198,'Data SO'!$H$2:$H$1085,0)),INDEX('Data SCM'!$B$2:$B$698,MATCH($J198,'Data SCM'!$I$2:$I$698,0)))</f>
        <v>DUS SNACKBOX 14X12</v>
      </c>
      <c r="B198" s="3" t="str">
        <f>IFERROR(INDEX('Data SO'!$D$2:$D$1085,MATCH($J198,'Data SO'!$H$2:$H$1085,0)),K198)</f>
        <v>Pcs</v>
      </c>
      <c r="C198" s="9">
        <f>SUMIF('Data SO'!$H$2:$H$1085,$J198,'Data SO'!$F$2:$F$1085)</f>
        <v>600</v>
      </c>
      <c r="D198" s="9">
        <f>SUMIF('Data SCM'!$I$2:$I$698,$J198,'Data SCM'!$E$2:$E$698)*L198</f>
        <v>600</v>
      </c>
      <c r="E198" s="9">
        <f t="shared" si="9"/>
        <v>0</v>
      </c>
      <c r="F198" s="4">
        <f>SUMIF('Data SO'!$H$2:$H$1085,$J198,'Data SO'!$G$2:$G$1085)</f>
        <v>480000</v>
      </c>
      <c r="G198" s="4">
        <f>SUMIF('Data SCM'!$I$2:$I$698,$J198,'Data SCM'!$H$2:$H$698)</f>
        <v>480000</v>
      </c>
      <c r="H198" s="4">
        <f t="shared" si="10"/>
        <v>0</v>
      </c>
      <c r="I198" s="3" t="str">
        <f>IF(COUNTIF('Data SCM'!$I$2:$I$698,$J198)=0,"Hanya di SO",IF(COUNTIF('Data SO'!$H$2:$H$1085,$J198)=0,"Hanya di SCM",IF(AND(ABS(E198)&lt;0.01,ABS(H198)&lt;1),"Sama",IF(ABS(E198)&lt;0.01,"Selisih nominal",IF(ABS(H198)&lt;1,"Selisih qty","Selisih qty &amp; nominal")))))</f>
        <v>Sama</v>
      </c>
      <c r="J198" t="s">
        <v>222</v>
      </c>
      <c r="K198" t="str">
        <f>IFERROR(INDEX('Data SCM'!$D$2:$D$698,MATCH($J198,'Data SCM'!$I$2:$I$698,0)),"")</f>
        <v>PCS</v>
      </c>
      <c r="L198">
        <f t="shared" si="11"/>
        <v>1</v>
      </c>
    </row>
    <row r="199" spans="1:12" x14ac:dyDescent="0.25">
      <c r="A199" s="3" t="str">
        <f>IFERROR(INDEX('Data SO'!$C$2:$C$1085,MATCH($J199,'Data SO'!$H$2:$H$1085,0)),INDEX('Data SCM'!$B$2:$B$698,MATCH($J199,'Data SCM'!$I$2:$I$698,0)))</f>
        <v>Dishwash 5Liter</v>
      </c>
      <c r="B199" s="3" t="str">
        <f>IFERROR(INDEX('Data SO'!$D$2:$D$1085,MATCH($J199,'Data SO'!$H$2:$H$1085,0)),K199)</f>
        <v>liter</v>
      </c>
      <c r="C199" s="9">
        <f>SUMIF('Data SO'!$H$2:$H$1085,$J199,'Data SO'!$F$2:$F$1085)</f>
        <v>240</v>
      </c>
      <c r="D199" s="9">
        <f>SUMIF('Data SCM'!$I$2:$I$698,$J199,'Data SCM'!$E$2:$E$698)*L199</f>
        <v>240</v>
      </c>
      <c r="E199" s="9">
        <f t="shared" si="9"/>
        <v>0</v>
      </c>
      <c r="F199" s="4">
        <f>SUMIF('Data SO'!$H$2:$H$1085,$J199,'Data SO'!$G$2:$G$1085)</f>
        <v>2640000</v>
      </c>
      <c r="G199" s="4">
        <f>SUMIF('Data SCM'!$I$2:$I$698,$J199,'Data SCM'!$H$2:$H$698)</f>
        <v>2640000</v>
      </c>
      <c r="H199" s="4">
        <f t="shared" si="10"/>
        <v>0</v>
      </c>
      <c r="I199" s="3" t="str">
        <f>IF(COUNTIF('Data SCM'!$I$2:$I$698,$J199)=0,"Hanya di SO",IF(COUNTIF('Data SO'!$H$2:$H$1085,$J199)=0,"Hanya di SCM",IF(AND(ABS(E199)&lt;0.01,ABS(H199)&lt;1),"Sama",IF(ABS(E199)&lt;0.01,"Selisih nominal",IF(ABS(H199)&lt;1,"Selisih qty","Selisih qty &amp; nominal")))))</f>
        <v>Sama</v>
      </c>
      <c r="J199" t="s">
        <v>223</v>
      </c>
      <c r="K199" t="str">
        <f>IFERROR(INDEX('Data SCM'!$D$2:$D$698,MATCH($J199,'Data SCM'!$I$2:$I$698,0)),"")</f>
        <v>LTR</v>
      </c>
      <c r="L199">
        <f t="shared" si="11"/>
        <v>1</v>
      </c>
    </row>
    <row r="200" spans="1:12" x14ac:dyDescent="0.25">
      <c r="A200" s="3" t="str">
        <f>IFERROR(INDEX('Data SO'!$C$2:$C$1085,MATCH($J200,'Data SO'!$H$2:$H$1085,0)),INDEX('Data SCM'!$B$2:$B$698,MATCH($J200,'Data SCM'!$I$2:$I$698,0)))</f>
        <v>Dus 20X20 3 Varian</v>
      </c>
      <c r="B200" s="3" t="str">
        <f>IFERROR(INDEX('Data SO'!$D$2:$D$1085,MATCH($J200,'Data SO'!$H$2:$H$1085,0)),K200)</f>
        <v>Pcs</v>
      </c>
      <c r="C200" s="9">
        <f>SUMIF('Data SO'!$H$2:$H$1085,$J200,'Data SO'!$F$2:$F$1085)</f>
        <v>46250</v>
      </c>
      <c r="D200" s="9">
        <f>SUMIF('Data SCM'!$I$2:$I$698,$J200,'Data SCM'!$E$2:$E$698)*L200</f>
        <v>46250</v>
      </c>
      <c r="E200" s="9">
        <f t="shared" si="9"/>
        <v>0</v>
      </c>
      <c r="F200" s="4">
        <f>SUMIF('Data SO'!$H$2:$H$1085,$J200,'Data SO'!$G$2:$G$1085)</f>
        <v>82093750</v>
      </c>
      <c r="G200" s="4">
        <f>SUMIF('Data SCM'!$I$2:$I$698,$J200,'Data SCM'!$H$2:$H$698)</f>
        <v>82093750</v>
      </c>
      <c r="H200" s="4">
        <f t="shared" si="10"/>
        <v>0</v>
      </c>
      <c r="I200" s="3" t="str">
        <f>IF(COUNTIF('Data SCM'!$I$2:$I$698,$J200)=0,"Hanya di SO",IF(COUNTIF('Data SO'!$H$2:$H$1085,$J200)=0,"Hanya di SCM",IF(AND(ABS(E200)&lt;0.01,ABS(H200)&lt;1),"Sama",IF(ABS(E200)&lt;0.01,"Selisih nominal",IF(ABS(H200)&lt;1,"Selisih qty","Selisih qty &amp; nominal")))))</f>
        <v>Sama</v>
      </c>
      <c r="J200" t="s">
        <v>224</v>
      </c>
      <c r="K200" t="str">
        <f>IFERROR(INDEX('Data SCM'!$D$2:$D$698,MATCH($J200,'Data SCM'!$I$2:$I$698,0)),"")</f>
        <v>PCS</v>
      </c>
      <c r="L200">
        <f t="shared" si="11"/>
        <v>1</v>
      </c>
    </row>
    <row r="201" spans="1:12" x14ac:dyDescent="0.25">
      <c r="A201" s="3" t="str">
        <f>IFERROR(INDEX('Data SO'!$C$2:$C$1085,MATCH($J201,'Data SO'!$H$2:$H$1085,0)),INDEX('Data SCM'!$B$2:$B$698,MATCH($J201,'Data SCM'!$I$2:$I$698,0)))</f>
        <v>Dus 22X22 3 Varian</v>
      </c>
      <c r="B201" s="3" t="str">
        <f>IFERROR(INDEX('Data SO'!$D$2:$D$1085,MATCH($J201,'Data SO'!$H$2:$H$1085,0)),K201)</f>
        <v>Pcs</v>
      </c>
      <c r="C201" s="9">
        <f>SUMIF('Data SO'!$H$2:$H$1085,$J201,'Data SO'!$F$2:$F$1085)</f>
        <v>10750</v>
      </c>
      <c r="D201" s="9">
        <f>SUMIF('Data SCM'!$I$2:$I$698,$J201,'Data SCM'!$E$2:$E$698)*L201</f>
        <v>10750</v>
      </c>
      <c r="E201" s="9">
        <f t="shared" si="9"/>
        <v>0</v>
      </c>
      <c r="F201" s="4">
        <f>SUMIF('Data SO'!$H$2:$H$1085,$J201,'Data SO'!$G$2:$G$1085)</f>
        <v>23650000</v>
      </c>
      <c r="G201" s="4">
        <f>SUMIF('Data SCM'!$I$2:$I$698,$J201,'Data SCM'!$H$2:$H$698)</f>
        <v>23650000</v>
      </c>
      <c r="H201" s="4">
        <f t="shared" si="10"/>
        <v>0</v>
      </c>
      <c r="I201" s="3" t="str">
        <f>IF(COUNTIF('Data SCM'!$I$2:$I$698,$J201)=0,"Hanya di SO",IF(COUNTIF('Data SO'!$H$2:$H$1085,$J201)=0,"Hanya di SCM",IF(AND(ABS(E201)&lt;0.01,ABS(H201)&lt;1),"Sama",IF(ABS(E201)&lt;0.01,"Selisih nominal",IF(ABS(H201)&lt;1,"Selisih qty","Selisih qty &amp; nominal")))))</f>
        <v>Sama</v>
      </c>
      <c r="J201" t="s">
        <v>225</v>
      </c>
      <c r="K201" t="str">
        <f>IFERROR(INDEX('Data SCM'!$D$2:$D$698,MATCH($J201,'Data SCM'!$I$2:$I$698,0)),"")</f>
        <v>PCS</v>
      </c>
      <c r="L201">
        <f t="shared" si="11"/>
        <v>1</v>
      </c>
    </row>
    <row r="202" spans="1:12" x14ac:dyDescent="0.25">
      <c r="A202" s="3" t="str">
        <f>IFERROR(INDEX('Data SO'!$C$2:$C$1085,MATCH($J202,'Data SO'!$H$2:$H$1085,0)),INDEX('Data SCM'!$B$2:$B$698,MATCH($J202,'Data SCM'!$I$2:$I$698,0)))</f>
        <v>Dus Bollen All Varian</v>
      </c>
      <c r="B202" s="3" t="str">
        <f>IFERROR(INDEX('Data SO'!$D$2:$D$1085,MATCH($J202,'Data SO'!$H$2:$H$1085,0)),K202)</f>
        <v>Pcs</v>
      </c>
      <c r="C202" s="9">
        <f>SUMIF('Data SO'!$H$2:$H$1085,$J202,'Data SO'!$F$2:$F$1085)</f>
        <v>300</v>
      </c>
      <c r="D202" s="9">
        <f>SUMIF('Data SCM'!$I$2:$I$698,$J202,'Data SCM'!$E$2:$E$698)*L202</f>
        <v>300</v>
      </c>
      <c r="E202" s="9">
        <f t="shared" si="9"/>
        <v>0</v>
      </c>
      <c r="F202" s="4">
        <f>SUMIF('Data SO'!$H$2:$H$1085,$J202,'Data SO'!$G$2:$G$1085)</f>
        <v>555000</v>
      </c>
      <c r="G202" s="4">
        <f>SUMIF('Data SCM'!$I$2:$I$698,$J202,'Data SCM'!$H$2:$H$698)</f>
        <v>555000</v>
      </c>
      <c r="H202" s="4">
        <f t="shared" si="10"/>
        <v>0</v>
      </c>
      <c r="I202" s="3" t="str">
        <f>IF(COUNTIF('Data SCM'!$I$2:$I$698,$J202)=0,"Hanya di SO",IF(COUNTIF('Data SO'!$H$2:$H$1085,$J202)=0,"Hanya di SCM",IF(AND(ABS(E202)&lt;0.01,ABS(H202)&lt;1),"Sama",IF(ABS(E202)&lt;0.01,"Selisih nominal",IF(ABS(H202)&lt;1,"Selisih qty","Selisih qty &amp; nominal")))))</f>
        <v>Sama</v>
      </c>
      <c r="J202" t="s">
        <v>226</v>
      </c>
      <c r="K202" t="str">
        <f>IFERROR(INDEX('Data SCM'!$D$2:$D$698,MATCH($J202,'Data SCM'!$I$2:$I$698,0)),"")</f>
        <v>PCS</v>
      </c>
      <c r="L202">
        <f t="shared" si="11"/>
        <v>1</v>
      </c>
    </row>
    <row r="203" spans="1:12" x14ac:dyDescent="0.25">
      <c r="A203" s="3" t="str">
        <f>IFERROR(INDEX('Data SO'!$C$2:$C$1085,MATCH($J203,'Data SO'!$H$2:$H$1085,0)),INDEX('Data SCM'!$B$2:$B$698,MATCH($J203,'Data SCM'!$I$2:$I$698,0)))</f>
        <v>Dus Bolu Pandan</v>
      </c>
      <c r="B203" s="3" t="str">
        <f>IFERROR(INDEX('Data SO'!$D$2:$D$1085,MATCH($J203,'Data SO'!$H$2:$H$1085,0)),K203)</f>
        <v>Pcs</v>
      </c>
      <c r="C203" s="9">
        <f>SUMIF('Data SO'!$H$2:$H$1085,$J203,'Data SO'!$F$2:$F$1085)</f>
        <v>6000</v>
      </c>
      <c r="D203" s="9">
        <f>SUMIF('Data SCM'!$I$2:$I$698,$J203,'Data SCM'!$E$2:$E$698)*L203</f>
        <v>6000</v>
      </c>
      <c r="E203" s="9">
        <f t="shared" si="9"/>
        <v>0</v>
      </c>
      <c r="F203" s="4">
        <f>SUMIF('Data SO'!$H$2:$H$1085,$J203,'Data SO'!$G$2:$G$1085)</f>
        <v>10650000</v>
      </c>
      <c r="G203" s="4">
        <f>SUMIF('Data SCM'!$I$2:$I$698,$J203,'Data SCM'!$H$2:$H$698)</f>
        <v>10650000</v>
      </c>
      <c r="H203" s="4">
        <f t="shared" si="10"/>
        <v>0</v>
      </c>
      <c r="I203" s="3" t="str">
        <f>IF(COUNTIF('Data SCM'!$I$2:$I$698,$J203)=0,"Hanya di SO",IF(COUNTIF('Data SO'!$H$2:$H$1085,$J203)=0,"Hanya di SCM",IF(AND(ABS(E203)&lt;0.01,ABS(H203)&lt;1),"Sama",IF(ABS(E203)&lt;0.01,"Selisih nominal",IF(ABS(H203)&lt;1,"Selisih qty","Selisih qty &amp; nominal")))))</f>
        <v>Sama</v>
      </c>
      <c r="J203" t="s">
        <v>227</v>
      </c>
      <c r="K203" t="str">
        <f>IFERROR(INDEX('Data SCM'!$D$2:$D$698,MATCH($J203,'Data SCM'!$I$2:$I$698,0)),"")</f>
        <v>PCS</v>
      </c>
      <c r="L203">
        <f t="shared" si="11"/>
        <v>1</v>
      </c>
    </row>
    <row r="204" spans="1:12" x14ac:dyDescent="0.25">
      <c r="A204" s="3" t="str">
        <f>IFERROR(INDEX('Data SO'!$C$2:$C$1085,MATCH($J204,'Data SO'!$H$2:$H$1085,0)),INDEX('Data SCM'!$B$2:$B$698,MATCH($J204,'Data SCM'!$I$2:$I$698,0)))</f>
        <v>Dus Bolu Pisang Original Baru</v>
      </c>
      <c r="B204" s="3" t="str">
        <f>IFERROR(INDEX('Data SO'!$D$2:$D$1085,MATCH($J204,'Data SO'!$H$2:$H$1085,0)),K204)</f>
        <v>Pcs</v>
      </c>
      <c r="C204" s="9">
        <f>SUMIF('Data SO'!$H$2:$H$1085,$J204,'Data SO'!$F$2:$F$1085)</f>
        <v>4900</v>
      </c>
      <c r="D204" s="9">
        <f>SUMIF('Data SCM'!$I$2:$I$698,$J204,'Data SCM'!$E$2:$E$698)*L204</f>
        <v>4900</v>
      </c>
      <c r="E204" s="9">
        <f t="shared" si="9"/>
        <v>0</v>
      </c>
      <c r="F204" s="4">
        <f>SUMIF('Data SO'!$H$2:$H$1085,$J204,'Data SO'!$G$2:$G$1085)</f>
        <v>8697500</v>
      </c>
      <c r="G204" s="4">
        <f>SUMIF('Data SCM'!$I$2:$I$698,$J204,'Data SCM'!$H$2:$H$698)</f>
        <v>8697500</v>
      </c>
      <c r="H204" s="4">
        <f t="shared" si="10"/>
        <v>0</v>
      </c>
      <c r="I204" s="3" t="str">
        <f>IF(COUNTIF('Data SCM'!$I$2:$I$698,$J204)=0,"Hanya di SO",IF(COUNTIF('Data SO'!$H$2:$H$1085,$J204)=0,"Hanya di SCM",IF(AND(ABS(E204)&lt;0.01,ABS(H204)&lt;1),"Sama",IF(ABS(E204)&lt;0.01,"Selisih nominal",IF(ABS(H204)&lt;1,"Selisih qty","Selisih qty &amp; nominal")))))</f>
        <v>Sama</v>
      </c>
      <c r="J204" t="s">
        <v>228</v>
      </c>
      <c r="K204" t="str">
        <f>IFERROR(INDEX('Data SCM'!$D$2:$D$698,MATCH($J204,'Data SCM'!$I$2:$I$698,0)),"")</f>
        <v>PCS</v>
      </c>
      <c r="L204">
        <f t="shared" si="11"/>
        <v>1</v>
      </c>
    </row>
    <row r="205" spans="1:12" x14ac:dyDescent="0.25">
      <c r="A205" s="3" t="str">
        <f>IFERROR(INDEX('Data SO'!$C$2:$C$1085,MATCH($J205,'Data SO'!$H$2:$H$1085,0)),INDEX('Data SCM'!$B$2:$B$698,MATCH($J205,'Data SCM'!$I$2:$I$698,0)))</f>
        <v>Dus Bolu Pisang Special (General)</v>
      </c>
      <c r="B205" s="3" t="str">
        <f>IFERROR(INDEX('Data SO'!$D$2:$D$1085,MATCH($J205,'Data SO'!$H$2:$H$1085,0)),K205)</f>
        <v>pcs</v>
      </c>
      <c r="C205" s="9">
        <f>SUMIF('Data SO'!$H$2:$H$1085,$J205,'Data SO'!$F$2:$F$1085)</f>
        <v>3300</v>
      </c>
      <c r="D205" s="9">
        <f>SUMIF('Data SCM'!$I$2:$I$698,$J205,'Data SCM'!$E$2:$E$698)*L205</f>
        <v>3300</v>
      </c>
      <c r="E205" s="9">
        <f t="shared" si="9"/>
        <v>0</v>
      </c>
      <c r="F205" s="4">
        <f>SUMIF('Data SO'!$H$2:$H$1085,$J205,'Data SO'!$G$2:$G$1085)</f>
        <v>6105000</v>
      </c>
      <c r="G205" s="4">
        <f>SUMIF('Data SCM'!$I$2:$I$698,$J205,'Data SCM'!$H$2:$H$698)</f>
        <v>6105000</v>
      </c>
      <c r="H205" s="4">
        <f t="shared" si="10"/>
        <v>0</v>
      </c>
      <c r="I205" s="3" t="str">
        <f>IF(COUNTIF('Data SCM'!$I$2:$I$698,$J205)=0,"Hanya di SO",IF(COUNTIF('Data SO'!$H$2:$H$1085,$J205)=0,"Hanya di SCM",IF(AND(ABS(E205)&lt;0.01,ABS(H205)&lt;1),"Sama",IF(ABS(E205)&lt;0.01,"Selisih nominal",IF(ABS(H205)&lt;1,"Selisih qty","Selisih qty &amp; nominal")))))</f>
        <v>Sama</v>
      </c>
      <c r="J205" t="s">
        <v>229</v>
      </c>
      <c r="K205" t="str">
        <f>IFERROR(INDEX('Data SCM'!$D$2:$D$698,MATCH($J205,'Data SCM'!$I$2:$I$698,0)),"")</f>
        <v>PCS</v>
      </c>
      <c r="L205">
        <f t="shared" si="11"/>
        <v>1</v>
      </c>
    </row>
    <row r="206" spans="1:12" x14ac:dyDescent="0.25">
      <c r="A206" s="3" t="str">
        <f>IFERROR(INDEX('Data SO'!$C$2:$C$1085,MATCH($J206,'Data SO'!$H$2:$H$1085,0)),INDEX('Data SCM'!$B$2:$B$698,MATCH($J206,'Data SCM'!$I$2:$I$698,0)))</f>
        <v>Dus Brownies Kukus</v>
      </c>
      <c r="B206" s="3" t="str">
        <f>IFERROR(INDEX('Data SO'!$D$2:$D$1085,MATCH($J206,'Data SO'!$H$2:$H$1085,0)),K206)</f>
        <v>Pcs</v>
      </c>
      <c r="C206" s="9">
        <f>SUMIF('Data SO'!$H$2:$H$1085,$J206,'Data SO'!$F$2:$F$1085)</f>
        <v>6450</v>
      </c>
      <c r="D206" s="9">
        <f>SUMIF('Data SCM'!$I$2:$I$698,$J206,'Data SCM'!$E$2:$E$698)*L206</f>
        <v>6450</v>
      </c>
      <c r="E206" s="9">
        <f t="shared" si="9"/>
        <v>0</v>
      </c>
      <c r="F206" s="4">
        <f>SUMIF('Data SO'!$H$2:$H$1085,$J206,'Data SO'!$G$2:$G$1085)</f>
        <v>10481250</v>
      </c>
      <c r="G206" s="4">
        <f>SUMIF('Data SCM'!$I$2:$I$698,$J206,'Data SCM'!$H$2:$H$698)</f>
        <v>10481250</v>
      </c>
      <c r="H206" s="4">
        <f t="shared" si="10"/>
        <v>0</v>
      </c>
      <c r="I206" s="3" t="str">
        <f>IF(COUNTIF('Data SCM'!$I$2:$I$698,$J206)=0,"Hanya di SO",IF(COUNTIF('Data SO'!$H$2:$H$1085,$J206)=0,"Hanya di SCM",IF(AND(ABS(E206)&lt;0.01,ABS(H206)&lt;1),"Sama",IF(ABS(E206)&lt;0.01,"Selisih nominal",IF(ABS(H206)&lt;1,"Selisih qty","Selisih qty &amp; nominal")))))</f>
        <v>Sama</v>
      </c>
      <c r="J206" t="s">
        <v>230</v>
      </c>
      <c r="K206" t="str">
        <f>IFERROR(INDEX('Data SCM'!$D$2:$D$698,MATCH($J206,'Data SCM'!$I$2:$I$698,0)),"")</f>
        <v>PCS</v>
      </c>
      <c r="L206">
        <f t="shared" si="11"/>
        <v>1</v>
      </c>
    </row>
    <row r="207" spans="1:12" x14ac:dyDescent="0.25">
      <c r="A207" s="3" t="str">
        <f>IFERROR(INDEX('Data SO'!$C$2:$C$1085,MATCH($J207,'Data SO'!$H$2:$H$1085,0)),INDEX('Data SCM'!$B$2:$B$698,MATCH($J207,'Data SCM'!$I$2:$I$698,0)))</f>
        <v>Dus Brownies Talas</v>
      </c>
      <c r="B207" s="3" t="str">
        <f>IFERROR(INDEX('Data SO'!$D$2:$D$1085,MATCH($J207,'Data SO'!$H$2:$H$1085,0)),K207)</f>
        <v>Pcs</v>
      </c>
      <c r="C207" s="9">
        <f>SUMIF('Data SO'!$H$2:$H$1085,$J207,'Data SO'!$F$2:$F$1085)</f>
        <v>6925</v>
      </c>
      <c r="D207" s="9">
        <f>SUMIF('Data SCM'!$I$2:$I$698,$J207,'Data SCM'!$E$2:$E$698)*L207</f>
        <v>6925</v>
      </c>
      <c r="E207" s="9">
        <f t="shared" si="9"/>
        <v>0</v>
      </c>
      <c r="F207" s="4">
        <f>SUMIF('Data SO'!$H$2:$H$1085,$J207,'Data SO'!$G$2:$G$1085)</f>
        <v>11253125</v>
      </c>
      <c r="G207" s="4">
        <f>SUMIF('Data SCM'!$I$2:$I$698,$J207,'Data SCM'!$H$2:$H$698)</f>
        <v>11253125</v>
      </c>
      <c r="H207" s="4">
        <f t="shared" si="10"/>
        <v>0</v>
      </c>
      <c r="I207" s="3" t="str">
        <f>IF(COUNTIF('Data SCM'!$I$2:$I$698,$J207)=0,"Hanya di SO",IF(COUNTIF('Data SO'!$H$2:$H$1085,$J207)=0,"Hanya di SCM",IF(AND(ABS(E207)&lt;0.01,ABS(H207)&lt;1),"Sama",IF(ABS(E207)&lt;0.01,"Selisih nominal",IF(ABS(H207)&lt;1,"Selisih qty","Selisih qty &amp; nominal")))))</f>
        <v>Sama</v>
      </c>
      <c r="J207" t="s">
        <v>231</v>
      </c>
      <c r="K207" t="str">
        <f>IFERROR(INDEX('Data SCM'!$D$2:$D$698,MATCH($J207,'Data SCM'!$I$2:$I$698,0)),"")</f>
        <v>PCS</v>
      </c>
      <c r="L207">
        <f t="shared" si="11"/>
        <v>1</v>
      </c>
    </row>
    <row r="208" spans="1:12" x14ac:dyDescent="0.25">
      <c r="A208" s="3" t="str">
        <f>IFERROR(INDEX('Data SO'!$C$2:$C$1085,MATCH($J208,'Data SO'!$H$2:$H$1085,0)),INDEX('Data SCM'!$B$2:$B$698,MATCH($J208,'Data SCM'!$I$2:$I$698,0)))</f>
        <v>Dus Donat Vol. 4 Laminasi</v>
      </c>
      <c r="B208" s="3" t="str">
        <f>IFERROR(INDEX('Data SO'!$D$2:$D$1085,MATCH($J208,'Data SO'!$H$2:$H$1085,0)),K208)</f>
        <v>pcs</v>
      </c>
      <c r="C208" s="9">
        <f>SUMIF('Data SO'!$H$2:$H$1085,$J208,'Data SO'!$F$2:$F$1085)</f>
        <v>6400</v>
      </c>
      <c r="D208" s="9">
        <f>SUMIF('Data SCM'!$I$2:$I$698,$J208,'Data SCM'!$E$2:$E$698)*L208</f>
        <v>6400</v>
      </c>
      <c r="E208" s="9">
        <f t="shared" si="9"/>
        <v>0</v>
      </c>
      <c r="F208" s="4">
        <f>SUMIF('Data SO'!$H$2:$H$1085,$J208,'Data SO'!$G$2:$G$1085)</f>
        <v>16000000</v>
      </c>
      <c r="G208" s="4">
        <f>SUMIF('Data SCM'!$I$2:$I$698,$J208,'Data SCM'!$H$2:$H$698)</f>
        <v>16000000</v>
      </c>
      <c r="H208" s="4">
        <f t="shared" si="10"/>
        <v>0</v>
      </c>
      <c r="I208" s="3" t="str">
        <f>IF(COUNTIF('Data SCM'!$I$2:$I$698,$J208)=0,"Hanya di SO",IF(COUNTIF('Data SO'!$H$2:$H$1085,$J208)=0,"Hanya di SCM",IF(AND(ABS(E208)&lt;0.01,ABS(H208)&lt;1),"Sama",IF(ABS(E208)&lt;0.01,"Selisih nominal",IF(ABS(H208)&lt;1,"Selisih qty","Selisih qty &amp; nominal")))))</f>
        <v>Sama</v>
      </c>
      <c r="J208" t="s">
        <v>232</v>
      </c>
      <c r="K208" t="str">
        <f>IFERROR(INDEX('Data SCM'!$D$2:$D$698,MATCH($J208,'Data SCM'!$I$2:$I$698,0)),"")</f>
        <v>PCS</v>
      </c>
      <c r="L208">
        <f t="shared" si="11"/>
        <v>1</v>
      </c>
    </row>
    <row r="209" spans="1:12" x14ac:dyDescent="0.25">
      <c r="A209" s="3" t="str">
        <f>IFERROR(INDEX('Data SO'!$C$2:$C$1085,MATCH($J209,'Data SO'!$H$2:$H$1085,0)),INDEX('Data SCM'!$B$2:$B$698,MATCH($J209,'Data SCM'!$I$2:$I$698,0)))</f>
        <v>Dus Lapis Coco Pandan</v>
      </c>
      <c r="B209" s="3" t="str">
        <f>IFERROR(INDEX('Data SO'!$D$2:$D$1085,MATCH($J209,'Data SO'!$H$2:$H$1085,0)),K209)</f>
        <v>Pcs</v>
      </c>
      <c r="C209" s="9">
        <f>SUMIF('Data SO'!$H$2:$H$1085,$J209,'Data SO'!$F$2:$F$1085)</f>
        <v>4908</v>
      </c>
      <c r="D209" s="9">
        <f>SUMIF('Data SCM'!$I$2:$I$698,$J209,'Data SCM'!$E$2:$E$698)*L209</f>
        <v>4908</v>
      </c>
      <c r="E209" s="9">
        <f t="shared" si="9"/>
        <v>0</v>
      </c>
      <c r="F209" s="4">
        <f>SUMIF('Data SO'!$H$2:$H$1085,$J209,'Data SO'!$G$2:$G$1085)</f>
        <v>9079800</v>
      </c>
      <c r="G209" s="4">
        <f>SUMIF('Data SCM'!$I$2:$I$698,$J209,'Data SCM'!$H$2:$H$698)</f>
        <v>9079800</v>
      </c>
      <c r="H209" s="4">
        <f t="shared" si="10"/>
        <v>0</v>
      </c>
      <c r="I209" s="3" t="str">
        <f>IF(COUNTIF('Data SCM'!$I$2:$I$698,$J209)=0,"Hanya di SO",IF(COUNTIF('Data SO'!$H$2:$H$1085,$J209)=0,"Hanya di SCM",IF(AND(ABS(E209)&lt;0.01,ABS(H209)&lt;1),"Sama",IF(ABS(E209)&lt;0.01,"Selisih nominal",IF(ABS(H209)&lt;1,"Selisih qty","Selisih qty &amp; nominal")))))</f>
        <v>Sama</v>
      </c>
      <c r="J209" t="s">
        <v>233</v>
      </c>
      <c r="K209" t="str">
        <f>IFERROR(INDEX('Data SCM'!$D$2:$D$698,MATCH($J209,'Data SCM'!$I$2:$I$698,0)),"")</f>
        <v>PCS</v>
      </c>
      <c r="L209">
        <f t="shared" si="11"/>
        <v>1</v>
      </c>
    </row>
    <row r="210" spans="1:12" x14ac:dyDescent="0.25">
      <c r="A210" s="3" t="str">
        <f>IFERROR(INDEX('Data SO'!$C$2:$C$1085,MATCH($J210,'Data SO'!$H$2:$H$1085,0)),INDEX('Data SCM'!$B$2:$B$698,MATCH($J210,'Data SCM'!$I$2:$I$698,0)))</f>
        <v>Dus Lapis Full Talas</v>
      </c>
      <c r="B210" s="3" t="str">
        <f>IFERROR(INDEX('Data SO'!$D$2:$D$1085,MATCH($J210,'Data SO'!$H$2:$H$1085,0)),K210)</f>
        <v>Pcs</v>
      </c>
      <c r="C210" s="9">
        <f>SUMIF('Data SO'!$H$2:$H$1085,$J210,'Data SO'!$F$2:$F$1085)</f>
        <v>20425</v>
      </c>
      <c r="D210" s="9">
        <f>SUMIF('Data SCM'!$I$2:$I$698,$J210,'Data SCM'!$E$2:$E$698)*L210</f>
        <v>20425</v>
      </c>
      <c r="E210" s="9">
        <f t="shared" si="9"/>
        <v>0</v>
      </c>
      <c r="F210" s="4">
        <f>SUMIF('Data SO'!$H$2:$H$1085,$J210,'Data SO'!$G$2:$G$1085)</f>
        <v>37786250</v>
      </c>
      <c r="G210" s="4">
        <f>SUMIF('Data SCM'!$I$2:$I$698,$J210,'Data SCM'!$H$2:$H$698)</f>
        <v>37786250</v>
      </c>
      <c r="H210" s="4">
        <f t="shared" si="10"/>
        <v>0</v>
      </c>
      <c r="I210" s="3" t="str">
        <f>IF(COUNTIF('Data SCM'!$I$2:$I$698,$J210)=0,"Hanya di SO",IF(COUNTIF('Data SO'!$H$2:$H$1085,$J210)=0,"Hanya di SCM",IF(AND(ABS(E210)&lt;0.01,ABS(H210)&lt;1),"Sama",IF(ABS(E210)&lt;0.01,"Selisih nominal",IF(ABS(H210)&lt;1,"Selisih qty","Selisih qty &amp; nominal")))))</f>
        <v>Sama</v>
      </c>
      <c r="J210" t="s">
        <v>234</v>
      </c>
      <c r="K210" t="str">
        <f>IFERROR(INDEX('Data SCM'!$D$2:$D$698,MATCH($J210,'Data SCM'!$I$2:$I$698,0)),"")</f>
        <v>PCS</v>
      </c>
      <c r="L210">
        <f t="shared" si="11"/>
        <v>1</v>
      </c>
    </row>
    <row r="211" spans="1:12" x14ac:dyDescent="0.25">
      <c r="A211" s="3" t="str">
        <f>IFERROR(INDEX('Data SO'!$C$2:$C$1085,MATCH($J211,'Data SO'!$H$2:$H$1085,0)),INDEX('Data SCM'!$B$2:$B$698,MATCH($J211,'Data SCM'!$I$2:$I$698,0)))</f>
        <v>Dus Lapis Greentea</v>
      </c>
      <c r="B211" s="3" t="str">
        <f>IFERROR(INDEX('Data SO'!$D$2:$D$1085,MATCH($J211,'Data SO'!$H$2:$H$1085,0)),K211)</f>
        <v>Pcs</v>
      </c>
      <c r="C211" s="9">
        <f>SUMIF('Data SO'!$H$2:$H$1085,$J211,'Data SO'!$F$2:$F$1085)</f>
        <v>1750</v>
      </c>
      <c r="D211" s="9">
        <f>SUMIF('Data SCM'!$I$2:$I$698,$J211,'Data SCM'!$E$2:$E$698)*L211</f>
        <v>1750</v>
      </c>
      <c r="E211" s="9">
        <f t="shared" si="9"/>
        <v>0</v>
      </c>
      <c r="F211" s="4">
        <f>SUMIF('Data SO'!$H$2:$H$1085,$J211,'Data SO'!$G$2:$G$1085)</f>
        <v>3237500</v>
      </c>
      <c r="G211" s="4">
        <f>SUMIF('Data SCM'!$I$2:$I$698,$J211,'Data SCM'!$H$2:$H$698)</f>
        <v>3237500</v>
      </c>
      <c r="H211" s="4">
        <f t="shared" si="10"/>
        <v>0</v>
      </c>
      <c r="I211" s="3" t="str">
        <f>IF(COUNTIF('Data SCM'!$I$2:$I$698,$J211)=0,"Hanya di SO",IF(COUNTIF('Data SO'!$H$2:$H$1085,$J211)=0,"Hanya di SCM",IF(AND(ABS(E211)&lt;0.01,ABS(H211)&lt;1),"Sama",IF(ABS(E211)&lt;0.01,"Selisih nominal",IF(ABS(H211)&lt;1,"Selisih qty","Selisih qty &amp; nominal")))))</f>
        <v>Sama</v>
      </c>
      <c r="J211" t="s">
        <v>235</v>
      </c>
      <c r="K211" t="str">
        <f>IFERROR(INDEX('Data SCM'!$D$2:$D$698,MATCH($J211,'Data SCM'!$I$2:$I$698,0)),"")</f>
        <v>PCS</v>
      </c>
      <c r="L211">
        <f t="shared" si="11"/>
        <v>1</v>
      </c>
    </row>
    <row r="212" spans="1:12" x14ac:dyDescent="0.25">
      <c r="A212" s="3" t="str">
        <f>IFERROR(INDEX('Data SO'!$C$2:$C$1085,MATCH($J212,'Data SO'!$H$2:$H$1085,0)),INDEX('Data SCM'!$B$2:$B$698,MATCH($J212,'Data SCM'!$I$2:$I$698,0)))</f>
        <v>Dus Lapis Talas Original</v>
      </c>
      <c r="B212" s="3" t="str">
        <f>IFERROR(INDEX('Data SO'!$D$2:$D$1085,MATCH($J212,'Data SO'!$H$2:$H$1085,0)),K212)</f>
        <v>Pcs</v>
      </c>
      <c r="C212" s="9">
        <f>SUMIF('Data SO'!$H$2:$H$1085,$J212,'Data SO'!$F$2:$F$1085)</f>
        <v>8750</v>
      </c>
      <c r="D212" s="9">
        <f>SUMIF('Data SCM'!$I$2:$I$698,$J212,'Data SCM'!$E$2:$E$698)*L212</f>
        <v>8750</v>
      </c>
      <c r="E212" s="9">
        <f t="shared" si="9"/>
        <v>0</v>
      </c>
      <c r="F212" s="4">
        <f>SUMIF('Data SO'!$H$2:$H$1085,$J212,'Data SO'!$G$2:$G$1085)</f>
        <v>16187500</v>
      </c>
      <c r="G212" s="4">
        <f>SUMIF('Data SCM'!$I$2:$I$698,$J212,'Data SCM'!$H$2:$H$698)</f>
        <v>16187500</v>
      </c>
      <c r="H212" s="4">
        <f t="shared" si="10"/>
        <v>0</v>
      </c>
      <c r="I212" s="3" t="str">
        <f>IF(COUNTIF('Data SCM'!$I$2:$I$698,$J212)=0,"Hanya di SO",IF(COUNTIF('Data SO'!$H$2:$H$1085,$J212)=0,"Hanya di SCM",IF(AND(ABS(E212)&lt;0.01,ABS(H212)&lt;1),"Sama",IF(ABS(E212)&lt;0.01,"Selisih nominal",IF(ABS(H212)&lt;1,"Selisih qty","Selisih qty &amp; nominal")))))</f>
        <v>Sama</v>
      </c>
      <c r="J212" t="s">
        <v>236</v>
      </c>
      <c r="K212" t="str">
        <f>IFERROR(INDEX('Data SCM'!$D$2:$D$698,MATCH($J212,'Data SCM'!$I$2:$I$698,0)),"")</f>
        <v>PCS</v>
      </c>
      <c r="L212">
        <f t="shared" si="11"/>
        <v>1</v>
      </c>
    </row>
    <row r="213" spans="1:12" x14ac:dyDescent="0.25">
      <c r="A213" s="3" t="str">
        <f>IFERROR(INDEX('Data SO'!$C$2:$C$1085,MATCH($J213,'Data SO'!$H$2:$H$1085,0)),INDEX('Data SCM'!$B$2:$B$698,MATCH($J213,'Data SCM'!$I$2:$I$698,0)))</f>
        <v>Dus Roll Cake</v>
      </c>
      <c r="B213" s="3" t="str">
        <f>IFERROR(INDEX('Data SO'!$D$2:$D$1085,MATCH($J213,'Data SO'!$H$2:$H$1085,0)),K213)</f>
        <v>pcs</v>
      </c>
      <c r="C213" s="9">
        <f>SUMIF('Data SO'!$H$2:$H$1085,$J213,'Data SO'!$F$2:$F$1085)</f>
        <v>21800</v>
      </c>
      <c r="D213" s="9">
        <f>SUMIF('Data SCM'!$I$2:$I$698,$J213,'Data SCM'!$E$2:$E$698)*L213</f>
        <v>21800</v>
      </c>
      <c r="E213" s="9">
        <f t="shared" si="9"/>
        <v>0</v>
      </c>
      <c r="F213" s="4">
        <f>SUMIF('Data SO'!$H$2:$H$1085,$J213,'Data SO'!$G$2:$G$1085)</f>
        <v>66490000</v>
      </c>
      <c r="G213" s="4">
        <f>SUMIF('Data SCM'!$I$2:$I$698,$J213,'Data SCM'!$H$2:$H$698)</f>
        <v>66490000</v>
      </c>
      <c r="H213" s="4">
        <f t="shared" si="10"/>
        <v>0</v>
      </c>
      <c r="I213" s="3" t="str">
        <f>IF(COUNTIF('Data SCM'!$I$2:$I$698,$J213)=0,"Hanya di SO",IF(COUNTIF('Data SO'!$H$2:$H$1085,$J213)=0,"Hanya di SCM",IF(AND(ABS(E213)&lt;0.01,ABS(H213)&lt;1),"Sama",IF(ABS(E213)&lt;0.01,"Selisih nominal",IF(ABS(H213)&lt;1,"Selisih qty","Selisih qty &amp; nominal")))))</f>
        <v>Sama</v>
      </c>
      <c r="J213" t="s">
        <v>237</v>
      </c>
      <c r="K213" t="str">
        <f>IFERROR(INDEX('Data SCM'!$D$2:$D$698,MATCH($J213,'Data SCM'!$I$2:$I$698,0)),"")</f>
        <v>PCS</v>
      </c>
      <c r="L213">
        <f t="shared" si="11"/>
        <v>1</v>
      </c>
    </row>
    <row r="214" spans="1:12" x14ac:dyDescent="0.25">
      <c r="A214" s="3" t="str">
        <f>IFERROR(INDEX('Data SO'!$C$2:$C$1085,MATCH($J214,'Data SO'!$H$2:$H$1085,0)),INDEX('Data SCM'!$B$2:$B$698,MATCH($J214,'Data SCM'!$I$2:$I$698,0)))</f>
        <v>Dus Slice Cake 11X13X12</v>
      </c>
      <c r="B214" s="3" t="str">
        <f>IFERROR(INDEX('Data SO'!$D$2:$D$1085,MATCH($J214,'Data SO'!$H$2:$H$1085,0)),K214)</f>
        <v>Pcs</v>
      </c>
      <c r="C214" s="9">
        <f>SUMIF('Data SO'!$H$2:$H$1085,$J214,'Data SO'!$F$2:$F$1085)</f>
        <v>9850</v>
      </c>
      <c r="D214" s="9">
        <f>SUMIF('Data SCM'!$I$2:$I$698,$J214,'Data SCM'!$E$2:$E$698)*L214</f>
        <v>9850</v>
      </c>
      <c r="E214" s="9">
        <f t="shared" si="9"/>
        <v>0</v>
      </c>
      <c r="F214" s="4">
        <f>SUMIF('Data SO'!$H$2:$H$1085,$J214,'Data SO'!$G$2:$G$1085)</f>
        <v>14775000</v>
      </c>
      <c r="G214" s="4">
        <f>SUMIF('Data SCM'!$I$2:$I$698,$J214,'Data SCM'!$H$2:$H$698)</f>
        <v>14775000</v>
      </c>
      <c r="H214" s="4">
        <f t="shared" si="10"/>
        <v>0</v>
      </c>
      <c r="I214" s="3" t="str">
        <f>IF(COUNTIF('Data SCM'!$I$2:$I$698,$J214)=0,"Hanya di SO",IF(COUNTIF('Data SO'!$H$2:$H$1085,$J214)=0,"Hanya di SCM",IF(AND(ABS(E214)&lt;0.01,ABS(H214)&lt;1),"Sama",IF(ABS(E214)&lt;0.01,"Selisih nominal",IF(ABS(H214)&lt;1,"Selisih qty","Selisih qty &amp; nominal")))))</f>
        <v>Sama</v>
      </c>
      <c r="J214" t="s">
        <v>238</v>
      </c>
      <c r="K214" t="str">
        <f>IFERROR(INDEX('Data SCM'!$D$2:$D$698,MATCH($J214,'Data SCM'!$I$2:$I$698,0)),"")</f>
        <v>PCS</v>
      </c>
      <c r="L214">
        <f t="shared" si="11"/>
        <v>1</v>
      </c>
    </row>
    <row r="215" spans="1:12" x14ac:dyDescent="0.25">
      <c r="A215" s="3" t="str">
        <f>IFERROR(INDEX('Data SO'!$C$2:$C$1085,MATCH($J215,'Data SO'!$H$2:$H$1085,0)),INDEX('Data SCM'!$B$2:$B$698,MATCH($J215,'Data SCM'!$I$2:$I$698,0)))</f>
        <v>Dus Snackbox 14X14</v>
      </c>
      <c r="B215" s="3" t="str">
        <f>IFERROR(INDEX('Data SO'!$D$2:$D$1085,MATCH($J215,'Data SO'!$H$2:$H$1085,0)),K215)</f>
        <v>Pcs</v>
      </c>
      <c r="C215" s="9">
        <f>SUMIF('Data SO'!$H$2:$H$1085,$J215,'Data SO'!$F$2:$F$1085)</f>
        <v>16650</v>
      </c>
      <c r="D215" s="9">
        <f>SUMIF('Data SCM'!$I$2:$I$698,$J215,'Data SCM'!$E$2:$E$698)*L215</f>
        <v>16650</v>
      </c>
      <c r="E215" s="9">
        <f t="shared" si="9"/>
        <v>0</v>
      </c>
      <c r="F215" s="4">
        <f>SUMIF('Data SO'!$H$2:$H$1085,$J215,'Data SO'!$G$2:$G$1085)</f>
        <v>19980000</v>
      </c>
      <c r="G215" s="4">
        <f>SUMIF('Data SCM'!$I$2:$I$698,$J215,'Data SCM'!$H$2:$H$698)</f>
        <v>19980000</v>
      </c>
      <c r="H215" s="4">
        <f t="shared" si="10"/>
        <v>0</v>
      </c>
      <c r="I215" s="3" t="str">
        <f>IF(COUNTIF('Data SCM'!$I$2:$I$698,$J215)=0,"Hanya di SO",IF(COUNTIF('Data SO'!$H$2:$H$1085,$J215)=0,"Hanya di SCM",IF(AND(ABS(E215)&lt;0.01,ABS(H215)&lt;1),"Sama",IF(ABS(E215)&lt;0.01,"Selisih nominal",IF(ABS(H215)&lt;1,"Selisih qty","Selisih qty &amp; nominal")))))</f>
        <v>Sama</v>
      </c>
      <c r="J215" t="s">
        <v>239</v>
      </c>
      <c r="K215" t="str">
        <f>IFERROR(INDEX('Data SCM'!$D$2:$D$698,MATCH($J215,'Data SCM'!$I$2:$I$698,0)),"")</f>
        <v>PCS</v>
      </c>
      <c r="L215">
        <f t="shared" si="11"/>
        <v>1</v>
      </c>
    </row>
    <row r="216" spans="1:12" x14ac:dyDescent="0.25">
      <c r="A216" s="3" t="str">
        <f>IFERROR(INDEX('Data SO'!$C$2:$C$1085,MATCH($J216,'Data SO'!$H$2:$H$1085,0)),INDEX('Data SCM'!$B$2:$B$698,MATCH($J216,'Data SCM'!$I$2:$I$698,0)))</f>
        <v>Dus Snackbox 16X16</v>
      </c>
      <c r="B216" s="3" t="str">
        <f>IFERROR(INDEX('Data SO'!$D$2:$D$1085,MATCH($J216,'Data SO'!$H$2:$H$1085,0)),K216)</f>
        <v>Pcs</v>
      </c>
      <c r="C216" s="9">
        <f>SUMIF('Data SO'!$H$2:$H$1085,$J216,'Data SO'!$F$2:$F$1085)</f>
        <v>1500</v>
      </c>
      <c r="D216" s="9">
        <f>SUMIF('Data SCM'!$I$2:$I$698,$J216,'Data SCM'!$E$2:$E$698)*L216</f>
        <v>1500</v>
      </c>
      <c r="E216" s="9">
        <f t="shared" si="9"/>
        <v>0</v>
      </c>
      <c r="F216" s="4">
        <f>SUMIF('Data SO'!$H$2:$H$1085,$J216,'Data SO'!$G$2:$G$1085)</f>
        <v>1800000</v>
      </c>
      <c r="G216" s="4">
        <f>SUMIF('Data SCM'!$I$2:$I$698,$J216,'Data SCM'!$H$2:$H$698)</f>
        <v>1800000</v>
      </c>
      <c r="H216" s="4">
        <f t="shared" si="10"/>
        <v>0</v>
      </c>
      <c r="I216" s="3" t="str">
        <f>IF(COUNTIF('Data SCM'!$I$2:$I$698,$J216)=0,"Hanya di SO",IF(COUNTIF('Data SO'!$H$2:$H$1085,$J216)=0,"Hanya di SCM",IF(AND(ABS(E216)&lt;0.01,ABS(H216)&lt;1),"Sama",IF(ABS(E216)&lt;0.01,"Selisih nominal",IF(ABS(H216)&lt;1,"Selisih qty","Selisih qty &amp; nominal")))))</f>
        <v>Sama</v>
      </c>
      <c r="J216" t="s">
        <v>240</v>
      </c>
      <c r="K216" t="str">
        <f>IFERROR(INDEX('Data SCM'!$D$2:$D$698,MATCH($J216,'Data SCM'!$I$2:$I$698,0)),"")</f>
        <v>PCS</v>
      </c>
      <c r="L216">
        <f t="shared" si="11"/>
        <v>1</v>
      </c>
    </row>
    <row r="217" spans="1:12" x14ac:dyDescent="0.25">
      <c r="A217" s="3" t="str">
        <f>IFERROR(INDEX('Data SO'!$C$2:$C$1085,MATCH($J217,'Data SO'!$H$2:$H$1085,0)),INDEX('Data SCM'!$B$2:$B$698,MATCH($J217,'Data SCM'!$I$2:$I$698,0)))</f>
        <v>Dus chiffon sensasi</v>
      </c>
      <c r="B217" s="3" t="str">
        <f>IFERROR(INDEX('Data SO'!$D$2:$D$1085,MATCH($J217,'Data SO'!$H$2:$H$1085,0)),K217)</f>
        <v>pcs</v>
      </c>
      <c r="C217" s="9">
        <f>SUMIF('Data SO'!$H$2:$H$1085,$J217,'Data SO'!$F$2:$F$1085)</f>
        <v>6661</v>
      </c>
      <c r="D217" s="9">
        <f>SUMIF('Data SCM'!$I$2:$I$698,$J217,'Data SCM'!$E$2:$E$698)*L217</f>
        <v>6661</v>
      </c>
      <c r="E217" s="9">
        <f t="shared" si="9"/>
        <v>0</v>
      </c>
      <c r="F217" s="4">
        <f>SUMIF('Data SO'!$H$2:$H$1085,$J217,'Data SO'!$G$2:$G$1085)</f>
        <v>12988950</v>
      </c>
      <c r="G217" s="4">
        <f>SUMIF('Data SCM'!$I$2:$I$698,$J217,'Data SCM'!$H$2:$H$698)</f>
        <v>12988950</v>
      </c>
      <c r="H217" s="4">
        <f t="shared" si="10"/>
        <v>0</v>
      </c>
      <c r="I217" s="3" t="str">
        <f>IF(COUNTIF('Data SCM'!$I$2:$I$698,$J217)=0,"Hanya di SO",IF(COUNTIF('Data SO'!$H$2:$H$1085,$J217)=0,"Hanya di SCM",IF(AND(ABS(E217)&lt;0.01,ABS(H217)&lt;1),"Sama",IF(ABS(E217)&lt;0.01,"Selisih nominal",IF(ABS(H217)&lt;1,"Selisih qty","Selisih qty &amp; nominal")))))</f>
        <v>Sama</v>
      </c>
      <c r="J217" t="s">
        <v>241</v>
      </c>
      <c r="K217" t="str">
        <f>IFERROR(INDEX('Data SCM'!$D$2:$D$698,MATCH($J217,'Data SCM'!$I$2:$I$698,0)),"")</f>
        <v>PCS</v>
      </c>
      <c r="L217">
        <f t="shared" si="11"/>
        <v>1</v>
      </c>
    </row>
    <row r="218" spans="1:12" x14ac:dyDescent="0.25">
      <c r="A218" s="3" t="str">
        <f>IFERROR(INDEX('Data SO'!$C$2:$C$1085,MATCH($J218,'Data SO'!$H$2:$H$1085,0)),INDEX('Data SCM'!$B$2:$B$698,MATCH($J218,'Data SCM'!$I$2:$I$698,0)))</f>
        <v>ELMER CHOCO CHIP</v>
      </c>
      <c r="B218" s="3" t="str">
        <f>IFERROR(INDEX('Data SO'!$D$2:$D$1085,MATCH($J218,'Data SO'!$H$2:$H$1085,0)),K218)</f>
        <v>Kg</v>
      </c>
      <c r="C218" s="9">
        <f>SUMIF('Data SO'!$H$2:$H$1085,$J218,'Data SO'!$F$2:$F$1085)</f>
        <v>35</v>
      </c>
      <c r="D218" s="9">
        <f>SUMIF('Data SCM'!$I$2:$I$698,$J218,'Data SCM'!$E$2:$E$698)*L218</f>
        <v>35</v>
      </c>
      <c r="E218" s="9">
        <f t="shared" si="9"/>
        <v>0</v>
      </c>
      <c r="F218" s="4">
        <f>SUMIF('Data SO'!$H$2:$H$1085,$J218,'Data SO'!$G$2:$G$1085)</f>
        <v>2380000</v>
      </c>
      <c r="G218" s="4">
        <f>SUMIF('Data SCM'!$I$2:$I$698,$J218,'Data SCM'!$H$2:$H$698)</f>
        <v>2380000</v>
      </c>
      <c r="H218" s="4">
        <f t="shared" si="10"/>
        <v>0</v>
      </c>
      <c r="I218" s="3" t="str">
        <f>IF(COUNTIF('Data SCM'!$I$2:$I$698,$J218)=0,"Hanya di SO",IF(COUNTIF('Data SO'!$H$2:$H$1085,$J218)=0,"Hanya di SCM",IF(AND(ABS(E218)&lt;0.01,ABS(H218)&lt;1),"Sama",IF(ABS(E218)&lt;0.01,"Selisih nominal",IF(ABS(H218)&lt;1,"Selisih qty","Selisih qty &amp; nominal")))))</f>
        <v>Sama</v>
      </c>
      <c r="J218" t="s">
        <v>242</v>
      </c>
      <c r="K218" t="str">
        <f>IFERROR(INDEX('Data SCM'!$D$2:$D$698,MATCH($J218,'Data SCM'!$I$2:$I$698,0)),"")</f>
        <v>KG</v>
      </c>
      <c r="L218">
        <f t="shared" si="11"/>
        <v>1</v>
      </c>
    </row>
    <row r="219" spans="1:12" x14ac:dyDescent="0.25">
      <c r="A219" s="3" t="str">
        <f>IFERROR(INDEX('Data SO'!$C$2:$C$1085,MATCH($J219,'Data SO'!$H$2:$H$1085,0)),INDEX('Data SCM'!$B$2:$B$698,MATCH($J219,'Data SCM'!$I$2:$I$698,0)))</f>
        <v>ELMER GLAZE DARK @2X5KG</v>
      </c>
      <c r="B219" s="3" t="str">
        <f>IFERROR(INDEX('Data SO'!$D$2:$D$1085,MATCH($J219,'Data SO'!$H$2:$H$1085,0)),K219)</f>
        <v>kg</v>
      </c>
      <c r="C219" s="9">
        <f>SUMIF('Data SO'!$H$2:$H$1085,$J219,'Data SO'!$F$2:$F$1085)</f>
        <v>150</v>
      </c>
      <c r="D219" s="9">
        <f>SUMIF('Data SCM'!$I$2:$I$698,$J219,'Data SCM'!$E$2:$E$698)*L219</f>
        <v>150</v>
      </c>
      <c r="E219" s="9">
        <f t="shared" si="9"/>
        <v>0</v>
      </c>
      <c r="F219" s="4">
        <f>SUMIF('Data SO'!$H$2:$H$1085,$J219,'Data SO'!$G$2:$G$1085)</f>
        <v>9240000</v>
      </c>
      <c r="G219" s="4">
        <f>SUMIF('Data SCM'!$I$2:$I$698,$J219,'Data SCM'!$H$2:$H$698)</f>
        <v>9240000</v>
      </c>
      <c r="H219" s="4">
        <f t="shared" si="10"/>
        <v>0</v>
      </c>
      <c r="I219" s="3" t="str">
        <f>IF(COUNTIF('Data SCM'!$I$2:$I$698,$J219)=0,"Hanya di SO",IF(COUNTIF('Data SO'!$H$2:$H$1085,$J219)=0,"Hanya di SCM",IF(AND(ABS(E219)&lt;0.01,ABS(H219)&lt;1),"Sama",IF(ABS(E219)&lt;0.01,"Selisih nominal",IF(ABS(H219)&lt;1,"Selisih qty","Selisih qty &amp; nominal")))))</f>
        <v>Sama</v>
      </c>
      <c r="J219" t="s">
        <v>243</v>
      </c>
      <c r="K219" t="str">
        <f>IFERROR(INDEX('Data SCM'!$D$2:$D$698,MATCH($J219,'Data SCM'!$I$2:$I$698,0)),"")</f>
        <v>GR</v>
      </c>
      <c r="L219">
        <f t="shared" si="11"/>
        <v>1E-3</v>
      </c>
    </row>
    <row r="220" spans="1:12" x14ac:dyDescent="0.25">
      <c r="A220" s="3" t="str">
        <f>IFERROR(INDEX('Data SO'!$C$2:$C$1085,MATCH($J220,'Data SO'!$H$2:$H$1085,0)),INDEX('Data SCM'!$B$2:$B$698,MATCH($J220,'Data SCM'!$I$2:$I$698,0)))</f>
        <v>ELMER GLAZE GREENTEA @2X5KG</v>
      </c>
      <c r="B220" s="3" t="str">
        <f>IFERROR(INDEX('Data SO'!$D$2:$D$1085,MATCH($J220,'Data SO'!$H$2:$H$1085,0)),K220)</f>
        <v>kg</v>
      </c>
      <c r="C220" s="9">
        <f>SUMIF('Data SO'!$H$2:$H$1085,$J220,'Data SO'!$F$2:$F$1085)</f>
        <v>5</v>
      </c>
      <c r="D220" s="9">
        <f>SUMIF('Data SCM'!$I$2:$I$698,$J220,'Data SCM'!$E$2:$E$698)*L220</f>
        <v>5</v>
      </c>
      <c r="E220" s="9">
        <f t="shared" si="9"/>
        <v>0</v>
      </c>
      <c r="F220" s="4">
        <f>SUMIF('Data SO'!$H$2:$H$1085,$J220,'Data SO'!$G$2:$G$1085)</f>
        <v>253000</v>
      </c>
      <c r="G220" s="4">
        <f>SUMIF('Data SCM'!$I$2:$I$698,$J220,'Data SCM'!$H$2:$H$698)</f>
        <v>253000</v>
      </c>
      <c r="H220" s="4">
        <f t="shared" si="10"/>
        <v>0</v>
      </c>
      <c r="I220" s="3" t="str">
        <f>IF(COUNTIF('Data SCM'!$I$2:$I$698,$J220)=0,"Hanya di SO",IF(COUNTIF('Data SO'!$H$2:$H$1085,$J220)=0,"Hanya di SCM",IF(AND(ABS(E220)&lt;0.01,ABS(H220)&lt;1),"Sama",IF(ABS(E220)&lt;0.01,"Selisih nominal",IF(ABS(H220)&lt;1,"Selisih qty","Selisih qty &amp; nominal")))))</f>
        <v>Sama</v>
      </c>
      <c r="J220" t="s">
        <v>244</v>
      </c>
      <c r="K220" t="str">
        <f>IFERROR(INDEX('Data SCM'!$D$2:$D$698,MATCH($J220,'Data SCM'!$I$2:$I$698,0)),"")</f>
        <v>GR</v>
      </c>
      <c r="L220">
        <f t="shared" si="11"/>
        <v>1E-3</v>
      </c>
    </row>
    <row r="221" spans="1:12" x14ac:dyDescent="0.25">
      <c r="A221" s="3" t="str">
        <f>IFERROR(INDEX('Data SO'!$C$2:$C$1085,MATCH($J221,'Data SO'!$H$2:$H$1085,0)),INDEX('Data SCM'!$B$2:$B$698,MATCH($J221,'Data SCM'!$I$2:$I$698,0)))</f>
        <v>ELMER GLAZE TIRAMISU @2X5KG</v>
      </c>
      <c r="B221" s="3" t="str">
        <f>IFERROR(INDEX('Data SO'!$D$2:$D$1085,MATCH($J221,'Data SO'!$H$2:$H$1085,0)),K221)</f>
        <v>kg</v>
      </c>
      <c r="C221" s="9">
        <f>SUMIF('Data SO'!$H$2:$H$1085,$J221,'Data SO'!$F$2:$F$1085)</f>
        <v>15</v>
      </c>
      <c r="D221" s="9">
        <f>SUMIF('Data SCM'!$I$2:$I$698,$J221,'Data SCM'!$E$2:$E$698)*L221</f>
        <v>15</v>
      </c>
      <c r="E221" s="9">
        <f t="shared" si="9"/>
        <v>0</v>
      </c>
      <c r="F221" s="4">
        <f>SUMIF('Data SO'!$H$2:$H$1085,$J221,'Data SO'!$G$2:$G$1085)</f>
        <v>877500</v>
      </c>
      <c r="G221" s="4">
        <f>SUMIF('Data SCM'!$I$2:$I$698,$J221,'Data SCM'!$H$2:$H$698)</f>
        <v>877500</v>
      </c>
      <c r="H221" s="4">
        <f t="shared" si="10"/>
        <v>0</v>
      </c>
      <c r="I221" s="3" t="str">
        <f>IF(COUNTIF('Data SCM'!$I$2:$I$698,$J221)=0,"Hanya di SO",IF(COUNTIF('Data SO'!$H$2:$H$1085,$J221)=0,"Hanya di SCM",IF(AND(ABS(E221)&lt;0.01,ABS(H221)&lt;1),"Sama",IF(ABS(E221)&lt;0.01,"Selisih nominal",IF(ABS(H221)&lt;1,"Selisih qty","Selisih qty &amp; nominal")))))</f>
        <v>Sama</v>
      </c>
      <c r="J221" t="s">
        <v>245</v>
      </c>
      <c r="K221" t="str">
        <f>IFERROR(INDEX('Data SCM'!$D$2:$D$698,MATCH($J221,'Data SCM'!$I$2:$I$698,0)),"")</f>
        <v>KG</v>
      </c>
      <c r="L221">
        <f t="shared" si="11"/>
        <v>1</v>
      </c>
    </row>
    <row r="222" spans="1:12" x14ac:dyDescent="0.25">
      <c r="A222" s="3" t="str">
        <f>IFERROR(INDEX('Data SO'!$C$2:$C$1085,MATCH($J222,'Data SO'!$H$2:$H$1085,0)),INDEX('Data SCM'!$B$2:$B$698,MATCH($J222,'Data SCM'!$I$2:$I$698,0)))</f>
        <v>ELMER GLAZE WHITE @2X5KG</v>
      </c>
      <c r="B222" s="3" t="str">
        <f>IFERROR(INDEX('Data SO'!$D$2:$D$1085,MATCH($J222,'Data SO'!$H$2:$H$1085,0)),K222)</f>
        <v>kg</v>
      </c>
      <c r="C222" s="9">
        <f>SUMIF('Data SO'!$H$2:$H$1085,$J222,'Data SO'!$F$2:$F$1085)</f>
        <v>40</v>
      </c>
      <c r="D222" s="9">
        <f>SUMIF('Data SCM'!$I$2:$I$698,$J222,'Data SCM'!$E$2:$E$698)*L222</f>
        <v>40</v>
      </c>
      <c r="E222" s="9">
        <f t="shared" si="9"/>
        <v>0</v>
      </c>
      <c r="F222" s="4">
        <f>SUMIF('Data SO'!$H$2:$H$1085,$J222,'Data SO'!$G$2:$G$1085)</f>
        <v>1920000</v>
      </c>
      <c r="G222" s="4">
        <f>SUMIF('Data SCM'!$I$2:$I$698,$J222,'Data SCM'!$H$2:$H$698)</f>
        <v>1920000</v>
      </c>
      <c r="H222" s="4">
        <f t="shared" si="10"/>
        <v>0</v>
      </c>
      <c r="I222" s="3" t="str">
        <f>IF(COUNTIF('Data SCM'!$I$2:$I$698,$J222)=0,"Hanya di SO",IF(COUNTIF('Data SO'!$H$2:$H$1085,$J222)=0,"Hanya di SCM",IF(AND(ABS(E222)&lt;0.01,ABS(H222)&lt;1),"Sama",IF(ABS(E222)&lt;0.01,"Selisih nominal",IF(ABS(H222)&lt;1,"Selisih qty","Selisih qty &amp; nominal")))))</f>
        <v>Sama</v>
      </c>
      <c r="J222" t="s">
        <v>246</v>
      </c>
      <c r="K222" t="str">
        <f>IFERROR(INDEX('Data SCM'!$D$2:$D$698,MATCH($J222,'Data SCM'!$I$2:$I$698,0)),"")</f>
        <v>KG</v>
      </c>
      <c r="L222">
        <f t="shared" si="11"/>
        <v>1</v>
      </c>
    </row>
    <row r="223" spans="1:12" x14ac:dyDescent="0.25">
      <c r="A223" s="3" t="str">
        <f>IFERROR(INDEX('Data SO'!$C$2:$C$1085,MATCH($J223,'Data SO'!$H$2:$H$1085,0)),INDEX('Data SCM'!$B$2:$B$698,MATCH($J223,'Data SCM'!$I$2:$I$698,0)))</f>
        <v>Elmer Glaze Avocado @2X5Kg</v>
      </c>
      <c r="B223" s="3" t="str">
        <f>IFERROR(INDEX('Data SO'!$D$2:$D$1085,MATCH($J223,'Data SO'!$H$2:$H$1085,0)),K223)</f>
        <v>kg</v>
      </c>
      <c r="C223" s="9">
        <f>SUMIF('Data SO'!$H$2:$H$1085,$J223,'Data SO'!$F$2:$F$1085)</f>
        <v>25</v>
      </c>
      <c r="D223" s="9">
        <f>SUMIF('Data SCM'!$I$2:$I$698,$J223,'Data SCM'!$E$2:$E$698)*L223</f>
        <v>25</v>
      </c>
      <c r="E223" s="9">
        <f t="shared" si="9"/>
        <v>0</v>
      </c>
      <c r="F223" s="4">
        <f>SUMIF('Data SO'!$H$2:$H$1085,$J223,'Data SO'!$G$2:$G$1085)</f>
        <v>1400000</v>
      </c>
      <c r="G223" s="4">
        <f>SUMIF('Data SCM'!$I$2:$I$698,$J223,'Data SCM'!$H$2:$H$698)</f>
        <v>1400000</v>
      </c>
      <c r="H223" s="4">
        <f t="shared" si="10"/>
        <v>0</v>
      </c>
      <c r="I223" s="3" t="str">
        <f>IF(COUNTIF('Data SCM'!$I$2:$I$698,$J223)=0,"Hanya di SO",IF(COUNTIF('Data SO'!$H$2:$H$1085,$J223)=0,"Hanya di SCM",IF(AND(ABS(E223)&lt;0.01,ABS(H223)&lt;1),"Sama",IF(ABS(E223)&lt;0.01,"Selisih nominal",IF(ABS(H223)&lt;1,"Selisih qty","Selisih qty &amp; nominal")))))</f>
        <v>Sama</v>
      </c>
      <c r="J223" t="s">
        <v>247</v>
      </c>
      <c r="K223" t="str">
        <f>IFERROR(INDEX('Data SCM'!$D$2:$D$698,MATCH($J223,'Data SCM'!$I$2:$I$698,0)),"")</f>
        <v>KG</v>
      </c>
      <c r="L223">
        <f t="shared" si="11"/>
        <v>1</v>
      </c>
    </row>
    <row r="224" spans="1:12" x14ac:dyDescent="0.25">
      <c r="A224" s="3" t="str">
        <f>IFERROR(INDEX('Data SO'!$C$2:$C$1085,MATCH($J224,'Data SO'!$H$2:$H$1085,0)),INDEX('Data SCM'!$B$2:$B$698,MATCH($J224,'Data SCM'!$I$2:$I$698,0)))</f>
        <v>Elmer Glaze Taro @2X5Kg</v>
      </c>
      <c r="B224" s="3" t="str">
        <f>IFERROR(INDEX('Data SO'!$D$2:$D$1085,MATCH($J224,'Data SO'!$H$2:$H$1085,0)),K224)</f>
        <v>kg</v>
      </c>
      <c r="C224" s="9">
        <f>SUMIF('Data SO'!$H$2:$H$1085,$J224,'Data SO'!$F$2:$F$1085)</f>
        <v>5</v>
      </c>
      <c r="D224" s="9">
        <f>SUMIF('Data SCM'!$I$2:$I$698,$J224,'Data SCM'!$E$2:$E$698)*L224</f>
        <v>5</v>
      </c>
      <c r="E224" s="9">
        <f t="shared" si="9"/>
        <v>0</v>
      </c>
      <c r="F224" s="4">
        <f>SUMIF('Data SO'!$H$2:$H$1085,$J224,'Data SO'!$G$2:$G$1085)</f>
        <v>275000</v>
      </c>
      <c r="G224" s="4">
        <f>SUMIF('Data SCM'!$I$2:$I$698,$J224,'Data SCM'!$H$2:$H$698)</f>
        <v>275000</v>
      </c>
      <c r="H224" s="4">
        <f t="shared" si="10"/>
        <v>0</v>
      </c>
      <c r="I224" s="3" t="str">
        <f>IF(COUNTIF('Data SCM'!$I$2:$I$698,$J224)=0,"Hanya di SO",IF(COUNTIF('Data SO'!$H$2:$H$1085,$J224)=0,"Hanya di SCM",IF(AND(ABS(E224)&lt;0.01,ABS(H224)&lt;1),"Sama",IF(ABS(E224)&lt;0.01,"Selisih nominal",IF(ABS(H224)&lt;1,"Selisih qty","Selisih qty &amp; nominal")))))</f>
        <v>Sama</v>
      </c>
      <c r="J224" t="s">
        <v>248</v>
      </c>
      <c r="K224" t="str">
        <f>IFERROR(INDEX('Data SCM'!$D$2:$D$698,MATCH($J224,'Data SCM'!$I$2:$I$698,0)),"")</f>
        <v>KG</v>
      </c>
      <c r="L224">
        <f t="shared" si="11"/>
        <v>1</v>
      </c>
    </row>
    <row r="225" spans="1:12" x14ac:dyDescent="0.25">
      <c r="A225" s="3" t="str">
        <f>IFERROR(INDEX('Data SO'!$C$2:$C$1085,MATCH($J225,'Data SO'!$H$2:$H$1085,0)),INDEX('Data SCM'!$B$2:$B$698,MATCH($J225,'Data SCM'!$I$2:$I$698,0)))</f>
        <v>Floor Cleaner 5 Liter</v>
      </c>
      <c r="B225" s="3" t="str">
        <f>IFERROR(INDEX('Data SO'!$D$2:$D$1085,MATCH($J225,'Data SO'!$H$2:$H$1085,0)),K225)</f>
        <v>liter</v>
      </c>
      <c r="C225" s="9">
        <f>SUMIF('Data SO'!$H$2:$H$1085,$J225,'Data SO'!$F$2:$F$1085)</f>
        <v>25</v>
      </c>
      <c r="D225" s="9">
        <f>SUMIF('Data SCM'!$I$2:$I$698,$J225,'Data SCM'!$E$2:$E$698)*L225</f>
        <v>25</v>
      </c>
      <c r="E225" s="9">
        <f t="shared" si="9"/>
        <v>0</v>
      </c>
      <c r="F225" s="4">
        <f>SUMIF('Data SO'!$H$2:$H$1085,$J225,'Data SO'!$G$2:$G$1085)</f>
        <v>275000</v>
      </c>
      <c r="G225" s="4">
        <f>SUMIF('Data SCM'!$I$2:$I$698,$J225,'Data SCM'!$H$2:$H$698)</f>
        <v>275000</v>
      </c>
      <c r="H225" s="4">
        <f t="shared" si="10"/>
        <v>0</v>
      </c>
      <c r="I225" s="3" t="str">
        <f>IF(COUNTIF('Data SCM'!$I$2:$I$698,$J225)=0,"Hanya di SO",IF(COUNTIF('Data SO'!$H$2:$H$1085,$J225)=0,"Hanya di SCM",IF(AND(ABS(E225)&lt;0.01,ABS(H225)&lt;1),"Sama",IF(ABS(E225)&lt;0.01,"Selisih nominal",IF(ABS(H225)&lt;1,"Selisih qty","Selisih qty &amp; nominal")))))</f>
        <v>Sama</v>
      </c>
      <c r="J225" t="s">
        <v>249</v>
      </c>
      <c r="K225" t="str">
        <f>IFERROR(INDEX('Data SCM'!$D$2:$D$698,MATCH($J225,'Data SCM'!$I$2:$I$698,0)),"")</f>
        <v>LTR</v>
      </c>
      <c r="L225">
        <f t="shared" si="11"/>
        <v>1</v>
      </c>
    </row>
    <row r="226" spans="1:12" x14ac:dyDescent="0.25">
      <c r="A226" s="3" t="str">
        <f>IFERROR(INDEX('Data SO'!$C$2:$C$1085,MATCH($J226,'Data SO'!$H$2:$H$1085,0)),INDEX('Data SCM'!$B$2:$B$698,MATCH($J226,'Data SCM'!$I$2:$I$698,0)))</f>
        <v>GULA HALUS CLARIS ORANGE</v>
      </c>
      <c r="B226" s="3" t="str">
        <f>IFERROR(INDEX('Data SO'!$D$2:$D$1085,MATCH($J226,'Data SO'!$H$2:$H$1085,0)),K226)</f>
        <v>Gram</v>
      </c>
      <c r="C226" s="9">
        <f>SUMIF('Data SO'!$H$2:$H$1085,$J226,'Data SO'!$F$2:$F$1085)</f>
        <v>44000</v>
      </c>
      <c r="D226" s="9">
        <f>SUMIF('Data SCM'!$I$2:$I$698,$J226,'Data SCM'!$E$2:$E$698)*L226</f>
        <v>44000</v>
      </c>
      <c r="E226" s="9">
        <f t="shared" si="9"/>
        <v>0</v>
      </c>
      <c r="F226" s="4">
        <f>SUMIF('Data SO'!$H$2:$H$1085,$J226,'Data SO'!$G$2:$G$1085)</f>
        <v>1144000</v>
      </c>
      <c r="G226" s="4">
        <f>SUMIF('Data SCM'!$I$2:$I$698,$J226,'Data SCM'!$H$2:$H$698)</f>
        <v>1144000</v>
      </c>
      <c r="H226" s="4">
        <f t="shared" si="10"/>
        <v>0</v>
      </c>
      <c r="I226" s="3" t="str">
        <f>IF(COUNTIF('Data SCM'!$I$2:$I$698,$J226)=0,"Hanya di SO",IF(COUNTIF('Data SO'!$H$2:$H$1085,$J226)=0,"Hanya di SCM",IF(AND(ABS(E226)&lt;0.01,ABS(H226)&lt;1),"Sama",IF(ABS(E226)&lt;0.01,"Selisih nominal",IF(ABS(H226)&lt;1,"Selisih qty","Selisih qty &amp; nominal")))))</f>
        <v>Sama</v>
      </c>
      <c r="J226" t="s">
        <v>250</v>
      </c>
      <c r="K226" t="str">
        <f>IFERROR(INDEX('Data SCM'!$D$2:$D$698,MATCH($J226,'Data SCM'!$I$2:$I$698,0)),"")</f>
        <v>GR</v>
      </c>
      <c r="L226">
        <f t="shared" si="11"/>
        <v>1</v>
      </c>
    </row>
    <row r="227" spans="1:12" x14ac:dyDescent="0.25">
      <c r="A227" s="3" t="str">
        <f>IFERROR(INDEX('Data SO'!$C$2:$C$1085,MATCH($J227,'Data SO'!$H$2:$H$1085,0)),INDEX('Data SCM'!$B$2:$B$698,MATCH($J227,'Data SCM'!$I$2:$I$698,0)))</f>
        <v>Garpu plastik kue ultah</v>
      </c>
      <c r="B227" s="3" t="str">
        <f>IFERROR(INDEX('Data SO'!$D$2:$D$1085,MATCH($J227,'Data SO'!$H$2:$H$1085,0)),K227)</f>
        <v>Pcs</v>
      </c>
      <c r="C227" s="9">
        <f>SUMIF('Data SO'!$H$2:$H$1085,$J227,'Data SO'!$F$2:$F$1085)</f>
        <v>1540</v>
      </c>
      <c r="D227" s="9">
        <f>SUMIF('Data SCM'!$I$2:$I$698,$J227,'Data SCM'!$E$2:$E$698)*L227</f>
        <v>1540</v>
      </c>
      <c r="E227" s="9">
        <f t="shared" si="9"/>
        <v>0</v>
      </c>
      <c r="F227" s="4">
        <f>SUMIF('Data SO'!$H$2:$H$1085,$J227,'Data SO'!$G$2:$G$1085)</f>
        <v>77000</v>
      </c>
      <c r="G227" s="4">
        <f>SUMIF('Data SCM'!$I$2:$I$698,$J227,'Data SCM'!$H$2:$H$698)</f>
        <v>77000</v>
      </c>
      <c r="H227" s="4">
        <f t="shared" si="10"/>
        <v>0</v>
      </c>
      <c r="I227" s="3" t="str">
        <f>IF(COUNTIF('Data SCM'!$I$2:$I$698,$J227)=0,"Hanya di SO",IF(COUNTIF('Data SO'!$H$2:$H$1085,$J227)=0,"Hanya di SCM",IF(AND(ABS(E227)&lt;0.01,ABS(H227)&lt;1),"Sama",IF(ABS(E227)&lt;0.01,"Selisih nominal",IF(ABS(H227)&lt;1,"Selisih qty","Selisih qty &amp; nominal")))))</f>
        <v>Sama</v>
      </c>
      <c r="J227" t="s">
        <v>251</v>
      </c>
      <c r="K227" t="str">
        <f>IFERROR(INDEX('Data SCM'!$D$2:$D$698,MATCH($J227,'Data SCM'!$I$2:$I$698,0)),"")</f>
        <v>PCS</v>
      </c>
      <c r="L227">
        <f t="shared" si="11"/>
        <v>1</v>
      </c>
    </row>
    <row r="228" spans="1:12" x14ac:dyDescent="0.25">
      <c r="A228" s="3" t="str">
        <f>IFERROR(INDEX('Data SO'!$C$2:$C$1085,MATCH($J228,'Data SO'!$H$2:$H$1085,0)),INDEX('Data SCM'!$B$2:$B$698,MATCH($J228,'Data SCM'!$I$2:$I$698,0)))</f>
        <v xml:space="preserve">Golden Brown Redvelvet </v>
      </c>
      <c r="B228" s="3" t="str">
        <f>IFERROR(INDEX('Data SO'!$D$2:$D$1085,MATCH($J228,'Data SO'!$H$2:$H$1085,0)),K228)</f>
        <v>kg</v>
      </c>
      <c r="C228" s="9">
        <f>SUMIF('Data SO'!$H$2:$H$1085,$J228,'Data SO'!$F$2:$F$1085)</f>
        <v>1</v>
      </c>
      <c r="D228" s="9">
        <f>SUMIF('Data SCM'!$I$2:$I$698,$J228,'Data SCM'!$E$2:$E$698)*L228</f>
        <v>1</v>
      </c>
      <c r="E228" s="9">
        <f t="shared" si="9"/>
        <v>0</v>
      </c>
      <c r="F228" s="4">
        <f>SUMIF('Data SO'!$H$2:$H$1085,$J228,'Data SO'!$G$2:$G$1085)</f>
        <v>190000</v>
      </c>
      <c r="G228" s="4">
        <f>SUMIF('Data SCM'!$I$2:$I$698,$J228,'Data SCM'!$H$2:$H$698)</f>
        <v>190000</v>
      </c>
      <c r="H228" s="4">
        <f t="shared" si="10"/>
        <v>0</v>
      </c>
      <c r="I228" s="3" t="str">
        <f>IF(COUNTIF('Data SCM'!$I$2:$I$698,$J228)=0,"Hanya di SO",IF(COUNTIF('Data SO'!$H$2:$H$1085,$J228)=0,"Hanya di SCM",IF(AND(ABS(E228)&lt;0.01,ABS(H228)&lt;1),"Sama",IF(ABS(E228)&lt;0.01,"Selisih nominal",IF(ABS(H228)&lt;1,"Selisih qty","Selisih qty &amp; nominal")))))</f>
        <v>Sama</v>
      </c>
      <c r="J228" t="s">
        <v>252</v>
      </c>
      <c r="K228" t="str">
        <f>IFERROR(INDEX('Data SCM'!$D$2:$D$698,MATCH($J228,'Data SCM'!$I$2:$I$698,0)),"")</f>
        <v>KG</v>
      </c>
      <c r="L228">
        <f t="shared" si="11"/>
        <v>1</v>
      </c>
    </row>
    <row r="229" spans="1:12" x14ac:dyDescent="0.25">
      <c r="A229" s="3" t="str">
        <f>IFERROR(INDEX('Data SO'!$C$2:$C$1085,MATCH($J229,'Data SO'!$H$2:$H$1085,0)),INDEX('Data SCM'!$B$2:$B$698,MATCH($J229,'Data SCM'!$I$2:$I$698,0)))</f>
        <v>Goldfill Strawberry 5Kg</v>
      </c>
      <c r="B229" s="3" t="str">
        <f>IFERROR(INDEX('Data SO'!$D$2:$D$1085,MATCH($J229,'Data SO'!$H$2:$H$1085,0)),K229)</f>
        <v>kg</v>
      </c>
      <c r="C229" s="9">
        <f>SUMIF('Data SO'!$H$2:$H$1085,$J229,'Data SO'!$F$2:$F$1085)</f>
        <v>105</v>
      </c>
      <c r="D229" s="9">
        <f>SUMIF('Data SCM'!$I$2:$I$698,$J229,'Data SCM'!$E$2:$E$698)*L229</f>
        <v>105</v>
      </c>
      <c r="E229" s="9">
        <f t="shared" si="9"/>
        <v>0</v>
      </c>
      <c r="F229" s="4">
        <f>SUMIF('Data SO'!$H$2:$H$1085,$J229,'Data SO'!$G$2:$G$1085)</f>
        <v>5909085</v>
      </c>
      <c r="G229" s="4">
        <f>SUMIF('Data SCM'!$I$2:$I$698,$J229,'Data SCM'!$H$2:$H$698)</f>
        <v>5909085</v>
      </c>
      <c r="H229" s="4">
        <f t="shared" si="10"/>
        <v>0</v>
      </c>
      <c r="I229" s="3" t="str">
        <f>IF(COUNTIF('Data SCM'!$I$2:$I$698,$J229)=0,"Hanya di SO",IF(COUNTIF('Data SO'!$H$2:$H$1085,$J229)=0,"Hanya di SCM",IF(AND(ABS(E229)&lt;0.01,ABS(H229)&lt;1),"Sama",IF(ABS(E229)&lt;0.01,"Selisih nominal",IF(ABS(H229)&lt;1,"Selisih qty","Selisih qty &amp; nominal")))))</f>
        <v>Sama</v>
      </c>
      <c r="J229" t="s">
        <v>253</v>
      </c>
      <c r="K229" t="str">
        <f>IFERROR(INDEX('Data SCM'!$D$2:$D$698,MATCH($J229,'Data SCM'!$I$2:$I$698,0)),"")</f>
        <v>KG</v>
      </c>
      <c r="L229">
        <f t="shared" si="11"/>
        <v>1</v>
      </c>
    </row>
    <row r="230" spans="1:12" x14ac:dyDescent="0.25">
      <c r="A230" s="3" t="str">
        <f>IFERROR(INDEX('Data SO'!$C$2:$C$1085,MATCH($J230,'Data SO'!$H$2:$H$1085,0)),INDEX('Data SCM'!$B$2:$B$698,MATCH($J230,'Data SCM'!$I$2:$I$698,0)))</f>
        <v>Gula halus claris merah 4kg</v>
      </c>
      <c r="B230" s="3" t="str">
        <f>IFERROR(INDEX('Data SO'!$D$2:$D$1085,MATCH($J230,'Data SO'!$H$2:$H$1085,0)),K230)</f>
        <v>kg</v>
      </c>
      <c r="C230" s="9">
        <f>SUMIF('Data SO'!$H$2:$H$1085,$J230,'Data SO'!$F$2:$F$1085)</f>
        <v>8</v>
      </c>
      <c r="D230" s="9">
        <f>SUMIF('Data SCM'!$I$2:$I$698,$J230,'Data SCM'!$E$2:$E$698)*L230</f>
        <v>8</v>
      </c>
      <c r="E230" s="9">
        <f t="shared" si="9"/>
        <v>0</v>
      </c>
      <c r="F230" s="4">
        <f>SUMIF('Data SO'!$H$2:$H$1085,$J230,'Data SO'!$G$2:$G$1085)</f>
        <v>176000</v>
      </c>
      <c r="G230" s="4">
        <f>SUMIF('Data SCM'!$I$2:$I$698,$J230,'Data SCM'!$H$2:$H$698)</f>
        <v>176000</v>
      </c>
      <c r="H230" s="4">
        <f t="shared" si="10"/>
        <v>0</v>
      </c>
      <c r="I230" s="3" t="str">
        <f>IF(COUNTIF('Data SCM'!$I$2:$I$698,$J230)=0,"Hanya di SO",IF(COUNTIF('Data SO'!$H$2:$H$1085,$J230)=0,"Hanya di SCM",IF(AND(ABS(E230)&lt;0.01,ABS(H230)&lt;1),"Sama",IF(ABS(E230)&lt;0.01,"Selisih nominal",IF(ABS(H230)&lt;1,"Selisih qty","Selisih qty &amp; nominal")))))</f>
        <v>Sama</v>
      </c>
      <c r="J230" t="s">
        <v>254</v>
      </c>
      <c r="K230" t="str">
        <f>IFERROR(INDEX('Data SCM'!$D$2:$D$698,MATCH($J230,'Data SCM'!$I$2:$I$698,0)),"")</f>
        <v>GR</v>
      </c>
      <c r="L230">
        <f t="shared" si="11"/>
        <v>1E-3</v>
      </c>
    </row>
    <row r="231" spans="1:12" x14ac:dyDescent="0.25">
      <c r="A231" s="3" t="str">
        <f>IFERROR(INDEX('Data SO'!$C$2:$C$1085,MATCH($J231,'Data SO'!$H$2:$H$1085,0)),INDEX('Data SCM'!$B$2:$B$698,MATCH($J231,'Data SCM'!$I$2:$I$698,0)))</f>
        <v>Haan Wipy Cream</v>
      </c>
      <c r="B231" s="3" t="str">
        <f>IFERROR(INDEX('Data SO'!$D$2:$D$1085,MATCH($J231,'Data SO'!$H$2:$H$1085,0)),K231)</f>
        <v>Gr</v>
      </c>
      <c r="C231" s="9">
        <f>SUMIF('Data SO'!$H$2:$H$1085,$J231,'Data SO'!$F$2:$F$1085)</f>
        <v>2000</v>
      </c>
      <c r="D231" s="9">
        <f>SUMIF('Data SCM'!$I$2:$I$698,$J231,'Data SCM'!$E$2:$E$698)*L231</f>
        <v>2000</v>
      </c>
      <c r="E231" s="9">
        <f t="shared" si="9"/>
        <v>0</v>
      </c>
      <c r="F231" s="4">
        <f>SUMIF('Data SO'!$H$2:$H$1085,$J231,'Data SO'!$G$2:$G$1085)</f>
        <v>320000</v>
      </c>
      <c r="G231" s="4">
        <f>SUMIF('Data SCM'!$I$2:$I$698,$J231,'Data SCM'!$H$2:$H$698)</f>
        <v>320000</v>
      </c>
      <c r="H231" s="4">
        <f t="shared" si="10"/>
        <v>0</v>
      </c>
      <c r="I231" s="3" t="str">
        <f>IF(COUNTIF('Data SCM'!$I$2:$I$698,$J231)=0,"Hanya di SO",IF(COUNTIF('Data SO'!$H$2:$H$1085,$J231)=0,"Hanya di SCM",IF(AND(ABS(E231)&lt;0.01,ABS(H231)&lt;1),"Sama",IF(ABS(E231)&lt;0.01,"Selisih nominal",IF(ABS(H231)&lt;1,"Selisih qty","Selisih qty &amp; nominal")))))</f>
        <v>Sama</v>
      </c>
      <c r="J231" t="s">
        <v>255</v>
      </c>
      <c r="K231" t="str">
        <f>IFERROR(INDEX('Data SCM'!$D$2:$D$698,MATCH($J231,'Data SCM'!$I$2:$I$698,0)),"")</f>
        <v>GR</v>
      </c>
      <c r="L231">
        <f t="shared" si="11"/>
        <v>1</v>
      </c>
    </row>
    <row r="232" spans="1:12" x14ac:dyDescent="0.25">
      <c r="A232" s="3" t="str">
        <f>IFERROR(INDEX('Data SO'!$C$2:$C$1085,MATCH($J232,'Data SO'!$H$2:$H$1085,0)),INDEX('Data SCM'!$B$2:$B$698,MATCH($J232,'Data SCM'!$I$2:$I$698,0)))</f>
        <v>IF 100 @20X500 GR</v>
      </c>
      <c r="B232" s="3" t="str">
        <f>IFERROR(INDEX('Data SO'!$D$2:$D$1085,MATCH($J232,'Data SO'!$H$2:$H$1085,0)),K232)</f>
        <v>kg</v>
      </c>
      <c r="C232" s="9">
        <f>SUMIF('Data SO'!$H$2:$H$1085,$J232,'Data SO'!$F$2:$F$1085)</f>
        <v>20.5</v>
      </c>
      <c r="D232" s="9">
        <f>SUMIF('Data SCM'!$I$2:$I$698,$J232,'Data SCM'!$E$2:$E$698)*L232</f>
        <v>20.5</v>
      </c>
      <c r="E232" s="9">
        <f t="shared" si="9"/>
        <v>0</v>
      </c>
      <c r="F232" s="4">
        <f>SUMIF('Data SO'!$H$2:$H$1085,$J232,'Data SO'!$G$2:$G$1085)</f>
        <v>1601050</v>
      </c>
      <c r="G232" s="4">
        <f>SUMIF('Data SCM'!$I$2:$I$698,$J232,'Data SCM'!$H$2:$H$698)</f>
        <v>1601050</v>
      </c>
      <c r="H232" s="4">
        <f t="shared" si="10"/>
        <v>0</v>
      </c>
      <c r="I232" s="3" t="str">
        <f>IF(COUNTIF('Data SCM'!$I$2:$I$698,$J232)=0,"Hanya di SO",IF(COUNTIF('Data SO'!$H$2:$H$1085,$J232)=0,"Hanya di SCM",IF(AND(ABS(E232)&lt;0.01,ABS(H232)&lt;1),"Sama",IF(ABS(E232)&lt;0.01,"Selisih nominal",IF(ABS(H232)&lt;1,"Selisih qty","Selisih qty &amp; nominal")))))</f>
        <v>Sama</v>
      </c>
      <c r="J232" t="s">
        <v>256</v>
      </c>
      <c r="K232" t="str">
        <f>IFERROR(INDEX('Data SCM'!$D$2:$D$698,MATCH($J232,'Data SCM'!$I$2:$I$698,0)),"")</f>
        <v>KG</v>
      </c>
      <c r="L232">
        <f t="shared" si="11"/>
        <v>1</v>
      </c>
    </row>
    <row r="233" spans="1:12" x14ac:dyDescent="0.25">
      <c r="A233" s="3" t="str">
        <f>IFERROR(INDEX('Data SO'!$C$2:$C$1085,MATCH($J233,'Data SO'!$H$2:$H$1085,0)),INDEX('Data SCM'!$B$2:$B$698,MATCH($J233,'Data SCM'!$I$2:$I$698,0)))</f>
        <v>Jamur Kaleng</v>
      </c>
      <c r="B233" s="3" t="str">
        <f>IFERROR(INDEX('Data SO'!$D$2:$D$1085,MATCH($J233,'Data SO'!$H$2:$H$1085,0)),K233)</f>
        <v>kg</v>
      </c>
      <c r="C233" s="9">
        <f>SUMIF('Data SO'!$H$2:$H$1085,$J233,'Data SO'!$F$2:$F$1085)</f>
        <v>113</v>
      </c>
      <c r="D233" s="9">
        <f>SUMIF('Data SCM'!$I$2:$I$698,$J233,'Data SCM'!$E$2:$E$698)*L233</f>
        <v>113</v>
      </c>
      <c r="E233" s="9">
        <f t="shared" si="9"/>
        <v>0</v>
      </c>
      <c r="F233" s="4">
        <f>SUMIF('Data SO'!$H$2:$H$1085,$J233,'Data SO'!$G$2:$G$1085)</f>
        <v>2034000</v>
      </c>
      <c r="G233" s="4">
        <f>SUMIF('Data SCM'!$I$2:$I$698,$J233,'Data SCM'!$H$2:$H$698)</f>
        <v>2034000</v>
      </c>
      <c r="H233" s="4">
        <f t="shared" si="10"/>
        <v>0</v>
      </c>
      <c r="I233" s="3" t="str">
        <f>IF(COUNTIF('Data SCM'!$I$2:$I$698,$J233)=0,"Hanya di SO",IF(COUNTIF('Data SO'!$H$2:$H$1085,$J233)=0,"Hanya di SCM",IF(AND(ABS(E233)&lt;0.01,ABS(H233)&lt;1),"Sama",IF(ABS(E233)&lt;0.01,"Selisih nominal",IF(ABS(H233)&lt;1,"Selisih qty","Selisih qty &amp; nominal")))))</f>
        <v>Sama</v>
      </c>
      <c r="J233" t="s">
        <v>257</v>
      </c>
      <c r="K233" t="str">
        <f>IFERROR(INDEX('Data SCM'!$D$2:$D$698,MATCH($J233,'Data SCM'!$I$2:$I$698,0)),"")</f>
        <v>KG</v>
      </c>
      <c r="L233">
        <f t="shared" si="11"/>
        <v>1</v>
      </c>
    </row>
    <row r="234" spans="1:12" x14ac:dyDescent="0.25">
      <c r="A234" s="3" t="str">
        <f>IFERROR(INDEX('Data SO'!$C$2:$C$1085,MATCH($J234,'Data SO'!$H$2:$H$1085,0)),INDEX('Data SCM'!$B$2:$B$698,MATCH($J234,'Data SCM'!$I$2:$I$698,0)))</f>
        <v>K. H. Robert</v>
      </c>
      <c r="B234" s="3" t="str">
        <f>IFERROR(INDEX('Data SO'!$D$2:$D$1085,MATCH($J234,'Data SO'!$H$2:$H$1085,0)),K234)</f>
        <v>kg</v>
      </c>
      <c r="C234" s="9">
        <f>SUMIF('Data SO'!$H$2:$H$1085,$J234,'Data SO'!$F$2:$F$1085)</f>
        <v>4</v>
      </c>
      <c r="D234" s="9">
        <f>SUMIF('Data SCM'!$I$2:$I$698,$J234,'Data SCM'!$E$2:$E$698)*L234</f>
        <v>4</v>
      </c>
      <c r="E234" s="9">
        <f t="shared" si="9"/>
        <v>0</v>
      </c>
      <c r="F234" s="4">
        <f>SUMIF('Data SO'!$H$2:$H$1085,$J234,'Data SO'!$G$2:$G$1085)</f>
        <v>920000</v>
      </c>
      <c r="G234" s="4">
        <f>SUMIF('Data SCM'!$I$2:$I$698,$J234,'Data SCM'!$H$2:$H$698)</f>
        <v>920000</v>
      </c>
      <c r="H234" s="4">
        <f t="shared" si="10"/>
        <v>0</v>
      </c>
      <c r="I234" s="3" t="str">
        <f>IF(COUNTIF('Data SCM'!$I$2:$I$698,$J234)=0,"Hanya di SO",IF(COUNTIF('Data SO'!$H$2:$H$1085,$J234)=0,"Hanya di SCM",IF(AND(ABS(E234)&lt;0.01,ABS(H234)&lt;1),"Sama",IF(ABS(E234)&lt;0.01,"Selisih nominal",IF(ABS(H234)&lt;1,"Selisih qty","Selisih qty &amp; nominal")))))</f>
        <v>Sama</v>
      </c>
      <c r="J234" t="s">
        <v>258</v>
      </c>
      <c r="K234" t="str">
        <f>IFERROR(INDEX('Data SCM'!$D$2:$D$698,MATCH($J234,'Data SCM'!$I$2:$I$698,0)),"")</f>
        <v>KG</v>
      </c>
      <c r="L234">
        <f t="shared" si="11"/>
        <v>1</v>
      </c>
    </row>
    <row r="235" spans="1:12" x14ac:dyDescent="0.25">
      <c r="A235" s="3" t="str">
        <f>IFERROR(INDEX('Data SO'!$C$2:$C$1085,MATCH($J235,'Data SO'!$H$2:$H$1085,0)),INDEX('Data SCM'!$B$2:$B$698,MATCH($J235,'Data SCM'!$I$2:$I$698,0)))</f>
        <v>KEJU WINCHEEZ CUSTOM C @8x2KG</v>
      </c>
      <c r="B235" s="3" t="str">
        <f>IFERROR(INDEX('Data SO'!$D$2:$D$1085,MATCH($J235,'Data SO'!$H$2:$H$1085,0)),K235)</f>
        <v>kg</v>
      </c>
      <c r="C235" s="9">
        <f>SUMIF('Data SO'!$H$2:$H$1085,$J235,'Data SO'!$F$2:$F$1085)</f>
        <v>320</v>
      </c>
      <c r="D235" s="9">
        <f>SUMIF('Data SCM'!$I$2:$I$698,$J235,'Data SCM'!$E$2:$E$698)*L235</f>
        <v>320</v>
      </c>
      <c r="E235" s="9">
        <f t="shared" si="9"/>
        <v>0</v>
      </c>
      <c r="F235" s="4">
        <f>SUMIF('Data SO'!$H$2:$H$1085,$J235,'Data SO'!$G$2:$G$1085)</f>
        <v>12840540</v>
      </c>
      <c r="G235" s="4">
        <f>SUMIF('Data SCM'!$I$2:$I$698,$J235,'Data SCM'!$H$2:$H$698)</f>
        <v>12840540</v>
      </c>
      <c r="H235" s="4">
        <f t="shared" si="10"/>
        <v>0</v>
      </c>
      <c r="I235" s="3" t="str">
        <f>IF(COUNTIF('Data SCM'!$I$2:$I$698,$J235)=0,"Hanya di SO",IF(COUNTIF('Data SO'!$H$2:$H$1085,$J235)=0,"Hanya di SCM",IF(AND(ABS(E235)&lt;0.01,ABS(H235)&lt;1),"Sama",IF(ABS(E235)&lt;0.01,"Selisih nominal",IF(ABS(H235)&lt;1,"Selisih qty","Selisih qty &amp; nominal")))))</f>
        <v>Sama</v>
      </c>
      <c r="J235" t="s">
        <v>259</v>
      </c>
      <c r="K235" t="str">
        <f>IFERROR(INDEX('Data SCM'!$D$2:$D$698,MATCH($J235,'Data SCM'!$I$2:$I$698,0)),"")</f>
        <v>KG</v>
      </c>
      <c r="L235">
        <f t="shared" si="11"/>
        <v>1</v>
      </c>
    </row>
    <row r="236" spans="1:12" x14ac:dyDescent="0.25">
      <c r="A236" s="3" t="str">
        <f>IFERROR(INDEX('Data SO'!$C$2:$C$1085,MATCH($J236,'Data SO'!$H$2:$H$1085,0)),INDEX('Data SCM'!$B$2:$B$698,MATCH($J236,'Data SCM'!$I$2:$I$698,0)))</f>
        <v>KEMIRI</v>
      </c>
      <c r="B236" s="3" t="str">
        <f>IFERROR(INDEX('Data SO'!$D$2:$D$1085,MATCH($J236,'Data SO'!$H$2:$H$1085,0)),K236)</f>
        <v>gram</v>
      </c>
      <c r="C236" s="9">
        <f>SUMIF('Data SO'!$H$2:$H$1085,$J236,'Data SO'!$F$2:$F$1085)</f>
        <v>950</v>
      </c>
      <c r="D236" s="9">
        <f>SUMIF('Data SCM'!$I$2:$I$698,$J236,'Data SCM'!$E$2:$E$698)*L236</f>
        <v>950</v>
      </c>
      <c r="E236" s="9">
        <f t="shared" si="9"/>
        <v>0</v>
      </c>
      <c r="F236" s="4">
        <f>SUMIF('Data SO'!$H$2:$H$1085,$J236,'Data SO'!$G$2:$G$1085)</f>
        <v>57000</v>
      </c>
      <c r="G236" s="4">
        <f>SUMIF('Data SCM'!$I$2:$I$698,$J236,'Data SCM'!$H$2:$H$698)</f>
        <v>57000</v>
      </c>
      <c r="H236" s="4">
        <f t="shared" si="10"/>
        <v>0</v>
      </c>
      <c r="I236" s="3" t="str">
        <f>IF(COUNTIF('Data SCM'!$I$2:$I$698,$J236)=0,"Hanya di SO",IF(COUNTIF('Data SO'!$H$2:$H$1085,$J236)=0,"Hanya di SCM",IF(AND(ABS(E236)&lt;0.01,ABS(H236)&lt;1),"Sama",IF(ABS(E236)&lt;0.01,"Selisih nominal",IF(ABS(H236)&lt;1,"Selisih qty","Selisih qty &amp; nominal")))))</f>
        <v>Sama</v>
      </c>
      <c r="J236" t="s">
        <v>260</v>
      </c>
      <c r="K236" t="str">
        <f>IFERROR(INDEX('Data SCM'!$D$2:$D$698,MATCH($J236,'Data SCM'!$I$2:$I$698,0)),"")</f>
        <v>GR</v>
      </c>
      <c r="L236">
        <f t="shared" si="11"/>
        <v>1</v>
      </c>
    </row>
    <row r="237" spans="1:12" x14ac:dyDescent="0.25">
      <c r="A237" s="3" t="str">
        <f>IFERROR(INDEX('Data SO'!$C$2:$C$1085,MATCH($J237,'Data SO'!$H$2:$H$1085,0)),INDEX('Data SCM'!$B$2:$B$698,MATCH($J237,'Data SCM'!$I$2:$I$698,0)))</f>
        <v>KENTANG</v>
      </c>
      <c r="B237" s="3" t="str">
        <f>IFERROR(INDEX('Data SO'!$D$2:$D$1085,MATCH($J237,'Data SO'!$H$2:$H$1085,0)),K237)</f>
        <v>gram</v>
      </c>
      <c r="C237" s="9">
        <f>SUMIF('Data SO'!$H$2:$H$1085,$J237,'Data SO'!$F$2:$F$1085)</f>
        <v>8550</v>
      </c>
      <c r="D237" s="9">
        <f>SUMIF('Data SCM'!$I$2:$I$698,$J237,'Data SCM'!$E$2:$E$698)*L237</f>
        <v>8.5500000000000007</v>
      </c>
      <c r="E237" s="9">
        <f t="shared" si="9"/>
        <v>-8541.4500000000007</v>
      </c>
      <c r="F237" s="4">
        <f>SUMIF('Data SO'!$H$2:$H$1085,$J237,'Data SO'!$G$2:$G$1085)</f>
        <v>213750</v>
      </c>
      <c r="G237" s="4">
        <f>SUMIF('Data SCM'!$I$2:$I$698,$J237,'Data SCM'!$H$2:$H$698)</f>
        <v>213750</v>
      </c>
      <c r="H237" s="4">
        <f t="shared" si="10"/>
        <v>0</v>
      </c>
      <c r="I237" s="3" t="str">
        <f>IF(COUNTIF('Data SCM'!$I$2:$I$698,$J237)=0,"Hanya di SO",IF(COUNTIF('Data SO'!$H$2:$H$1085,$J237)=0,"Hanya di SCM",IF(AND(ABS(E237)&lt;0.01,ABS(H237)&lt;1),"Sama",IF(ABS(E237)&lt;0.01,"Selisih nominal",IF(ABS(H237)&lt;1,"Selisih qty","Selisih qty &amp; nominal")))))</f>
        <v>Selisih qty</v>
      </c>
      <c r="J237" t="s">
        <v>261</v>
      </c>
      <c r="K237" t="str">
        <f>IFERROR(INDEX('Data SCM'!$D$2:$D$698,MATCH($J237,'Data SCM'!$I$2:$I$698,0)),"")</f>
        <v>KG</v>
      </c>
      <c r="L237">
        <f t="shared" si="11"/>
        <v>1</v>
      </c>
    </row>
    <row r="238" spans="1:12" x14ac:dyDescent="0.25">
      <c r="A238" s="3" t="str">
        <f>IFERROR(INDEX('Data SO'!$C$2:$C$1085,MATCH($J238,'Data SO'!$H$2:$H$1085,0)),INDEX('Data SCM'!$B$2:$B$698,MATCH($J238,'Data SCM'!$I$2:$I$698,0)))</f>
        <v>KERTAS ROTI 12X22</v>
      </c>
      <c r="B238" s="3" t="str">
        <f>IFERROR(INDEX('Data SO'!$D$2:$D$1085,MATCH($J238,'Data SO'!$H$2:$H$1085,0)),K238)</f>
        <v>Pcs</v>
      </c>
      <c r="C238" s="9">
        <f>SUMIF('Data SO'!$H$2:$H$1085,$J238,'Data SO'!$F$2:$F$1085)</f>
        <v>2000</v>
      </c>
      <c r="D238" s="9">
        <f>SUMIF('Data SCM'!$I$2:$I$698,$J238,'Data SCM'!$E$2:$E$698)*L238</f>
        <v>2000</v>
      </c>
      <c r="E238" s="9">
        <f t="shared" si="9"/>
        <v>0</v>
      </c>
      <c r="F238" s="4">
        <f>SUMIF('Data SO'!$H$2:$H$1085,$J238,'Data SO'!$G$2:$G$1085)</f>
        <v>124000</v>
      </c>
      <c r="G238" s="4">
        <f>SUMIF('Data SCM'!$I$2:$I$698,$J238,'Data SCM'!$H$2:$H$698)</f>
        <v>124000</v>
      </c>
      <c r="H238" s="4">
        <f t="shared" si="10"/>
        <v>0</v>
      </c>
      <c r="I238" s="3" t="str">
        <f>IF(COUNTIF('Data SCM'!$I$2:$I$698,$J238)=0,"Hanya di SO",IF(COUNTIF('Data SO'!$H$2:$H$1085,$J238)=0,"Hanya di SCM",IF(AND(ABS(E238)&lt;0.01,ABS(H238)&lt;1),"Sama",IF(ABS(E238)&lt;0.01,"Selisih nominal",IF(ABS(H238)&lt;1,"Selisih qty","Selisih qty &amp; nominal")))))</f>
        <v>Sama</v>
      </c>
      <c r="J238" t="s">
        <v>262</v>
      </c>
      <c r="K238" t="str">
        <f>IFERROR(INDEX('Data SCM'!$D$2:$D$698,MATCH($J238,'Data SCM'!$I$2:$I$698,0)),"")</f>
        <v>PCS</v>
      </c>
      <c r="L238">
        <f t="shared" si="11"/>
        <v>1</v>
      </c>
    </row>
    <row r="239" spans="1:12" x14ac:dyDescent="0.25">
      <c r="A239" s="3" t="str">
        <f>IFERROR(INDEX('Data SO'!$C$2:$C$1085,MATCH($J239,'Data SO'!$H$2:$H$1085,0)),INDEX('Data SCM'!$B$2:$B$698,MATCH($J239,'Data SCM'!$I$2:$I$698,0)))</f>
        <v>KERTAS ROTI 22X22</v>
      </c>
      <c r="B239" s="3" t="str">
        <f>IFERROR(INDEX('Data SO'!$D$2:$D$1085,MATCH($J239,'Data SO'!$H$2:$H$1085,0)),K239)</f>
        <v>Pcs</v>
      </c>
      <c r="C239" s="9">
        <f>SUMIF('Data SO'!$H$2:$H$1085,$J239,'Data SO'!$F$2:$F$1085)</f>
        <v>44000</v>
      </c>
      <c r="D239" s="9">
        <f>SUMIF('Data SCM'!$I$2:$I$698,$J239,'Data SCM'!$E$2:$E$698)*L239</f>
        <v>44000</v>
      </c>
      <c r="E239" s="9">
        <f t="shared" si="9"/>
        <v>0</v>
      </c>
      <c r="F239" s="4">
        <f>SUMIF('Data SO'!$H$2:$H$1085,$J239,'Data SO'!$G$2:$G$1085)</f>
        <v>5456000</v>
      </c>
      <c r="G239" s="4">
        <f>SUMIF('Data SCM'!$I$2:$I$698,$J239,'Data SCM'!$H$2:$H$698)</f>
        <v>5456000</v>
      </c>
      <c r="H239" s="4">
        <f t="shared" si="10"/>
        <v>0</v>
      </c>
      <c r="I239" s="3" t="str">
        <f>IF(COUNTIF('Data SCM'!$I$2:$I$698,$J239)=0,"Hanya di SO",IF(COUNTIF('Data SO'!$H$2:$H$1085,$J239)=0,"Hanya di SCM",IF(AND(ABS(E239)&lt;0.01,ABS(H239)&lt;1),"Sama",IF(ABS(E239)&lt;0.01,"Selisih nominal",IF(ABS(H239)&lt;1,"Selisih qty","Selisih qty &amp; nominal")))))</f>
        <v>Sama</v>
      </c>
      <c r="J239" t="s">
        <v>263</v>
      </c>
      <c r="K239" t="str">
        <f>IFERROR(INDEX('Data SCM'!$D$2:$D$698,MATCH($J239,'Data SCM'!$I$2:$I$698,0)),"")</f>
        <v>PCS</v>
      </c>
      <c r="L239">
        <f t="shared" si="11"/>
        <v>1</v>
      </c>
    </row>
    <row r="240" spans="1:12" x14ac:dyDescent="0.25">
      <c r="A240" s="3" t="str">
        <f>IFERROR(INDEX('Data SO'!$C$2:$C$1085,MATCH($J240,'Data SO'!$H$2:$H$1085,0)),INDEX('Data SCM'!$B$2:$B$698,MATCH($J240,'Data SCM'!$I$2:$I$698,0)))</f>
        <v>KERTAS ROTI DIAMETER 13</v>
      </c>
      <c r="B240" s="3" t="str">
        <f>IFERROR(INDEX('Data SO'!$D$2:$D$1085,MATCH($J240,'Data SO'!$H$2:$H$1085,0)),K240)</f>
        <v>pcs</v>
      </c>
      <c r="C240" s="9">
        <f>SUMIF('Data SO'!$H$2:$H$1085,$J240,'Data SO'!$F$2:$F$1085)</f>
        <v>20000</v>
      </c>
      <c r="D240" s="9">
        <f>SUMIF('Data SCM'!$I$2:$I$698,$J240,'Data SCM'!$E$2:$E$698)*L240</f>
        <v>20000</v>
      </c>
      <c r="E240" s="9">
        <f t="shared" si="9"/>
        <v>0</v>
      </c>
      <c r="F240" s="4">
        <f>SUMIF('Data SO'!$H$2:$H$1085,$J240,'Data SO'!$G$2:$G$1085)</f>
        <v>1500000</v>
      </c>
      <c r="G240" s="4">
        <f>SUMIF('Data SCM'!$I$2:$I$698,$J240,'Data SCM'!$H$2:$H$698)</f>
        <v>1500000</v>
      </c>
      <c r="H240" s="4">
        <f t="shared" si="10"/>
        <v>0</v>
      </c>
      <c r="I240" s="3" t="str">
        <f>IF(COUNTIF('Data SCM'!$I$2:$I$698,$J240)=0,"Hanya di SO",IF(COUNTIF('Data SO'!$H$2:$H$1085,$J240)=0,"Hanya di SCM",IF(AND(ABS(E240)&lt;0.01,ABS(H240)&lt;1),"Sama",IF(ABS(E240)&lt;0.01,"Selisih nominal",IF(ABS(H240)&lt;1,"Selisih qty","Selisih qty &amp; nominal")))))</f>
        <v>Sama</v>
      </c>
      <c r="J240" t="s">
        <v>264</v>
      </c>
      <c r="K240" t="str">
        <f>IFERROR(INDEX('Data SCM'!$D$2:$D$698,MATCH($J240,'Data SCM'!$I$2:$I$698,0)),"")</f>
        <v>PCS</v>
      </c>
      <c r="L240">
        <f t="shared" si="11"/>
        <v>1</v>
      </c>
    </row>
    <row r="241" spans="1:12" x14ac:dyDescent="0.25">
      <c r="A241" s="3" t="str">
        <f>IFERROR(INDEX('Data SO'!$C$2:$C$1085,MATCH($J241,'Data SO'!$H$2:$H$1085,0)),INDEX('Data SCM'!$B$2:$B$698,MATCH($J241,'Data SCM'!$I$2:$I$698,0)))</f>
        <v>KERTAS ROTI DIAMETER 17</v>
      </c>
      <c r="B241" s="3" t="str">
        <f>IFERROR(INDEX('Data SO'!$D$2:$D$1085,MATCH($J241,'Data SO'!$H$2:$H$1085,0)),K241)</f>
        <v>Pcs</v>
      </c>
      <c r="C241" s="9">
        <f>SUMIF('Data SO'!$H$2:$H$1085,$J241,'Data SO'!$F$2:$F$1085)</f>
        <v>20000</v>
      </c>
      <c r="D241" s="9">
        <f>SUMIF('Data SCM'!$I$2:$I$698,$J241,'Data SCM'!$E$2:$E$698)*L241</f>
        <v>20000</v>
      </c>
      <c r="E241" s="9">
        <f t="shared" si="9"/>
        <v>0</v>
      </c>
      <c r="F241" s="4">
        <f>SUMIF('Data SO'!$H$2:$H$1085,$J241,'Data SO'!$G$2:$G$1085)</f>
        <v>2000000</v>
      </c>
      <c r="G241" s="4">
        <f>SUMIF('Data SCM'!$I$2:$I$698,$J241,'Data SCM'!$H$2:$H$698)</f>
        <v>2000000</v>
      </c>
      <c r="H241" s="4">
        <f t="shared" si="10"/>
        <v>0</v>
      </c>
      <c r="I241" s="3" t="str">
        <f>IF(COUNTIF('Data SCM'!$I$2:$I$698,$J241)=0,"Hanya di SO",IF(COUNTIF('Data SO'!$H$2:$H$1085,$J241)=0,"Hanya di SCM",IF(AND(ABS(E241)&lt;0.01,ABS(H241)&lt;1),"Sama",IF(ABS(E241)&lt;0.01,"Selisih nominal",IF(ABS(H241)&lt;1,"Selisih qty","Selisih qty &amp; nominal")))))</f>
        <v>Sama</v>
      </c>
      <c r="J241" t="s">
        <v>265</v>
      </c>
      <c r="K241" t="str">
        <f>IFERROR(INDEX('Data SCM'!$D$2:$D$698,MATCH($J241,'Data SCM'!$I$2:$I$698,0)),"")</f>
        <v>PCS</v>
      </c>
      <c r="L241">
        <f t="shared" si="11"/>
        <v>1</v>
      </c>
    </row>
    <row r="242" spans="1:12" x14ac:dyDescent="0.25">
      <c r="A242" s="3" t="str">
        <f>IFERROR(INDEX('Data SO'!$C$2:$C$1085,MATCH($J242,'Data SO'!$H$2:$H$1085,0)),INDEX('Data SCM'!$B$2:$B$698,MATCH($J242,'Data SCM'!$I$2:$I$698,0)))</f>
        <v>KUNAFA KERING</v>
      </c>
      <c r="B242" s="3" t="str">
        <f>IFERROR(INDEX('Data SO'!$D$2:$D$1085,MATCH($J242,'Data SO'!$H$2:$H$1085,0)),K242)</f>
        <v>Kg</v>
      </c>
      <c r="C242" s="9">
        <f>SUMIF('Data SO'!$H$2:$H$1085,$J242,'Data SO'!$F$2:$F$1085)</f>
        <v>55</v>
      </c>
      <c r="D242" s="9">
        <f>SUMIF('Data SCM'!$I$2:$I$698,$J242,'Data SCM'!$E$2:$E$698)*L242</f>
        <v>55</v>
      </c>
      <c r="E242" s="9">
        <f t="shared" si="9"/>
        <v>0</v>
      </c>
      <c r="F242" s="4">
        <f>SUMIF('Data SO'!$H$2:$H$1085,$J242,'Data SO'!$G$2:$G$1085)</f>
        <v>15812500</v>
      </c>
      <c r="G242" s="4">
        <f>SUMIF('Data SCM'!$I$2:$I$698,$J242,'Data SCM'!$H$2:$H$698)</f>
        <v>15812500</v>
      </c>
      <c r="H242" s="4">
        <f t="shared" si="10"/>
        <v>0</v>
      </c>
      <c r="I242" s="3" t="str">
        <f>IF(COUNTIF('Data SCM'!$I$2:$I$698,$J242)=0,"Hanya di SO",IF(COUNTIF('Data SO'!$H$2:$H$1085,$J242)=0,"Hanya di SCM",IF(AND(ABS(E242)&lt;0.01,ABS(H242)&lt;1),"Sama",IF(ABS(E242)&lt;0.01,"Selisih nominal",IF(ABS(H242)&lt;1,"Selisih qty","Selisih qty &amp; nominal")))))</f>
        <v>Sama</v>
      </c>
      <c r="J242" t="s">
        <v>266</v>
      </c>
      <c r="K242" t="str">
        <f>IFERROR(INDEX('Data SCM'!$D$2:$D$698,MATCH($J242,'Data SCM'!$I$2:$I$698,0)),"")</f>
        <v>KG</v>
      </c>
      <c r="L242">
        <f t="shared" si="11"/>
        <v>1</v>
      </c>
    </row>
    <row r="243" spans="1:12" x14ac:dyDescent="0.25">
      <c r="A243" s="3" t="str">
        <f>IFERROR(INDEX('Data SO'!$C$2:$C$1085,MATCH($J243,'Data SO'!$H$2:$H$1085,0)),INDEX('Data SCM'!$B$2:$B$698,MATCH($J243,'Data SCM'!$I$2:$I$698,0)))</f>
        <v>Kacang cincang @1kg x 10</v>
      </c>
      <c r="B243" s="3" t="str">
        <f>IFERROR(INDEX('Data SO'!$D$2:$D$1085,MATCH($J243,'Data SO'!$H$2:$H$1085,0)),K243)</f>
        <v>kg</v>
      </c>
      <c r="C243" s="9">
        <f>SUMIF('Data SO'!$H$2:$H$1085,$J243,'Data SO'!$F$2:$F$1085)</f>
        <v>10</v>
      </c>
      <c r="D243" s="9">
        <f>SUMIF('Data SCM'!$I$2:$I$698,$J243,'Data SCM'!$E$2:$E$698)*L243</f>
        <v>10</v>
      </c>
      <c r="E243" s="9">
        <f t="shared" si="9"/>
        <v>0</v>
      </c>
      <c r="F243" s="4">
        <f>SUMIF('Data SO'!$H$2:$H$1085,$J243,'Data SO'!$G$2:$G$1085)</f>
        <v>589375</v>
      </c>
      <c r="G243" s="4">
        <f>SUMIF('Data SCM'!$I$2:$I$698,$J243,'Data SCM'!$H$2:$H$698)</f>
        <v>589375</v>
      </c>
      <c r="H243" s="4">
        <f t="shared" si="10"/>
        <v>0</v>
      </c>
      <c r="I243" s="3" t="str">
        <f>IF(COUNTIF('Data SCM'!$I$2:$I$698,$J243)=0,"Hanya di SO",IF(COUNTIF('Data SO'!$H$2:$H$1085,$J243)=0,"Hanya di SCM",IF(AND(ABS(E243)&lt;0.01,ABS(H243)&lt;1),"Sama",IF(ABS(E243)&lt;0.01,"Selisih nominal",IF(ABS(H243)&lt;1,"Selisih qty","Selisih qty &amp; nominal")))))</f>
        <v>Sama</v>
      </c>
      <c r="J243" t="s">
        <v>267</v>
      </c>
      <c r="K243" t="str">
        <f>IFERROR(INDEX('Data SCM'!$D$2:$D$698,MATCH($J243,'Data SCM'!$I$2:$I$698,0)),"")</f>
        <v>KG</v>
      </c>
      <c r="L243">
        <f t="shared" si="11"/>
        <v>1</v>
      </c>
    </row>
    <row r="244" spans="1:12" x14ac:dyDescent="0.25">
      <c r="A244" s="3" t="str">
        <f>IFERROR(INDEX('Data SO'!$C$2:$C$1085,MATCH($J244,'Data SO'!$H$2:$H$1085,0)),INDEX('Data SCM'!$B$2:$B$698,MATCH($J244,'Data SCM'!$I$2:$I$698,0)))</f>
        <v>Keju Wincheez @8X2Kg</v>
      </c>
      <c r="B244" s="3" t="str">
        <f>IFERROR(INDEX('Data SO'!$D$2:$D$1085,MATCH($J244,'Data SO'!$H$2:$H$1085,0)),K244)</f>
        <v>kg</v>
      </c>
      <c r="C244" s="9">
        <f>SUMIF('Data SO'!$H$2:$H$1085,$J244,'Data SO'!$F$2:$F$1085)</f>
        <v>192</v>
      </c>
      <c r="D244" s="9">
        <f>SUMIF('Data SCM'!$I$2:$I$698,$J244,'Data SCM'!$E$2:$E$698)*L244</f>
        <v>192</v>
      </c>
      <c r="E244" s="9">
        <f t="shared" si="9"/>
        <v>0</v>
      </c>
      <c r="F244" s="4">
        <f>SUMIF('Data SO'!$H$2:$H$1085,$J244,'Data SO'!$G$2:$G$1085)</f>
        <v>9355068</v>
      </c>
      <c r="G244" s="4">
        <f>SUMIF('Data SCM'!$I$2:$I$698,$J244,'Data SCM'!$H$2:$H$698)</f>
        <v>9355068</v>
      </c>
      <c r="H244" s="4">
        <f t="shared" si="10"/>
        <v>0</v>
      </c>
      <c r="I244" s="3" t="str">
        <f>IF(COUNTIF('Data SCM'!$I$2:$I$698,$J244)=0,"Hanya di SO",IF(COUNTIF('Data SO'!$H$2:$H$1085,$J244)=0,"Hanya di SCM",IF(AND(ABS(E244)&lt;0.01,ABS(H244)&lt;1),"Sama",IF(ABS(E244)&lt;0.01,"Selisih nominal",IF(ABS(H244)&lt;1,"Selisih qty","Selisih qty &amp; nominal")))))</f>
        <v>Sama</v>
      </c>
      <c r="J244" t="s">
        <v>268</v>
      </c>
      <c r="K244" t="str">
        <f>IFERROR(INDEX('Data SCM'!$D$2:$D$698,MATCH($J244,'Data SCM'!$I$2:$I$698,0)),"")</f>
        <v>KG</v>
      </c>
      <c r="L244">
        <f t="shared" si="11"/>
        <v>1</v>
      </c>
    </row>
    <row r="245" spans="1:12" x14ac:dyDescent="0.25">
      <c r="A245" s="3" t="str">
        <f>IFERROR(INDEX('Data SO'!$C$2:$C$1085,MATCH($J245,'Data SO'!$H$2:$H$1085,0)),INDEX('Data SCM'!$B$2:$B$698,MATCH($J245,'Data SCM'!$I$2:$I$698,0)))</f>
        <v>Keranjang Mochi</v>
      </c>
      <c r="B245" s="3" t="str">
        <f>IFERROR(INDEX('Data SO'!$D$2:$D$1085,MATCH($J245,'Data SO'!$H$2:$H$1085,0)),K245)</f>
        <v>pcs</v>
      </c>
      <c r="C245" s="9">
        <f>SUMIF('Data SO'!$H$2:$H$1085,$J245,'Data SO'!$F$2:$F$1085)</f>
        <v>1400</v>
      </c>
      <c r="D245" s="9">
        <f>SUMIF('Data SCM'!$I$2:$I$698,$J245,'Data SCM'!$E$2:$E$698)*L245</f>
        <v>1400</v>
      </c>
      <c r="E245" s="9">
        <f t="shared" si="9"/>
        <v>0</v>
      </c>
      <c r="F245" s="4">
        <f>SUMIF('Data SO'!$H$2:$H$1085,$J245,'Data SO'!$G$2:$G$1085)</f>
        <v>910000</v>
      </c>
      <c r="G245" s="4">
        <f>SUMIF('Data SCM'!$I$2:$I$698,$J245,'Data SCM'!$H$2:$H$698)</f>
        <v>910000</v>
      </c>
      <c r="H245" s="4">
        <f t="shared" si="10"/>
        <v>0</v>
      </c>
      <c r="I245" s="3" t="str">
        <f>IF(COUNTIF('Data SCM'!$I$2:$I$698,$J245)=0,"Hanya di SO",IF(COUNTIF('Data SO'!$H$2:$H$1085,$J245)=0,"Hanya di SCM",IF(AND(ABS(E245)&lt;0.01,ABS(H245)&lt;1),"Sama",IF(ABS(E245)&lt;0.01,"Selisih nominal",IF(ABS(H245)&lt;1,"Selisih qty","Selisih qty &amp; nominal")))))</f>
        <v>Sama</v>
      </c>
      <c r="J245" t="s">
        <v>269</v>
      </c>
      <c r="K245" t="str">
        <f>IFERROR(INDEX('Data SCM'!$D$2:$D$698,MATCH($J245,'Data SCM'!$I$2:$I$698,0)),"")</f>
        <v>PCS</v>
      </c>
      <c r="L245">
        <f t="shared" si="11"/>
        <v>1</v>
      </c>
    </row>
    <row r="246" spans="1:12" x14ac:dyDescent="0.25">
      <c r="A246" s="3" t="str">
        <f>IFERROR(INDEX('Data SO'!$C$2:$C$1085,MATCH($J246,'Data SO'!$H$2:$H$1085,0)),INDEX('Data SCM'!$B$2:$B$698,MATCH($J246,'Data SCM'!$I$2:$I$698,0)))</f>
        <v>Kertas Roti 12X25 @2000 Spesial</v>
      </c>
      <c r="B246" s="3" t="str">
        <f>IFERROR(INDEX('Data SO'!$D$2:$D$1085,MATCH($J246,'Data SO'!$H$2:$H$1085,0)),K246)</f>
        <v>Pcs</v>
      </c>
      <c r="C246" s="9">
        <f>SUMIF('Data SO'!$H$2:$H$1085,$J246,'Data SO'!$F$2:$F$1085)</f>
        <v>94000</v>
      </c>
      <c r="D246" s="9">
        <f>SUMIF('Data SCM'!$I$2:$I$698,$J246,'Data SCM'!$E$2:$E$698)*L246</f>
        <v>94000</v>
      </c>
      <c r="E246" s="9">
        <f t="shared" si="9"/>
        <v>0</v>
      </c>
      <c r="F246" s="4">
        <f>SUMIF('Data SO'!$H$2:$H$1085,$J246,'Data SO'!$G$2:$G$1085)</f>
        <v>18800000</v>
      </c>
      <c r="G246" s="4">
        <f>SUMIF('Data SCM'!$I$2:$I$698,$J246,'Data SCM'!$H$2:$H$698)</f>
        <v>18800000</v>
      </c>
      <c r="H246" s="4">
        <f t="shared" si="10"/>
        <v>0</v>
      </c>
      <c r="I246" s="3" t="str">
        <f>IF(COUNTIF('Data SCM'!$I$2:$I$698,$J246)=0,"Hanya di SO",IF(COUNTIF('Data SO'!$H$2:$H$1085,$J246)=0,"Hanya di SCM",IF(AND(ABS(E246)&lt;0.01,ABS(H246)&lt;1),"Sama",IF(ABS(E246)&lt;0.01,"Selisih nominal",IF(ABS(H246)&lt;1,"Selisih qty","Selisih qty &amp; nominal")))))</f>
        <v>Sama</v>
      </c>
      <c r="J246" t="s">
        <v>270</v>
      </c>
      <c r="K246" t="str">
        <f>IFERROR(INDEX('Data SCM'!$D$2:$D$698,MATCH($J246,'Data SCM'!$I$2:$I$698,0)),"")</f>
        <v>PCS</v>
      </c>
      <c r="L246">
        <f t="shared" si="11"/>
        <v>1</v>
      </c>
    </row>
    <row r="247" spans="1:12" x14ac:dyDescent="0.25">
      <c r="A247" s="3" t="str">
        <f>IFERROR(INDEX('Data SO'!$C$2:$C$1085,MATCH($J247,'Data SO'!$H$2:$H$1085,0)),INDEX('Data SCM'!$B$2:$B$698,MATCH($J247,'Data SCM'!$I$2:$I$698,0)))</f>
        <v>Kertas Roti 23X23 @2000 Ori Besar</v>
      </c>
      <c r="B247" s="3" t="str">
        <f>IFERROR(INDEX('Data SO'!$D$2:$D$1085,MATCH($J247,'Data SO'!$H$2:$H$1085,0)),K247)</f>
        <v>Pcs</v>
      </c>
      <c r="C247" s="9">
        <f>SUMIF('Data SO'!$H$2:$H$1085,$J247,'Data SO'!$F$2:$F$1085)</f>
        <v>333000</v>
      </c>
      <c r="D247" s="9">
        <f>SUMIF('Data SCM'!$I$2:$I$698,$J247,'Data SCM'!$E$2:$E$698)*L247</f>
        <v>333000</v>
      </c>
      <c r="E247" s="9">
        <f t="shared" si="9"/>
        <v>0</v>
      </c>
      <c r="F247" s="4">
        <f>SUMIF('Data SO'!$H$2:$H$1085,$J247,'Data SO'!$G$2:$G$1085)</f>
        <v>66600000</v>
      </c>
      <c r="G247" s="4">
        <f>SUMIF('Data SCM'!$I$2:$I$698,$J247,'Data SCM'!$H$2:$H$698)</f>
        <v>66600000</v>
      </c>
      <c r="H247" s="4">
        <f t="shared" si="10"/>
        <v>0</v>
      </c>
      <c r="I247" s="3" t="str">
        <f>IF(COUNTIF('Data SCM'!$I$2:$I$698,$J247)=0,"Hanya di SO",IF(COUNTIF('Data SO'!$H$2:$H$1085,$J247)=0,"Hanya di SCM",IF(AND(ABS(E247)&lt;0.01,ABS(H247)&lt;1),"Sama",IF(ABS(E247)&lt;0.01,"Selisih nominal",IF(ABS(H247)&lt;1,"Selisih qty","Selisih qty &amp; nominal")))))</f>
        <v>Sama</v>
      </c>
      <c r="J247" t="s">
        <v>271</v>
      </c>
      <c r="K247" t="str">
        <f>IFERROR(INDEX('Data SCM'!$D$2:$D$698,MATCH($J247,'Data SCM'!$I$2:$I$698,0)),"")</f>
        <v>PCS</v>
      </c>
      <c r="L247">
        <f t="shared" si="11"/>
        <v>1</v>
      </c>
    </row>
    <row r="248" spans="1:12" x14ac:dyDescent="0.25">
      <c r="A248" s="3" t="str">
        <f>IFERROR(INDEX('Data SO'!$C$2:$C$1085,MATCH($J248,'Data SO'!$H$2:$H$1085,0)),INDEX('Data SCM'!$B$2:$B$698,MATCH($J248,'Data SCM'!$I$2:$I$698,0)))</f>
        <v>Kertas Roti 23X33 @2000 Talas</v>
      </c>
      <c r="B248" s="3" t="str">
        <f>IFERROR(INDEX('Data SO'!$D$2:$D$1085,MATCH($J248,'Data SO'!$H$2:$H$1085,0)),K248)</f>
        <v>Pcs</v>
      </c>
      <c r="C248" s="9">
        <f>SUMIF('Data SO'!$H$2:$H$1085,$J248,'Data SO'!$F$2:$F$1085)</f>
        <v>96000</v>
      </c>
      <c r="D248" s="9">
        <f>SUMIF('Data SCM'!$I$2:$I$698,$J248,'Data SCM'!$E$2:$E$698)*L248</f>
        <v>96000</v>
      </c>
      <c r="E248" s="9">
        <f t="shared" si="9"/>
        <v>0</v>
      </c>
      <c r="F248" s="4">
        <f>SUMIF('Data SO'!$H$2:$H$1085,$J248,'Data SO'!$G$2:$G$1085)</f>
        <v>22560000</v>
      </c>
      <c r="G248" s="4">
        <f>SUMIF('Data SCM'!$I$2:$I$698,$J248,'Data SCM'!$H$2:$H$698)</f>
        <v>22560000</v>
      </c>
      <c r="H248" s="4">
        <f t="shared" si="10"/>
        <v>0</v>
      </c>
      <c r="I248" s="3" t="str">
        <f>IF(COUNTIF('Data SCM'!$I$2:$I$698,$J248)=0,"Hanya di SO",IF(COUNTIF('Data SO'!$H$2:$H$1085,$J248)=0,"Hanya di SCM",IF(AND(ABS(E248)&lt;0.01,ABS(H248)&lt;1),"Sama",IF(ABS(E248)&lt;0.01,"Selisih nominal",IF(ABS(H248)&lt;1,"Selisih qty","Selisih qty &amp; nominal")))))</f>
        <v>Sama</v>
      </c>
      <c r="J248" t="s">
        <v>272</v>
      </c>
      <c r="K248" t="str">
        <f>IFERROR(INDEX('Data SCM'!$D$2:$D$698,MATCH($J248,'Data SCM'!$I$2:$I$698,0)),"")</f>
        <v>PCS</v>
      </c>
      <c r="L248">
        <f t="shared" si="11"/>
        <v>1</v>
      </c>
    </row>
    <row r="249" spans="1:12" x14ac:dyDescent="0.25">
      <c r="A249" s="3" t="str">
        <f>IFERROR(INDEX('Data SO'!$C$2:$C$1085,MATCH($J249,'Data SO'!$H$2:$H$1085,0)),INDEX('Data SCM'!$B$2:$B$698,MATCH($J249,'Data SCM'!$I$2:$I$698,0)))</f>
        <v>Kertas Roti Buram</v>
      </c>
      <c r="B249" s="3" t="str">
        <f>IFERROR(INDEX('Data SO'!$D$2:$D$1085,MATCH($J249,'Data SO'!$H$2:$H$1085,0)),K249)</f>
        <v>pcs</v>
      </c>
      <c r="C249" s="9">
        <f>SUMIF('Data SO'!$H$2:$H$1085,$J249,'Data SO'!$F$2:$F$1085)</f>
        <v>5500</v>
      </c>
      <c r="D249" s="9">
        <f>SUMIF('Data SCM'!$I$2:$I$698,$J249,'Data SCM'!$E$2:$E$698)*L249</f>
        <v>5500</v>
      </c>
      <c r="E249" s="9">
        <f t="shared" si="9"/>
        <v>0</v>
      </c>
      <c r="F249" s="4">
        <f>SUMIF('Data SO'!$H$2:$H$1085,$J249,'Data SO'!$G$2:$G$1085)</f>
        <v>4620000</v>
      </c>
      <c r="G249" s="4">
        <f>SUMIF('Data SCM'!$I$2:$I$698,$J249,'Data SCM'!$H$2:$H$698)</f>
        <v>4620000</v>
      </c>
      <c r="H249" s="4">
        <f t="shared" si="10"/>
        <v>0</v>
      </c>
      <c r="I249" s="3" t="str">
        <f>IF(COUNTIF('Data SCM'!$I$2:$I$698,$J249)=0,"Hanya di SO",IF(COUNTIF('Data SO'!$H$2:$H$1085,$J249)=0,"Hanya di SCM",IF(AND(ABS(E249)&lt;0.01,ABS(H249)&lt;1),"Sama",IF(ABS(E249)&lt;0.01,"Selisih nominal",IF(ABS(H249)&lt;1,"Selisih qty","Selisih qty &amp; nominal")))))</f>
        <v>Sama</v>
      </c>
      <c r="J249" t="s">
        <v>273</v>
      </c>
      <c r="K249" t="str">
        <f>IFERROR(INDEX('Data SCM'!$D$2:$D$698,MATCH($J249,'Data SCM'!$I$2:$I$698,0)),"")</f>
        <v>PCS</v>
      </c>
      <c r="L249">
        <f t="shared" si="11"/>
        <v>1</v>
      </c>
    </row>
    <row r="250" spans="1:12" x14ac:dyDescent="0.25">
      <c r="A250" s="3" t="str">
        <f>IFERROR(INDEX('Data SO'!$C$2:$C$1085,MATCH($J250,'Data SO'!$H$2:$H$1085,0)),INDEX('Data SCM'!$B$2:$B$698,MATCH($J250,'Data SCM'!$I$2:$I$698,0)))</f>
        <v>Kismis Lion Sunraisin</v>
      </c>
      <c r="B250" s="3" t="str">
        <f>IFERROR(INDEX('Data SO'!$D$2:$D$1085,MATCH($J250,'Data SO'!$H$2:$H$1085,0)),K250)</f>
        <v>kg</v>
      </c>
      <c r="C250" s="9">
        <f>SUMIF('Data SO'!$H$2:$H$1085,$J250,'Data SO'!$F$2:$F$1085)</f>
        <v>10</v>
      </c>
      <c r="D250" s="9">
        <f>SUMIF('Data SCM'!$I$2:$I$698,$J250,'Data SCM'!$E$2:$E$698)*L250</f>
        <v>10</v>
      </c>
      <c r="E250" s="9">
        <f t="shared" si="9"/>
        <v>0</v>
      </c>
      <c r="F250" s="4">
        <f>SUMIF('Data SO'!$H$2:$H$1085,$J250,'Data SO'!$G$2:$G$1085)</f>
        <v>497500</v>
      </c>
      <c r="G250" s="4">
        <f>SUMIF('Data SCM'!$I$2:$I$698,$J250,'Data SCM'!$H$2:$H$698)</f>
        <v>497500</v>
      </c>
      <c r="H250" s="4">
        <f t="shared" si="10"/>
        <v>0</v>
      </c>
      <c r="I250" s="3" t="str">
        <f>IF(COUNTIF('Data SCM'!$I$2:$I$698,$J250)=0,"Hanya di SO",IF(COUNTIF('Data SO'!$H$2:$H$1085,$J250)=0,"Hanya di SCM",IF(AND(ABS(E250)&lt;0.01,ABS(H250)&lt;1),"Sama",IF(ABS(E250)&lt;0.01,"Selisih nominal",IF(ABS(H250)&lt;1,"Selisih qty","Selisih qty &amp; nominal")))))</f>
        <v>Sama</v>
      </c>
      <c r="J250" t="s">
        <v>274</v>
      </c>
      <c r="K250" t="str">
        <f>IFERROR(INDEX('Data SCM'!$D$2:$D$698,MATCH($J250,'Data SCM'!$I$2:$I$698,0)),"")</f>
        <v>KG</v>
      </c>
      <c r="L250">
        <f t="shared" si="11"/>
        <v>1</v>
      </c>
    </row>
    <row r="251" spans="1:12" x14ac:dyDescent="0.25">
      <c r="A251" s="3" t="str">
        <f>IFERROR(INDEX('Data SO'!$C$2:$C$1085,MATCH($J251,'Data SO'!$H$2:$H$1085,0)),INDEX('Data SCM'!$B$2:$B$698,MATCH($J251,'Data SCM'!$I$2:$I$698,0)))</f>
        <v>Korek Api Gas</v>
      </c>
      <c r="B251" s="3" t="str">
        <f>IFERROR(INDEX('Data SO'!$D$2:$D$1085,MATCH($J251,'Data SO'!$H$2:$H$1085,0)),K251)</f>
        <v>Pcs</v>
      </c>
      <c r="C251" s="9">
        <f>SUMIF('Data SO'!$H$2:$H$1085,$J251,'Data SO'!$F$2:$F$1085)</f>
        <v>82</v>
      </c>
      <c r="D251" s="9">
        <f>SUMIF('Data SCM'!$I$2:$I$698,$J251,'Data SCM'!$E$2:$E$698)*L251</f>
        <v>82</v>
      </c>
      <c r="E251" s="9">
        <f t="shared" si="9"/>
        <v>0</v>
      </c>
      <c r="F251" s="4">
        <f>SUMIF('Data SO'!$H$2:$H$1085,$J251,'Data SO'!$G$2:$G$1085)</f>
        <v>69700</v>
      </c>
      <c r="G251" s="4">
        <f>SUMIF('Data SCM'!$I$2:$I$698,$J251,'Data SCM'!$H$2:$H$698)</f>
        <v>69700</v>
      </c>
      <c r="H251" s="4">
        <f t="shared" si="10"/>
        <v>0</v>
      </c>
      <c r="I251" s="3" t="str">
        <f>IF(COUNTIF('Data SCM'!$I$2:$I$698,$J251)=0,"Hanya di SO",IF(COUNTIF('Data SO'!$H$2:$H$1085,$J251)=0,"Hanya di SCM",IF(AND(ABS(E251)&lt;0.01,ABS(H251)&lt;1),"Sama",IF(ABS(E251)&lt;0.01,"Selisih nominal",IF(ABS(H251)&lt;1,"Selisih qty","Selisih qty &amp; nominal")))))</f>
        <v>Sama</v>
      </c>
      <c r="J251" t="s">
        <v>275</v>
      </c>
      <c r="K251" t="str">
        <f>IFERROR(INDEX('Data SCM'!$D$2:$D$698,MATCH($J251,'Data SCM'!$I$2:$I$698,0)),"")</f>
        <v>PCS</v>
      </c>
      <c r="L251">
        <f t="shared" si="11"/>
        <v>1</v>
      </c>
    </row>
    <row r="252" spans="1:12" x14ac:dyDescent="0.25">
      <c r="A252" s="3" t="str">
        <f>IFERROR(INDEX('Data SO'!$C$2:$C$1085,MATCH($J252,'Data SO'!$H$2:$H$1085,0)),INDEX('Data SCM'!$B$2:$B$698,MATCH($J252,'Data SCM'!$I$2:$I$698,0)))</f>
        <v>Kresek  24X40/47 @750 (L)</v>
      </c>
      <c r="B252" s="3" t="str">
        <f>IFERROR(INDEX('Data SO'!$D$2:$D$1085,MATCH($J252,'Data SO'!$H$2:$H$1085,0)),K252)</f>
        <v>pcs</v>
      </c>
      <c r="C252" s="9">
        <f>SUMIF('Data SO'!$H$2:$H$1085,$J252,'Data SO'!$F$2:$F$1085)</f>
        <v>21784</v>
      </c>
      <c r="D252" s="9">
        <f>SUMIF('Data SCM'!$I$2:$I$698,$J252,'Data SCM'!$E$2:$E$698)*L252</f>
        <v>21784</v>
      </c>
      <c r="E252" s="9">
        <f t="shared" si="9"/>
        <v>0</v>
      </c>
      <c r="F252" s="4">
        <f>SUMIF('Data SO'!$H$2:$H$1085,$J252,'Data SO'!$G$2:$G$1085)</f>
        <v>47053440</v>
      </c>
      <c r="G252" s="4">
        <f>SUMIF('Data SCM'!$I$2:$I$698,$J252,'Data SCM'!$H$2:$H$698)</f>
        <v>47053440</v>
      </c>
      <c r="H252" s="4">
        <f t="shared" si="10"/>
        <v>0</v>
      </c>
      <c r="I252" s="3" t="str">
        <f>IF(COUNTIF('Data SCM'!$I$2:$I$698,$J252)=0,"Hanya di SO",IF(COUNTIF('Data SO'!$H$2:$H$1085,$J252)=0,"Hanya di SCM",IF(AND(ABS(E252)&lt;0.01,ABS(H252)&lt;1),"Sama",IF(ABS(E252)&lt;0.01,"Selisih nominal",IF(ABS(H252)&lt;1,"Selisih qty","Selisih qty &amp; nominal")))))</f>
        <v>Sama</v>
      </c>
      <c r="J252" t="s">
        <v>276</v>
      </c>
      <c r="K252" t="str">
        <f>IFERROR(INDEX('Data SCM'!$D$2:$D$698,MATCH($J252,'Data SCM'!$I$2:$I$698,0)),"")</f>
        <v>PCS</v>
      </c>
      <c r="L252">
        <f t="shared" si="11"/>
        <v>1</v>
      </c>
    </row>
    <row r="253" spans="1:12" x14ac:dyDescent="0.25">
      <c r="A253" s="3" t="str">
        <f>IFERROR(INDEX('Data SO'!$C$2:$C$1085,MATCH($J253,'Data SO'!$H$2:$H$1085,0)),INDEX('Data SCM'!$B$2:$B$698,MATCH($J253,'Data SCM'!$I$2:$I$698,0)))</f>
        <v>Kresek Donat (Isi 6) @1000</v>
      </c>
      <c r="B253" s="3" t="str">
        <f>IFERROR(INDEX('Data SO'!$D$2:$D$1085,MATCH($J253,'Data SO'!$H$2:$H$1085,0)),K253)</f>
        <v>Pcs</v>
      </c>
      <c r="C253" s="9">
        <f>SUMIF('Data SO'!$H$2:$H$1085,$J253,'Data SO'!$F$2:$F$1085)</f>
        <v>19056</v>
      </c>
      <c r="D253" s="9">
        <f>SUMIF('Data SCM'!$I$2:$I$698,$J253,'Data SCM'!$E$2:$E$698)*L253</f>
        <v>19056</v>
      </c>
      <c r="E253" s="9">
        <f t="shared" si="9"/>
        <v>0</v>
      </c>
      <c r="F253" s="4">
        <f>SUMIF('Data SO'!$H$2:$H$1085,$J253,'Data SO'!$G$2:$G$1085)</f>
        <v>40474944</v>
      </c>
      <c r="G253" s="4">
        <f>SUMIF('Data SCM'!$I$2:$I$698,$J253,'Data SCM'!$H$2:$H$698)</f>
        <v>40474944</v>
      </c>
      <c r="H253" s="4">
        <f t="shared" si="10"/>
        <v>0</v>
      </c>
      <c r="I253" s="3" t="str">
        <f>IF(COUNTIF('Data SCM'!$I$2:$I$698,$J253)=0,"Hanya di SO",IF(COUNTIF('Data SO'!$H$2:$H$1085,$J253)=0,"Hanya di SCM",IF(AND(ABS(E253)&lt;0.01,ABS(H253)&lt;1),"Sama",IF(ABS(E253)&lt;0.01,"Selisih nominal",IF(ABS(H253)&lt;1,"Selisih qty","Selisih qty &amp; nominal")))))</f>
        <v>Sama</v>
      </c>
      <c r="J253" t="s">
        <v>277</v>
      </c>
      <c r="K253" t="str">
        <f>IFERROR(INDEX('Data SCM'!$D$2:$D$698,MATCH($J253,'Data SCM'!$I$2:$I$698,0)),"")</f>
        <v>PCS</v>
      </c>
      <c r="L253">
        <f t="shared" si="11"/>
        <v>1</v>
      </c>
    </row>
    <row r="254" spans="1:12" x14ac:dyDescent="0.25">
      <c r="A254" s="3" t="str">
        <f>IFERROR(INDEX('Data SO'!$C$2:$C$1085,MATCH($J254,'Data SO'!$H$2:$H$1085,0)),INDEX('Data SCM'!$B$2:$B$698,MATCH($J254,'Data SCM'!$I$2:$I$698,0)))</f>
        <v>Kresek Polos Uk 35</v>
      </c>
      <c r="B254" s="3" t="str">
        <f>IFERROR(INDEX('Data SO'!$D$2:$D$1085,MATCH($J254,'Data SO'!$H$2:$H$1085,0)),K254)</f>
        <v>Pcs</v>
      </c>
      <c r="C254" s="9">
        <f>SUMIF('Data SO'!$H$2:$H$1085,$J254,'Data SO'!$F$2:$F$1085)</f>
        <v>3250</v>
      </c>
      <c r="D254" s="9">
        <f>SUMIF('Data SCM'!$I$2:$I$698,$J254,'Data SCM'!$E$2:$E$698)*L254</f>
        <v>3250</v>
      </c>
      <c r="E254" s="9">
        <f t="shared" si="9"/>
        <v>0</v>
      </c>
      <c r="F254" s="4">
        <f>SUMIF('Data SO'!$H$2:$H$1085,$J254,'Data SO'!$G$2:$G$1085)</f>
        <v>880100</v>
      </c>
      <c r="G254" s="4">
        <f>SUMIF('Data SCM'!$I$2:$I$698,$J254,'Data SCM'!$H$2:$H$698)</f>
        <v>880100</v>
      </c>
      <c r="H254" s="4">
        <f t="shared" si="10"/>
        <v>0</v>
      </c>
      <c r="I254" s="3" t="str">
        <f>IF(COUNTIF('Data SCM'!$I$2:$I$698,$J254)=0,"Hanya di SO",IF(COUNTIF('Data SO'!$H$2:$H$1085,$J254)=0,"Hanya di SCM",IF(AND(ABS(E254)&lt;0.01,ABS(H254)&lt;1),"Sama",IF(ABS(E254)&lt;0.01,"Selisih nominal",IF(ABS(H254)&lt;1,"Selisih qty","Selisih qty &amp; nominal")))))</f>
        <v>Sama</v>
      </c>
      <c r="J254" t="s">
        <v>278</v>
      </c>
      <c r="K254" t="str">
        <f>IFERROR(INDEX('Data SCM'!$D$2:$D$698,MATCH($J254,'Data SCM'!$I$2:$I$698,0)),"")</f>
        <v>PCS</v>
      </c>
      <c r="L254">
        <f t="shared" si="11"/>
        <v>1</v>
      </c>
    </row>
    <row r="255" spans="1:12" x14ac:dyDescent="0.25">
      <c r="A255" s="3" t="str">
        <f>IFERROR(INDEX('Data SO'!$C$2:$C$1085,MATCH($J255,'Data SO'!$H$2:$H$1085,0)),INDEX('Data SCM'!$B$2:$B$698,MATCH($J255,'Data SCM'!$I$2:$I$698,0)))</f>
        <v>Kresek Roti 30X28/25 @3500</v>
      </c>
      <c r="B255" s="3" t="str">
        <f>IFERROR(INDEX('Data SO'!$D$2:$D$1085,MATCH($J255,'Data SO'!$H$2:$H$1085,0)),K255)</f>
        <v>Pcs</v>
      </c>
      <c r="C255" s="9">
        <f>SUMIF('Data SO'!$H$2:$H$1085,$J255,'Data SO'!$F$2:$F$1085)</f>
        <v>600</v>
      </c>
      <c r="D255" s="9">
        <f>SUMIF('Data SCM'!$I$2:$I$698,$J255,'Data SCM'!$E$2:$E$698)*L255</f>
        <v>600</v>
      </c>
      <c r="E255" s="9">
        <f t="shared" si="9"/>
        <v>0</v>
      </c>
      <c r="F255" s="4">
        <f>SUMIF('Data SO'!$H$2:$H$1085,$J255,'Data SO'!$G$2:$G$1085)</f>
        <v>648000</v>
      </c>
      <c r="G255" s="4">
        <f>SUMIF('Data SCM'!$I$2:$I$698,$J255,'Data SCM'!$H$2:$H$698)</f>
        <v>648000</v>
      </c>
      <c r="H255" s="4">
        <f t="shared" si="10"/>
        <v>0</v>
      </c>
      <c r="I255" s="3" t="str">
        <f>IF(COUNTIF('Data SCM'!$I$2:$I$698,$J255)=0,"Hanya di SO",IF(COUNTIF('Data SO'!$H$2:$H$1085,$J255)=0,"Hanya di SCM",IF(AND(ABS(E255)&lt;0.01,ABS(H255)&lt;1),"Sama",IF(ABS(E255)&lt;0.01,"Selisih nominal",IF(ABS(H255)&lt;1,"Selisih qty","Selisih qty &amp; nominal")))))</f>
        <v>Sama</v>
      </c>
      <c r="J255" t="s">
        <v>279</v>
      </c>
      <c r="K255" t="str">
        <f>IFERROR(INDEX('Data SCM'!$D$2:$D$698,MATCH($J255,'Data SCM'!$I$2:$I$698,0)),"")</f>
        <v>PCS</v>
      </c>
      <c r="L255">
        <f t="shared" si="11"/>
        <v>1</v>
      </c>
    </row>
    <row r="256" spans="1:12" x14ac:dyDescent="0.25">
      <c r="A256" s="3" t="str">
        <f>IFERROR(INDEX('Data SO'!$C$2:$C$1085,MATCH($J256,'Data SO'!$H$2:$H$1085,0)),INDEX('Data SCM'!$B$2:$B$698,MATCH($J256,'Data SCM'!$I$2:$I$698,0)))</f>
        <v>LEPATTA STRAWBERRY @1X10KG</v>
      </c>
      <c r="B256" s="3" t="str">
        <f>IFERROR(INDEX('Data SO'!$D$2:$D$1085,MATCH($J256,'Data SO'!$H$2:$H$1085,0)),K256)</f>
        <v>kg</v>
      </c>
      <c r="C256" s="9">
        <f>SUMIF('Data SO'!$H$2:$H$1085,$J256,'Data SO'!$F$2:$F$1085)</f>
        <v>20</v>
      </c>
      <c r="D256" s="9">
        <f>SUMIF('Data SCM'!$I$2:$I$698,$J256,'Data SCM'!$E$2:$E$698)*L256</f>
        <v>20</v>
      </c>
      <c r="E256" s="9">
        <f t="shared" si="9"/>
        <v>0</v>
      </c>
      <c r="F256" s="4">
        <f>SUMIF('Data SO'!$H$2:$H$1085,$J256,'Data SO'!$G$2:$G$1085)</f>
        <v>294998</v>
      </c>
      <c r="G256" s="4">
        <f>SUMIF('Data SCM'!$I$2:$I$698,$J256,'Data SCM'!$H$2:$H$698)</f>
        <v>294998</v>
      </c>
      <c r="H256" s="4">
        <f t="shared" si="10"/>
        <v>0</v>
      </c>
      <c r="I256" s="3" t="str">
        <f>IF(COUNTIF('Data SCM'!$I$2:$I$698,$J256)=0,"Hanya di SO",IF(COUNTIF('Data SO'!$H$2:$H$1085,$J256)=0,"Hanya di SCM",IF(AND(ABS(E256)&lt;0.01,ABS(H256)&lt;1),"Sama",IF(ABS(E256)&lt;0.01,"Selisih nominal",IF(ABS(H256)&lt;1,"Selisih qty","Selisih qty &amp; nominal")))))</f>
        <v>Sama</v>
      </c>
      <c r="J256" t="s">
        <v>280</v>
      </c>
      <c r="K256" t="str">
        <f>IFERROR(INDEX('Data SCM'!$D$2:$D$698,MATCH($J256,'Data SCM'!$I$2:$I$698,0)),"")</f>
        <v>KG</v>
      </c>
      <c r="L256">
        <f t="shared" si="11"/>
        <v>1</v>
      </c>
    </row>
    <row r="257" spans="1:12" x14ac:dyDescent="0.25">
      <c r="A257" s="3" t="str">
        <f>IFERROR(INDEX('Data SO'!$C$2:$C$1085,MATCH($J257,'Data SO'!$H$2:$H$1085,0)),INDEX('Data SCM'!$B$2:$B$698,MATCH($J257,'Data SCM'!$I$2:$I$698,0)))</f>
        <v>LILIN ANGKA MERAH 0</v>
      </c>
      <c r="B257" s="3" t="str">
        <f>IFERROR(INDEX('Data SO'!$D$2:$D$1085,MATCH($J257,'Data SO'!$H$2:$H$1085,0)),K257)</f>
        <v>pcs</v>
      </c>
      <c r="C257" s="9">
        <f>SUMIF('Data SO'!$H$2:$H$1085,$J257,'Data SO'!$F$2:$F$1085)</f>
        <v>576</v>
      </c>
      <c r="D257" s="9">
        <f>SUMIF('Data SCM'!$I$2:$I$698,$J257,'Data SCM'!$E$2:$E$698)*L257</f>
        <v>576</v>
      </c>
      <c r="E257" s="9">
        <f t="shared" si="9"/>
        <v>0</v>
      </c>
      <c r="F257" s="4">
        <f>SUMIF('Data SO'!$H$2:$H$1085,$J257,'Data SO'!$G$2:$G$1085)</f>
        <v>432000</v>
      </c>
      <c r="G257" s="4">
        <f>SUMIF('Data SCM'!$I$2:$I$698,$J257,'Data SCM'!$H$2:$H$698)</f>
        <v>432000</v>
      </c>
      <c r="H257" s="4">
        <f t="shared" si="10"/>
        <v>0</v>
      </c>
      <c r="I257" s="3" t="str">
        <f>IF(COUNTIF('Data SCM'!$I$2:$I$698,$J257)=0,"Hanya di SO",IF(COUNTIF('Data SO'!$H$2:$H$1085,$J257)=0,"Hanya di SCM",IF(AND(ABS(E257)&lt;0.01,ABS(H257)&lt;1),"Sama",IF(ABS(E257)&lt;0.01,"Selisih nominal",IF(ABS(H257)&lt;1,"Selisih qty","Selisih qty &amp; nominal")))))</f>
        <v>Sama</v>
      </c>
      <c r="J257" t="s">
        <v>281</v>
      </c>
      <c r="K257" t="str">
        <f>IFERROR(INDEX('Data SCM'!$D$2:$D$698,MATCH($J257,'Data SCM'!$I$2:$I$698,0)),"")</f>
        <v>PCS</v>
      </c>
      <c r="L257">
        <f t="shared" si="11"/>
        <v>1</v>
      </c>
    </row>
    <row r="258" spans="1:12" x14ac:dyDescent="0.25">
      <c r="A258" s="3" t="str">
        <f>IFERROR(INDEX('Data SO'!$C$2:$C$1085,MATCH($J258,'Data SO'!$H$2:$H$1085,0)),INDEX('Data SCM'!$B$2:$B$698,MATCH($J258,'Data SCM'!$I$2:$I$698,0)))</f>
        <v>LILIN ANGKA MERAH 1</v>
      </c>
      <c r="B258" s="3" t="str">
        <f>IFERROR(INDEX('Data SO'!$D$2:$D$1085,MATCH($J258,'Data SO'!$H$2:$H$1085,0)),K258)</f>
        <v>pcs</v>
      </c>
      <c r="C258" s="9">
        <f>SUMIF('Data SO'!$H$2:$H$1085,$J258,'Data SO'!$F$2:$F$1085)</f>
        <v>48</v>
      </c>
      <c r="D258" s="9">
        <f>SUMIF('Data SCM'!$I$2:$I$698,$J258,'Data SCM'!$E$2:$E$698)*L258</f>
        <v>48</v>
      </c>
      <c r="E258" s="9">
        <f t="shared" ref="E258:E321" si="12">D258-C258</f>
        <v>0</v>
      </c>
      <c r="F258" s="4">
        <f>SUMIF('Data SO'!$H$2:$H$1085,$J258,'Data SO'!$G$2:$G$1085)</f>
        <v>36000</v>
      </c>
      <c r="G258" s="4">
        <f>SUMIF('Data SCM'!$I$2:$I$698,$J258,'Data SCM'!$H$2:$H$698)</f>
        <v>36000</v>
      </c>
      <c r="H258" s="4">
        <f t="shared" ref="H258:H321" si="13">G258-F258</f>
        <v>0</v>
      </c>
      <c r="I258" s="3" t="str">
        <f>IF(COUNTIF('Data SCM'!$I$2:$I$698,$J258)=0,"Hanya di SO",IF(COUNTIF('Data SO'!$H$2:$H$1085,$J258)=0,"Hanya di SCM",IF(AND(ABS(E258)&lt;0.01,ABS(H258)&lt;1),"Sama",IF(ABS(E258)&lt;0.01,"Selisih nominal",IF(ABS(H258)&lt;1,"Selisih qty","Selisih qty &amp; nominal")))))</f>
        <v>Sama</v>
      </c>
      <c r="J258" t="s">
        <v>282</v>
      </c>
      <c r="K258" t="str">
        <f>IFERROR(INDEX('Data SCM'!$D$2:$D$698,MATCH($J258,'Data SCM'!$I$2:$I$698,0)),"")</f>
        <v>PCS</v>
      </c>
      <c r="L258">
        <f t="shared" ref="L258:L321" si="14">IF(OR(AND(K258="GR",LOWER(B258)="kg"),AND(K258="ML",LOWER(B258)="liter")),0.001,1)</f>
        <v>1</v>
      </c>
    </row>
    <row r="259" spans="1:12" x14ac:dyDescent="0.25">
      <c r="A259" s="3" t="str">
        <f>IFERROR(INDEX('Data SO'!$C$2:$C$1085,MATCH($J259,'Data SO'!$H$2:$H$1085,0)),INDEX('Data SCM'!$B$2:$B$698,MATCH($J259,'Data SCM'!$I$2:$I$698,0)))</f>
        <v>LILIN ANGKA MERAH 2</v>
      </c>
      <c r="B259" s="3" t="str">
        <f>IFERROR(INDEX('Data SO'!$D$2:$D$1085,MATCH($J259,'Data SO'!$H$2:$H$1085,0)),K259)</f>
        <v>pcs</v>
      </c>
      <c r="C259" s="9">
        <f>SUMIF('Data SO'!$H$2:$H$1085,$J259,'Data SO'!$F$2:$F$1085)</f>
        <v>144</v>
      </c>
      <c r="D259" s="9">
        <f>SUMIF('Data SCM'!$I$2:$I$698,$J259,'Data SCM'!$E$2:$E$698)*L259</f>
        <v>144</v>
      </c>
      <c r="E259" s="9">
        <f t="shared" si="12"/>
        <v>0</v>
      </c>
      <c r="F259" s="4">
        <f>SUMIF('Data SO'!$H$2:$H$1085,$J259,'Data SO'!$G$2:$G$1085)</f>
        <v>108000</v>
      </c>
      <c r="G259" s="4">
        <f>SUMIF('Data SCM'!$I$2:$I$698,$J259,'Data SCM'!$H$2:$H$698)</f>
        <v>108000</v>
      </c>
      <c r="H259" s="4">
        <f t="shared" si="13"/>
        <v>0</v>
      </c>
      <c r="I259" s="3" t="str">
        <f>IF(COUNTIF('Data SCM'!$I$2:$I$698,$J259)=0,"Hanya di SO",IF(COUNTIF('Data SO'!$H$2:$H$1085,$J259)=0,"Hanya di SCM",IF(AND(ABS(E259)&lt;0.01,ABS(H259)&lt;1),"Sama",IF(ABS(E259)&lt;0.01,"Selisih nominal",IF(ABS(H259)&lt;1,"Selisih qty","Selisih qty &amp; nominal")))))</f>
        <v>Sama</v>
      </c>
      <c r="J259" t="s">
        <v>283</v>
      </c>
      <c r="K259" t="str">
        <f>IFERROR(INDEX('Data SCM'!$D$2:$D$698,MATCH($J259,'Data SCM'!$I$2:$I$698,0)),"")</f>
        <v>PCS</v>
      </c>
      <c r="L259">
        <f t="shared" si="14"/>
        <v>1</v>
      </c>
    </row>
    <row r="260" spans="1:12" x14ac:dyDescent="0.25">
      <c r="A260" s="3" t="str">
        <f>IFERROR(INDEX('Data SO'!$C$2:$C$1085,MATCH($J260,'Data SO'!$H$2:$H$1085,0)),INDEX('Data SCM'!$B$2:$B$698,MATCH($J260,'Data SCM'!$I$2:$I$698,0)))</f>
        <v>LILIN ANGKA MERAH 3</v>
      </c>
      <c r="B260" s="3" t="str">
        <f>IFERROR(INDEX('Data SO'!$D$2:$D$1085,MATCH($J260,'Data SO'!$H$2:$H$1085,0)),K260)</f>
        <v>pcs</v>
      </c>
      <c r="C260" s="9">
        <f>SUMIF('Data SO'!$H$2:$H$1085,$J260,'Data SO'!$F$2:$F$1085)</f>
        <v>480</v>
      </c>
      <c r="D260" s="9">
        <f>SUMIF('Data SCM'!$I$2:$I$698,$J260,'Data SCM'!$E$2:$E$698)*L260</f>
        <v>480</v>
      </c>
      <c r="E260" s="9">
        <f t="shared" si="12"/>
        <v>0</v>
      </c>
      <c r="F260" s="4">
        <f>SUMIF('Data SO'!$H$2:$H$1085,$J260,'Data SO'!$G$2:$G$1085)</f>
        <v>360000</v>
      </c>
      <c r="G260" s="4">
        <f>SUMIF('Data SCM'!$I$2:$I$698,$J260,'Data SCM'!$H$2:$H$698)</f>
        <v>360000</v>
      </c>
      <c r="H260" s="4">
        <f t="shared" si="13"/>
        <v>0</v>
      </c>
      <c r="I260" s="3" t="str">
        <f>IF(COUNTIF('Data SCM'!$I$2:$I$698,$J260)=0,"Hanya di SO",IF(COUNTIF('Data SO'!$H$2:$H$1085,$J260)=0,"Hanya di SCM",IF(AND(ABS(E260)&lt;0.01,ABS(H260)&lt;1),"Sama",IF(ABS(E260)&lt;0.01,"Selisih nominal",IF(ABS(H260)&lt;1,"Selisih qty","Selisih qty &amp; nominal")))))</f>
        <v>Sama</v>
      </c>
      <c r="J260" t="s">
        <v>284</v>
      </c>
      <c r="K260" t="str">
        <f>IFERROR(INDEX('Data SCM'!$D$2:$D$698,MATCH($J260,'Data SCM'!$I$2:$I$698,0)),"")</f>
        <v>PCS</v>
      </c>
      <c r="L260">
        <f t="shared" si="14"/>
        <v>1</v>
      </c>
    </row>
    <row r="261" spans="1:12" x14ac:dyDescent="0.25">
      <c r="A261" s="3" t="str">
        <f>IFERROR(INDEX('Data SO'!$C$2:$C$1085,MATCH($J261,'Data SO'!$H$2:$H$1085,0)),INDEX('Data SCM'!$B$2:$B$698,MATCH($J261,'Data SCM'!$I$2:$I$698,0)))</f>
        <v>LILIN ANGKA MERAH 4</v>
      </c>
      <c r="B261" s="3" t="str">
        <f>IFERROR(INDEX('Data SO'!$D$2:$D$1085,MATCH($J261,'Data SO'!$H$2:$H$1085,0)),K261)</f>
        <v>pcs</v>
      </c>
      <c r="C261" s="9">
        <f>SUMIF('Data SO'!$H$2:$H$1085,$J261,'Data SO'!$F$2:$F$1085)</f>
        <v>624</v>
      </c>
      <c r="D261" s="9">
        <f>SUMIF('Data SCM'!$I$2:$I$698,$J261,'Data SCM'!$E$2:$E$698)*L261</f>
        <v>624</v>
      </c>
      <c r="E261" s="9">
        <f t="shared" si="12"/>
        <v>0</v>
      </c>
      <c r="F261" s="4">
        <f>SUMIF('Data SO'!$H$2:$H$1085,$J261,'Data SO'!$G$2:$G$1085)</f>
        <v>468000</v>
      </c>
      <c r="G261" s="4">
        <f>SUMIF('Data SCM'!$I$2:$I$698,$J261,'Data SCM'!$H$2:$H$698)</f>
        <v>468000</v>
      </c>
      <c r="H261" s="4">
        <f t="shared" si="13"/>
        <v>0</v>
      </c>
      <c r="I261" s="3" t="str">
        <f>IF(COUNTIF('Data SCM'!$I$2:$I$698,$J261)=0,"Hanya di SO",IF(COUNTIF('Data SO'!$H$2:$H$1085,$J261)=0,"Hanya di SCM",IF(AND(ABS(E261)&lt;0.01,ABS(H261)&lt;1),"Sama",IF(ABS(E261)&lt;0.01,"Selisih nominal",IF(ABS(H261)&lt;1,"Selisih qty","Selisih qty &amp; nominal")))))</f>
        <v>Sama</v>
      </c>
      <c r="J261" t="s">
        <v>285</v>
      </c>
      <c r="K261" t="str">
        <f>IFERROR(INDEX('Data SCM'!$D$2:$D$698,MATCH($J261,'Data SCM'!$I$2:$I$698,0)),"")</f>
        <v>PCS</v>
      </c>
      <c r="L261">
        <f t="shared" si="14"/>
        <v>1</v>
      </c>
    </row>
    <row r="262" spans="1:12" x14ac:dyDescent="0.25">
      <c r="A262" s="3" t="str">
        <f>IFERROR(INDEX('Data SO'!$C$2:$C$1085,MATCH($J262,'Data SO'!$H$2:$H$1085,0)),INDEX('Data SCM'!$B$2:$B$698,MATCH($J262,'Data SCM'!$I$2:$I$698,0)))</f>
        <v>LILIN ANGKA MERAH 5</v>
      </c>
      <c r="B262" s="3" t="str">
        <f>IFERROR(INDEX('Data SO'!$D$2:$D$1085,MATCH($J262,'Data SO'!$H$2:$H$1085,0)),K262)</f>
        <v>pcs</v>
      </c>
      <c r="C262" s="9">
        <f>SUMIF('Data SO'!$H$2:$H$1085,$J262,'Data SO'!$F$2:$F$1085)</f>
        <v>504</v>
      </c>
      <c r="D262" s="9">
        <f>SUMIF('Data SCM'!$I$2:$I$698,$J262,'Data SCM'!$E$2:$E$698)*L262</f>
        <v>504</v>
      </c>
      <c r="E262" s="9">
        <f t="shared" si="12"/>
        <v>0</v>
      </c>
      <c r="F262" s="4">
        <f>SUMIF('Data SO'!$H$2:$H$1085,$J262,'Data SO'!$G$2:$G$1085)</f>
        <v>378000</v>
      </c>
      <c r="G262" s="4">
        <f>SUMIF('Data SCM'!$I$2:$I$698,$J262,'Data SCM'!$H$2:$H$698)</f>
        <v>378000</v>
      </c>
      <c r="H262" s="4">
        <f t="shared" si="13"/>
        <v>0</v>
      </c>
      <c r="I262" s="3" t="str">
        <f>IF(COUNTIF('Data SCM'!$I$2:$I$698,$J262)=0,"Hanya di SO",IF(COUNTIF('Data SO'!$H$2:$H$1085,$J262)=0,"Hanya di SCM",IF(AND(ABS(E262)&lt;0.01,ABS(H262)&lt;1),"Sama",IF(ABS(E262)&lt;0.01,"Selisih nominal",IF(ABS(H262)&lt;1,"Selisih qty","Selisih qty &amp; nominal")))))</f>
        <v>Sama</v>
      </c>
      <c r="J262" t="s">
        <v>286</v>
      </c>
      <c r="K262" t="str">
        <f>IFERROR(INDEX('Data SCM'!$D$2:$D$698,MATCH($J262,'Data SCM'!$I$2:$I$698,0)),"")</f>
        <v>PCS</v>
      </c>
      <c r="L262">
        <f t="shared" si="14"/>
        <v>1</v>
      </c>
    </row>
    <row r="263" spans="1:12" x14ac:dyDescent="0.25">
      <c r="A263" s="3" t="str">
        <f>IFERROR(INDEX('Data SO'!$C$2:$C$1085,MATCH($J263,'Data SO'!$H$2:$H$1085,0)),INDEX('Data SCM'!$B$2:$B$698,MATCH($J263,'Data SCM'!$I$2:$I$698,0)))</f>
        <v>LILIN ANGKA MERAH 6</v>
      </c>
      <c r="B263" s="3" t="str">
        <f>IFERROR(INDEX('Data SO'!$D$2:$D$1085,MATCH($J263,'Data SO'!$H$2:$H$1085,0)),K263)</f>
        <v>pcs</v>
      </c>
      <c r="C263" s="9">
        <f>SUMIF('Data SO'!$H$2:$H$1085,$J263,'Data SO'!$F$2:$F$1085)</f>
        <v>2064</v>
      </c>
      <c r="D263" s="9">
        <f>SUMIF('Data SCM'!$I$2:$I$698,$J263,'Data SCM'!$E$2:$E$698)*L263</f>
        <v>2064</v>
      </c>
      <c r="E263" s="9">
        <f t="shared" si="12"/>
        <v>0</v>
      </c>
      <c r="F263" s="4">
        <f>SUMIF('Data SO'!$H$2:$H$1085,$J263,'Data SO'!$G$2:$G$1085)</f>
        <v>1548000</v>
      </c>
      <c r="G263" s="4">
        <f>SUMIF('Data SCM'!$I$2:$I$698,$J263,'Data SCM'!$H$2:$H$698)</f>
        <v>1548000</v>
      </c>
      <c r="H263" s="4">
        <f t="shared" si="13"/>
        <v>0</v>
      </c>
      <c r="I263" s="3" t="str">
        <f>IF(COUNTIF('Data SCM'!$I$2:$I$698,$J263)=0,"Hanya di SO",IF(COUNTIF('Data SO'!$H$2:$H$1085,$J263)=0,"Hanya di SCM",IF(AND(ABS(E263)&lt;0.01,ABS(H263)&lt;1),"Sama",IF(ABS(E263)&lt;0.01,"Selisih nominal",IF(ABS(H263)&lt;1,"Selisih qty","Selisih qty &amp; nominal")))))</f>
        <v>Sama</v>
      </c>
      <c r="J263" t="s">
        <v>287</v>
      </c>
      <c r="K263" t="str">
        <f>IFERROR(INDEX('Data SCM'!$D$2:$D$698,MATCH($J263,'Data SCM'!$I$2:$I$698,0)),"")</f>
        <v>PCS</v>
      </c>
      <c r="L263">
        <f t="shared" si="14"/>
        <v>1</v>
      </c>
    </row>
    <row r="264" spans="1:12" x14ac:dyDescent="0.25">
      <c r="A264" s="3" t="str">
        <f>IFERROR(INDEX('Data SO'!$C$2:$C$1085,MATCH($J264,'Data SO'!$H$2:$H$1085,0)),INDEX('Data SCM'!$B$2:$B$698,MATCH($J264,'Data SCM'!$I$2:$I$698,0)))</f>
        <v>LILIN ANGKA MERAH 7</v>
      </c>
      <c r="B264" s="3" t="str">
        <f>IFERROR(INDEX('Data SO'!$D$2:$D$1085,MATCH($J264,'Data SO'!$H$2:$H$1085,0)),K264)</f>
        <v>pcs</v>
      </c>
      <c r="C264" s="9">
        <f>SUMIF('Data SO'!$H$2:$H$1085,$J264,'Data SO'!$F$2:$F$1085)</f>
        <v>2112</v>
      </c>
      <c r="D264" s="9">
        <f>SUMIF('Data SCM'!$I$2:$I$698,$J264,'Data SCM'!$E$2:$E$698)*L264</f>
        <v>2112</v>
      </c>
      <c r="E264" s="9">
        <f t="shared" si="12"/>
        <v>0</v>
      </c>
      <c r="F264" s="4">
        <f>SUMIF('Data SO'!$H$2:$H$1085,$J264,'Data SO'!$G$2:$G$1085)</f>
        <v>1584000</v>
      </c>
      <c r="G264" s="4">
        <f>SUMIF('Data SCM'!$I$2:$I$698,$J264,'Data SCM'!$H$2:$H$698)</f>
        <v>1584000</v>
      </c>
      <c r="H264" s="4">
        <f t="shared" si="13"/>
        <v>0</v>
      </c>
      <c r="I264" s="3" t="str">
        <f>IF(COUNTIF('Data SCM'!$I$2:$I$698,$J264)=0,"Hanya di SO",IF(COUNTIF('Data SO'!$H$2:$H$1085,$J264)=0,"Hanya di SCM",IF(AND(ABS(E264)&lt;0.01,ABS(H264)&lt;1),"Sama",IF(ABS(E264)&lt;0.01,"Selisih nominal",IF(ABS(H264)&lt;1,"Selisih qty","Selisih qty &amp; nominal")))))</f>
        <v>Sama</v>
      </c>
      <c r="J264" t="s">
        <v>288</v>
      </c>
      <c r="K264" t="str">
        <f>IFERROR(INDEX('Data SCM'!$D$2:$D$698,MATCH($J264,'Data SCM'!$I$2:$I$698,0)),"")</f>
        <v>PCS</v>
      </c>
      <c r="L264">
        <f t="shared" si="14"/>
        <v>1</v>
      </c>
    </row>
    <row r="265" spans="1:12" x14ac:dyDescent="0.25">
      <c r="A265" s="3" t="str">
        <f>IFERROR(INDEX('Data SO'!$C$2:$C$1085,MATCH($J265,'Data SO'!$H$2:$H$1085,0)),INDEX('Data SCM'!$B$2:$B$698,MATCH($J265,'Data SCM'!$I$2:$I$698,0)))</f>
        <v>LILIN ANGKA MERAH 8</v>
      </c>
      <c r="B265" s="3" t="str">
        <f>IFERROR(INDEX('Data SO'!$D$2:$D$1085,MATCH($J265,'Data SO'!$H$2:$H$1085,0)),K265)</f>
        <v>pcs</v>
      </c>
      <c r="C265" s="9">
        <f>SUMIF('Data SO'!$H$2:$H$1085,$J265,'Data SO'!$F$2:$F$1085)</f>
        <v>1452</v>
      </c>
      <c r="D265" s="9">
        <f>SUMIF('Data SCM'!$I$2:$I$698,$J265,'Data SCM'!$E$2:$E$698)*L265</f>
        <v>1452</v>
      </c>
      <c r="E265" s="9">
        <f t="shared" si="12"/>
        <v>0</v>
      </c>
      <c r="F265" s="4">
        <f>SUMIF('Data SO'!$H$2:$H$1085,$J265,'Data SO'!$G$2:$G$1085)</f>
        <v>1089000</v>
      </c>
      <c r="G265" s="4">
        <f>SUMIF('Data SCM'!$I$2:$I$698,$J265,'Data SCM'!$H$2:$H$698)</f>
        <v>1089000</v>
      </c>
      <c r="H265" s="4">
        <f t="shared" si="13"/>
        <v>0</v>
      </c>
      <c r="I265" s="3" t="str">
        <f>IF(COUNTIF('Data SCM'!$I$2:$I$698,$J265)=0,"Hanya di SO",IF(COUNTIF('Data SO'!$H$2:$H$1085,$J265)=0,"Hanya di SCM",IF(AND(ABS(E265)&lt;0.01,ABS(H265)&lt;1),"Sama",IF(ABS(E265)&lt;0.01,"Selisih nominal",IF(ABS(H265)&lt;1,"Selisih qty","Selisih qty &amp; nominal")))))</f>
        <v>Sama</v>
      </c>
      <c r="J265" t="s">
        <v>289</v>
      </c>
      <c r="K265" t="str">
        <f>IFERROR(INDEX('Data SCM'!$D$2:$D$698,MATCH($J265,'Data SCM'!$I$2:$I$698,0)),"")</f>
        <v>PCS</v>
      </c>
      <c r="L265">
        <f t="shared" si="14"/>
        <v>1</v>
      </c>
    </row>
    <row r="266" spans="1:12" x14ac:dyDescent="0.25">
      <c r="A266" s="3" t="str">
        <f>IFERROR(INDEX('Data SO'!$C$2:$C$1085,MATCH($J266,'Data SO'!$H$2:$H$1085,0)),INDEX('Data SCM'!$B$2:$B$698,MATCH($J266,'Data SCM'!$I$2:$I$698,0)))</f>
        <v>LILIN ANGKA MERAH 9</v>
      </c>
      <c r="B266" s="3" t="str">
        <f>IFERROR(INDEX('Data SO'!$D$2:$D$1085,MATCH($J266,'Data SO'!$H$2:$H$1085,0)),K266)</f>
        <v>pcs</v>
      </c>
      <c r="C266" s="9">
        <f>SUMIF('Data SO'!$H$2:$H$1085,$J266,'Data SO'!$F$2:$F$1085)</f>
        <v>492</v>
      </c>
      <c r="D266" s="9">
        <f>SUMIF('Data SCM'!$I$2:$I$698,$J266,'Data SCM'!$E$2:$E$698)*L266</f>
        <v>492</v>
      </c>
      <c r="E266" s="9">
        <f t="shared" si="12"/>
        <v>0</v>
      </c>
      <c r="F266" s="4">
        <f>SUMIF('Data SO'!$H$2:$H$1085,$J266,'Data SO'!$G$2:$G$1085)</f>
        <v>369000</v>
      </c>
      <c r="G266" s="4">
        <f>SUMIF('Data SCM'!$I$2:$I$698,$J266,'Data SCM'!$H$2:$H$698)</f>
        <v>369000</v>
      </c>
      <c r="H266" s="4">
        <f t="shared" si="13"/>
        <v>0</v>
      </c>
      <c r="I266" s="3" t="str">
        <f>IF(COUNTIF('Data SCM'!$I$2:$I$698,$J266)=0,"Hanya di SO",IF(COUNTIF('Data SO'!$H$2:$H$1085,$J266)=0,"Hanya di SCM",IF(AND(ABS(E266)&lt;0.01,ABS(H266)&lt;1),"Sama",IF(ABS(E266)&lt;0.01,"Selisih nominal",IF(ABS(H266)&lt;1,"Selisih qty","Selisih qty &amp; nominal")))))</f>
        <v>Sama</v>
      </c>
      <c r="J266" t="s">
        <v>290</v>
      </c>
      <c r="K266" t="str">
        <f>IFERROR(INDEX('Data SCM'!$D$2:$D$698,MATCH($J266,'Data SCM'!$I$2:$I$698,0)),"")</f>
        <v>PCS</v>
      </c>
      <c r="L266">
        <f t="shared" si="14"/>
        <v>1</v>
      </c>
    </row>
    <row r="267" spans="1:12" x14ac:dyDescent="0.25">
      <c r="A267" s="3" t="str">
        <f>IFERROR(INDEX('Data SO'!$C$2:$C$1085,MATCH($J267,'Data SO'!$H$2:$H$1085,0)),INDEX('Data SCM'!$B$2:$B$698,MATCH($J267,'Data SCM'!$I$2:$I$698,0)))</f>
        <v>LOTUS BISCOFF</v>
      </c>
      <c r="B267" s="3" t="str">
        <f>IFERROR(INDEX('Data SO'!$D$2:$D$1085,MATCH($J267,'Data SO'!$H$2:$H$1085,0)),K267)</f>
        <v>Pack</v>
      </c>
      <c r="C267" s="9">
        <f>SUMIF('Data SO'!$H$2:$H$1085,$J267,'Data SO'!$F$2:$F$1085)</f>
        <v>4</v>
      </c>
      <c r="D267" s="9">
        <f>SUMIF('Data SCM'!$I$2:$I$698,$J267,'Data SCM'!$E$2:$E$698)*L267</f>
        <v>1000</v>
      </c>
      <c r="E267" s="9">
        <f t="shared" si="12"/>
        <v>996</v>
      </c>
      <c r="F267" s="4">
        <f>SUMIF('Data SO'!$H$2:$H$1085,$J267,'Data SO'!$G$2:$G$1085)</f>
        <v>180000</v>
      </c>
      <c r="G267" s="4">
        <f>SUMIF('Data SCM'!$I$2:$I$698,$J267,'Data SCM'!$H$2:$H$698)</f>
        <v>180000</v>
      </c>
      <c r="H267" s="4">
        <f t="shared" si="13"/>
        <v>0</v>
      </c>
      <c r="I267" s="3" t="str">
        <f>IF(COUNTIF('Data SCM'!$I$2:$I$698,$J267)=0,"Hanya di SO",IF(COUNTIF('Data SO'!$H$2:$H$1085,$J267)=0,"Hanya di SCM",IF(AND(ABS(E267)&lt;0.01,ABS(H267)&lt;1),"Sama",IF(ABS(E267)&lt;0.01,"Selisih nominal",IF(ABS(H267)&lt;1,"Selisih qty","Selisih qty &amp; nominal")))))</f>
        <v>Selisih qty</v>
      </c>
      <c r="J267" t="s">
        <v>291</v>
      </c>
      <c r="K267" t="str">
        <f>IFERROR(INDEX('Data SCM'!$D$2:$D$698,MATCH($J267,'Data SCM'!$I$2:$I$698,0)),"")</f>
        <v>GR</v>
      </c>
      <c r="L267">
        <f t="shared" si="14"/>
        <v>1</v>
      </c>
    </row>
    <row r="268" spans="1:12" x14ac:dyDescent="0.25">
      <c r="A268" s="3" t="str">
        <f>IFERROR(INDEX('Data SO'!$C$2:$C$1085,MATCH($J268,'Data SO'!$H$2:$H$1085,0)),INDEX('Data SCM'!$B$2:$B$698,MATCH($J268,'Data SCM'!$I$2:$I$698,0)))</f>
        <v>Label Mochi Blueberry @1X500Pcs</v>
      </c>
      <c r="B268" s="3" t="str">
        <f>IFERROR(INDEX('Data SO'!$D$2:$D$1085,MATCH($J268,'Data SO'!$H$2:$H$1085,0)),K268)</f>
        <v>pcs</v>
      </c>
      <c r="C268" s="9">
        <f>SUMIF('Data SO'!$H$2:$H$1085,$J268,'Data SO'!$F$2:$F$1085)</f>
        <v>1500</v>
      </c>
      <c r="D268" s="9">
        <f>SUMIF('Data SCM'!$I$2:$I$698,$J268,'Data SCM'!$E$2:$E$698)*L268</f>
        <v>1500</v>
      </c>
      <c r="E268" s="9">
        <f t="shared" si="12"/>
        <v>0</v>
      </c>
      <c r="F268" s="4">
        <f>SUMIF('Data SO'!$H$2:$H$1085,$J268,'Data SO'!$G$2:$G$1085)</f>
        <v>279000</v>
      </c>
      <c r="G268" s="4">
        <f>SUMIF('Data SCM'!$I$2:$I$698,$J268,'Data SCM'!$H$2:$H$698)</f>
        <v>279000</v>
      </c>
      <c r="H268" s="4">
        <f t="shared" si="13"/>
        <v>0</v>
      </c>
      <c r="I268" s="3" t="str">
        <f>IF(COUNTIF('Data SCM'!$I$2:$I$698,$J268)=0,"Hanya di SO",IF(COUNTIF('Data SO'!$H$2:$H$1085,$J268)=0,"Hanya di SCM",IF(AND(ABS(E268)&lt;0.01,ABS(H268)&lt;1),"Sama",IF(ABS(E268)&lt;0.01,"Selisih nominal",IF(ABS(H268)&lt;1,"Selisih qty","Selisih qty &amp; nominal")))))</f>
        <v>Sama</v>
      </c>
      <c r="J268" t="s">
        <v>292</v>
      </c>
      <c r="K268" t="str">
        <f>IFERROR(INDEX('Data SCM'!$D$2:$D$698,MATCH($J268,'Data SCM'!$I$2:$I$698,0)),"")</f>
        <v>PCS</v>
      </c>
      <c r="L268">
        <f t="shared" si="14"/>
        <v>1</v>
      </c>
    </row>
    <row r="269" spans="1:12" x14ac:dyDescent="0.25">
      <c r="A269" s="3" t="str">
        <f>IFERROR(INDEX('Data SO'!$C$2:$C$1085,MATCH($J269,'Data SO'!$H$2:$H$1085,0)),INDEX('Data SCM'!$B$2:$B$698,MATCH($J269,'Data SCM'!$I$2:$I$698,0)))</f>
        <v>Label Mochi Coklat @1X500Pcs</v>
      </c>
      <c r="B269" s="3" t="str">
        <f>IFERROR(INDEX('Data SO'!$D$2:$D$1085,MATCH($J269,'Data SO'!$H$2:$H$1085,0)),K269)</f>
        <v>pcs</v>
      </c>
      <c r="C269" s="9">
        <f>SUMIF('Data SO'!$H$2:$H$1085,$J269,'Data SO'!$F$2:$F$1085)</f>
        <v>1000</v>
      </c>
      <c r="D269" s="9">
        <f>SUMIF('Data SCM'!$I$2:$I$698,$J269,'Data SCM'!$E$2:$E$698)*L269</f>
        <v>1000</v>
      </c>
      <c r="E269" s="9">
        <f t="shared" si="12"/>
        <v>0</v>
      </c>
      <c r="F269" s="4">
        <f>SUMIF('Data SO'!$H$2:$H$1085,$J269,'Data SO'!$G$2:$G$1085)</f>
        <v>189000</v>
      </c>
      <c r="G269" s="4">
        <f>SUMIF('Data SCM'!$I$2:$I$698,$J269,'Data SCM'!$H$2:$H$698)</f>
        <v>189000</v>
      </c>
      <c r="H269" s="4">
        <f t="shared" si="13"/>
        <v>0</v>
      </c>
      <c r="I269" s="3" t="str">
        <f>IF(COUNTIF('Data SCM'!$I$2:$I$698,$J269)=0,"Hanya di SO",IF(COUNTIF('Data SO'!$H$2:$H$1085,$J269)=0,"Hanya di SCM",IF(AND(ABS(E269)&lt;0.01,ABS(H269)&lt;1),"Sama",IF(ABS(E269)&lt;0.01,"Selisih nominal",IF(ABS(H269)&lt;1,"Selisih qty","Selisih qty &amp; nominal")))))</f>
        <v>Sama</v>
      </c>
      <c r="J269" t="s">
        <v>293</v>
      </c>
      <c r="K269" t="str">
        <f>IFERROR(INDEX('Data SCM'!$D$2:$D$698,MATCH($J269,'Data SCM'!$I$2:$I$698,0)),"")</f>
        <v>PCS</v>
      </c>
      <c r="L269">
        <f t="shared" si="14"/>
        <v>1</v>
      </c>
    </row>
    <row r="270" spans="1:12" x14ac:dyDescent="0.25">
      <c r="A270" s="3" t="str">
        <f>IFERROR(INDEX('Data SO'!$C$2:$C$1085,MATCH($J270,'Data SO'!$H$2:$H$1085,0)),INDEX('Data SCM'!$B$2:$B$698,MATCH($J270,'Data SCM'!$I$2:$I$698,0)))</f>
        <v>Label Mochi Durian @1X500Pcs</v>
      </c>
      <c r="B270" s="3" t="str">
        <f>IFERROR(INDEX('Data SO'!$D$2:$D$1085,MATCH($J270,'Data SO'!$H$2:$H$1085,0)),K270)</f>
        <v>pcs</v>
      </c>
      <c r="C270" s="9">
        <f>SUMIF('Data SO'!$H$2:$H$1085,$J270,'Data SO'!$F$2:$F$1085)</f>
        <v>1796</v>
      </c>
      <c r="D270" s="9">
        <f>SUMIF('Data SCM'!$I$2:$I$698,$J270,'Data SCM'!$E$2:$E$698)*L270</f>
        <v>1796</v>
      </c>
      <c r="E270" s="9">
        <f t="shared" si="12"/>
        <v>0</v>
      </c>
      <c r="F270" s="4">
        <f>SUMIF('Data SO'!$H$2:$H$1085,$J270,'Data SO'!$G$2:$G$1085)</f>
        <v>334056</v>
      </c>
      <c r="G270" s="4">
        <f>SUMIF('Data SCM'!$I$2:$I$698,$J270,'Data SCM'!$H$2:$H$698)</f>
        <v>334056</v>
      </c>
      <c r="H270" s="4">
        <f t="shared" si="13"/>
        <v>0</v>
      </c>
      <c r="I270" s="3" t="str">
        <f>IF(COUNTIF('Data SCM'!$I$2:$I$698,$J270)=0,"Hanya di SO",IF(COUNTIF('Data SO'!$H$2:$H$1085,$J270)=0,"Hanya di SCM",IF(AND(ABS(E270)&lt;0.01,ABS(H270)&lt;1),"Sama",IF(ABS(E270)&lt;0.01,"Selisih nominal",IF(ABS(H270)&lt;1,"Selisih qty","Selisih qty &amp; nominal")))))</f>
        <v>Sama</v>
      </c>
      <c r="J270" t="s">
        <v>294</v>
      </c>
      <c r="K270" t="str">
        <f>IFERROR(INDEX('Data SCM'!$D$2:$D$698,MATCH($J270,'Data SCM'!$I$2:$I$698,0)),"")</f>
        <v>PCS</v>
      </c>
      <c r="L270">
        <f t="shared" si="14"/>
        <v>1</v>
      </c>
    </row>
    <row r="271" spans="1:12" x14ac:dyDescent="0.25">
      <c r="A271" s="3" t="str">
        <f>IFERROR(INDEX('Data SO'!$C$2:$C$1085,MATCH($J271,'Data SO'!$H$2:$H$1085,0)),INDEX('Data SCM'!$B$2:$B$698,MATCH($J271,'Data SCM'!$I$2:$I$698,0)))</f>
        <v>Label Mochi Mocca @1X500Pcs</v>
      </c>
      <c r="B271" s="3" t="str">
        <f>IFERROR(INDEX('Data SO'!$D$2:$D$1085,MATCH($J271,'Data SO'!$H$2:$H$1085,0)),K271)</f>
        <v>pcs</v>
      </c>
      <c r="C271" s="9">
        <f>SUMIF('Data SO'!$H$2:$H$1085,$J271,'Data SO'!$F$2:$F$1085)</f>
        <v>1000</v>
      </c>
      <c r="D271" s="9">
        <f>SUMIF('Data SCM'!$I$2:$I$698,$J271,'Data SCM'!$E$2:$E$698)*L271</f>
        <v>1000</v>
      </c>
      <c r="E271" s="9">
        <f t="shared" si="12"/>
        <v>0</v>
      </c>
      <c r="F271" s="4">
        <f>SUMIF('Data SO'!$H$2:$H$1085,$J271,'Data SO'!$G$2:$G$1085)</f>
        <v>186000</v>
      </c>
      <c r="G271" s="4">
        <f>SUMIF('Data SCM'!$I$2:$I$698,$J271,'Data SCM'!$H$2:$H$698)</f>
        <v>186000</v>
      </c>
      <c r="H271" s="4">
        <f t="shared" si="13"/>
        <v>0</v>
      </c>
      <c r="I271" s="3" t="str">
        <f>IF(COUNTIF('Data SCM'!$I$2:$I$698,$J271)=0,"Hanya di SO",IF(COUNTIF('Data SO'!$H$2:$H$1085,$J271)=0,"Hanya di SCM",IF(AND(ABS(E271)&lt;0.01,ABS(H271)&lt;1),"Sama",IF(ABS(E271)&lt;0.01,"Selisih nominal",IF(ABS(H271)&lt;1,"Selisih qty","Selisih qty &amp; nominal")))))</f>
        <v>Sama</v>
      </c>
      <c r="J271" t="s">
        <v>295</v>
      </c>
      <c r="K271" t="str">
        <f>IFERROR(INDEX('Data SCM'!$D$2:$D$698,MATCH($J271,'Data SCM'!$I$2:$I$698,0)),"")</f>
        <v>PCS</v>
      </c>
      <c r="L271">
        <f t="shared" si="14"/>
        <v>1</v>
      </c>
    </row>
    <row r="272" spans="1:12" x14ac:dyDescent="0.25">
      <c r="A272" s="3" t="str">
        <f>IFERROR(INDEX('Data SO'!$C$2:$C$1085,MATCH($J272,'Data SO'!$H$2:$H$1085,0)),INDEX('Data SCM'!$B$2:$B$698,MATCH($J272,'Data SCM'!$I$2:$I$698,0)))</f>
        <v>Label Mochi Pandan Suji @1X500Pcs</v>
      </c>
      <c r="B272" s="3" t="str">
        <f>IFERROR(INDEX('Data SO'!$D$2:$D$1085,MATCH($J272,'Data SO'!$H$2:$H$1085,0)),K272)</f>
        <v>pcs</v>
      </c>
      <c r="C272" s="9">
        <f>SUMIF('Data SO'!$H$2:$H$1085,$J272,'Data SO'!$F$2:$F$1085)</f>
        <v>1000</v>
      </c>
      <c r="D272" s="9">
        <f>SUMIF('Data SCM'!$I$2:$I$698,$J272,'Data SCM'!$E$2:$E$698)*L272</f>
        <v>1000</v>
      </c>
      <c r="E272" s="9">
        <f t="shared" si="12"/>
        <v>0</v>
      </c>
      <c r="F272" s="4">
        <f>SUMIF('Data SO'!$H$2:$H$1085,$J272,'Data SO'!$G$2:$G$1085)</f>
        <v>186000</v>
      </c>
      <c r="G272" s="4">
        <f>SUMIF('Data SCM'!$I$2:$I$698,$J272,'Data SCM'!$H$2:$H$698)</f>
        <v>186000</v>
      </c>
      <c r="H272" s="4">
        <f t="shared" si="13"/>
        <v>0</v>
      </c>
      <c r="I272" s="3" t="str">
        <f>IF(COUNTIF('Data SCM'!$I$2:$I$698,$J272)=0,"Hanya di SO",IF(COUNTIF('Data SO'!$H$2:$H$1085,$J272)=0,"Hanya di SCM",IF(AND(ABS(E272)&lt;0.01,ABS(H272)&lt;1),"Sama",IF(ABS(E272)&lt;0.01,"Selisih nominal",IF(ABS(H272)&lt;1,"Selisih qty","Selisih qty &amp; nominal")))))</f>
        <v>Sama</v>
      </c>
      <c r="J272" t="s">
        <v>296</v>
      </c>
      <c r="K272" t="str">
        <f>IFERROR(INDEX('Data SCM'!$D$2:$D$698,MATCH($J272,'Data SCM'!$I$2:$I$698,0)),"")</f>
        <v>PCS</v>
      </c>
      <c r="L272">
        <f t="shared" si="14"/>
        <v>1</v>
      </c>
    </row>
    <row r="273" spans="1:12" x14ac:dyDescent="0.25">
      <c r="A273" s="3" t="str">
        <f>IFERROR(INDEX('Data SO'!$C$2:$C$1085,MATCH($J273,'Data SO'!$H$2:$H$1085,0)),INDEX('Data SCM'!$B$2:$B$698,MATCH($J273,'Data SCM'!$I$2:$I$698,0)))</f>
        <v>Label Mochi Strawberry @1X500Pcs</v>
      </c>
      <c r="B273" s="3" t="str">
        <f>IFERROR(INDEX('Data SO'!$D$2:$D$1085,MATCH($J273,'Data SO'!$H$2:$H$1085,0)),K273)</f>
        <v>pcs</v>
      </c>
      <c r="C273" s="9">
        <f>SUMIF('Data SO'!$H$2:$H$1085,$J273,'Data SO'!$F$2:$F$1085)</f>
        <v>1000</v>
      </c>
      <c r="D273" s="9">
        <f>SUMIF('Data SCM'!$I$2:$I$698,$J273,'Data SCM'!$E$2:$E$698)*L273</f>
        <v>1000</v>
      </c>
      <c r="E273" s="9">
        <f t="shared" si="12"/>
        <v>0</v>
      </c>
      <c r="F273" s="4">
        <f>SUMIF('Data SO'!$H$2:$H$1085,$J273,'Data SO'!$G$2:$G$1085)</f>
        <v>186000</v>
      </c>
      <c r="G273" s="4">
        <f>SUMIF('Data SCM'!$I$2:$I$698,$J273,'Data SCM'!$H$2:$H$698)</f>
        <v>186000</v>
      </c>
      <c r="H273" s="4">
        <f t="shared" si="13"/>
        <v>0</v>
      </c>
      <c r="I273" s="3" t="str">
        <f>IF(COUNTIF('Data SCM'!$I$2:$I$698,$J273)=0,"Hanya di SO",IF(COUNTIF('Data SO'!$H$2:$H$1085,$J273)=0,"Hanya di SCM",IF(AND(ABS(E273)&lt;0.01,ABS(H273)&lt;1),"Sama",IF(ABS(E273)&lt;0.01,"Selisih nominal",IF(ABS(H273)&lt;1,"Selisih qty","Selisih qty &amp; nominal")))))</f>
        <v>Sama</v>
      </c>
      <c r="J273" t="s">
        <v>297</v>
      </c>
      <c r="K273" t="str">
        <f>IFERROR(INDEX('Data SCM'!$D$2:$D$698,MATCH($J273,'Data SCM'!$I$2:$I$698,0)),"")</f>
        <v>PCS</v>
      </c>
      <c r="L273">
        <f t="shared" si="14"/>
        <v>1</v>
      </c>
    </row>
    <row r="274" spans="1:12" x14ac:dyDescent="0.25">
      <c r="A274" s="3" t="str">
        <f>IFERROR(INDEX('Data SO'!$C$2:$C$1085,MATCH($J274,'Data SO'!$H$2:$H$1085,0)),INDEX('Data SCM'!$B$2:$B$698,MATCH($J274,'Data SCM'!$I$2:$I$698,0)))</f>
        <v>Lepatta Realfruit Durian @1X8Kg</v>
      </c>
      <c r="B274" s="3" t="str">
        <f>IFERROR(INDEX('Data SO'!$D$2:$D$1085,MATCH($J274,'Data SO'!$H$2:$H$1085,0)),K274)</f>
        <v>kg</v>
      </c>
      <c r="C274" s="9">
        <f>SUMIF('Data SO'!$H$2:$H$1085,$J274,'Data SO'!$F$2:$F$1085)</f>
        <v>6</v>
      </c>
      <c r="D274" s="9">
        <f>SUMIF('Data SCM'!$I$2:$I$698,$J274,'Data SCM'!$E$2:$E$698)*L274</f>
        <v>6</v>
      </c>
      <c r="E274" s="9">
        <f t="shared" si="12"/>
        <v>0</v>
      </c>
      <c r="F274" s="4">
        <f>SUMIF('Data SO'!$H$2:$H$1085,$J274,'Data SO'!$G$2:$G$1085)</f>
        <v>377850</v>
      </c>
      <c r="G274" s="4">
        <f>SUMIF('Data SCM'!$I$2:$I$698,$J274,'Data SCM'!$H$2:$H$698)</f>
        <v>377850</v>
      </c>
      <c r="H274" s="4">
        <f t="shared" si="13"/>
        <v>0</v>
      </c>
      <c r="I274" s="3" t="str">
        <f>IF(COUNTIF('Data SCM'!$I$2:$I$698,$J274)=0,"Hanya di SO",IF(COUNTIF('Data SO'!$H$2:$H$1085,$J274)=0,"Hanya di SCM",IF(AND(ABS(E274)&lt;0.01,ABS(H274)&lt;1),"Sama",IF(ABS(E274)&lt;0.01,"Selisih nominal",IF(ABS(H274)&lt;1,"Selisih qty","Selisih qty &amp; nominal")))))</f>
        <v>Sama</v>
      </c>
      <c r="J274" t="s">
        <v>298</v>
      </c>
      <c r="K274" t="str">
        <f>IFERROR(INDEX('Data SCM'!$D$2:$D$698,MATCH($J274,'Data SCM'!$I$2:$I$698,0)),"")</f>
        <v>KG</v>
      </c>
      <c r="L274">
        <f t="shared" si="14"/>
        <v>1</v>
      </c>
    </row>
    <row r="275" spans="1:12" x14ac:dyDescent="0.25">
      <c r="A275" s="3" t="str">
        <f>IFERROR(INDEX('Data SO'!$C$2:$C$1085,MATCH($J275,'Data SO'!$H$2:$H$1085,0)),INDEX('Data SCM'!$B$2:$B$698,MATCH($J275,'Data SCM'!$I$2:$I$698,0)))</f>
        <v>Lilin Angka 0 Emas  @1x100 Pcs</v>
      </c>
      <c r="B275" s="3" t="str">
        <f>IFERROR(INDEX('Data SO'!$D$2:$D$1085,MATCH($J275,'Data SO'!$H$2:$H$1085,0)),K275)</f>
        <v>Pcs</v>
      </c>
      <c r="C275" s="9">
        <f>SUMIF('Data SO'!$H$2:$H$1085,$J275,'Data SO'!$F$2:$F$1085)</f>
        <v>1530</v>
      </c>
      <c r="D275" s="9">
        <f>SUMIF('Data SCM'!$I$2:$I$698,$J275,'Data SCM'!$E$2:$E$698)*L275</f>
        <v>1530</v>
      </c>
      <c r="E275" s="9">
        <f t="shared" si="12"/>
        <v>0</v>
      </c>
      <c r="F275" s="4">
        <f>SUMIF('Data SO'!$H$2:$H$1085,$J275,'Data SO'!$G$2:$G$1085)</f>
        <v>4590000</v>
      </c>
      <c r="G275" s="4">
        <f>SUMIF('Data SCM'!$I$2:$I$698,$J275,'Data SCM'!$H$2:$H$698)</f>
        <v>4590000</v>
      </c>
      <c r="H275" s="4">
        <f t="shared" si="13"/>
        <v>0</v>
      </c>
      <c r="I275" s="3" t="str">
        <f>IF(COUNTIF('Data SCM'!$I$2:$I$698,$J275)=0,"Hanya di SO",IF(COUNTIF('Data SO'!$H$2:$H$1085,$J275)=0,"Hanya di SCM",IF(AND(ABS(E275)&lt;0.01,ABS(H275)&lt;1),"Sama",IF(ABS(E275)&lt;0.01,"Selisih nominal",IF(ABS(H275)&lt;1,"Selisih qty","Selisih qty &amp; nominal")))))</f>
        <v>Sama</v>
      </c>
      <c r="J275" t="s">
        <v>299</v>
      </c>
      <c r="K275" t="str">
        <f>IFERROR(INDEX('Data SCM'!$D$2:$D$698,MATCH($J275,'Data SCM'!$I$2:$I$698,0)),"")</f>
        <v>PCS</v>
      </c>
      <c r="L275">
        <f t="shared" si="14"/>
        <v>1</v>
      </c>
    </row>
    <row r="276" spans="1:12" x14ac:dyDescent="0.25">
      <c r="A276" s="3" t="str">
        <f>IFERROR(INDEX('Data SO'!$C$2:$C$1085,MATCH($J276,'Data SO'!$H$2:$H$1085,0)),INDEX('Data SCM'!$B$2:$B$698,MATCH($J276,'Data SCM'!$I$2:$I$698,0)))</f>
        <v>Lilin Angka 0 Gliter @1x12 Pcs</v>
      </c>
      <c r="B276" s="3" t="str">
        <f>IFERROR(INDEX('Data SO'!$D$2:$D$1085,MATCH($J276,'Data SO'!$H$2:$H$1085,0)),K276)</f>
        <v>Pcs</v>
      </c>
      <c r="C276" s="9">
        <f>SUMIF('Data SO'!$H$2:$H$1085,$J276,'Data SO'!$F$2:$F$1085)</f>
        <v>21</v>
      </c>
      <c r="D276" s="9">
        <f>SUMIF('Data SCM'!$I$2:$I$698,$J276,'Data SCM'!$E$2:$E$698)*L276</f>
        <v>21</v>
      </c>
      <c r="E276" s="9">
        <f t="shared" si="12"/>
        <v>0</v>
      </c>
      <c r="F276" s="4">
        <f>SUMIF('Data SO'!$H$2:$H$1085,$J276,'Data SO'!$G$2:$G$1085)</f>
        <v>40257</v>
      </c>
      <c r="G276" s="4">
        <f>SUMIF('Data SCM'!$I$2:$I$698,$J276,'Data SCM'!$H$2:$H$698)</f>
        <v>40257</v>
      </c>
      <c r="H276" s="4">
        <f t="shared" si="13"/>
        <v>0</v>
      </c>
      <c r="I276" s="3" t="str">
        <f>IF(COUNTIF('Data SCM'!$I$2:$I$698,$J276)=0,"Hanya di SO",IF(COUNTIF('Data SO'!$H$2:$H$1085,$J276)=0,"Hanya di SCM",IF(AND(ABS(E276)&lt;0.01,ABS(H276)&lt;1),"Sama",IF(ABS(E276)&lt;0.01,"Selisih nominal",IF(ABS(H276)&lt;1,"Selisih qty","Selisih qty &amp; nominal")))))</f>
        <v>Sama</v>
      </c>
      <c r="J276" t="s">
        <v>300</v>
      </c>
      <c r="K276" t="str">
        <f>IFERROR(INDEX('Data SCM'!$D$2:$D$698,MATCH($J276,'Data SCM'!$I$2:$I$698,0)),"")</f>
        <v>PCS</v>
      </c>
      <c r="L276">
        <f t="shared" si="14"/>
        <v>1</v>
      </c>
    </row>
    <row r="277" spans="1:12" x14ac:dyDescent="0.25">
      <c r="A277" s="3" t="str">
        <f>IFERROR(INDEX('Data SO'!$C$2:$C$1085,MATCH($J277,'Data SO'!$H$2:$H$1085,0)),INDEX('Data SCM'!$B$2:$B$698,MATCH($J277,'Data SCM'!$I$2:$I$698,0)))</f>
        <v>Lilin Angka 1 Emas @1x100 Pcs</v>
      </c>
      <c r="B277" s="3" t="str">
        <f>IFERROR(INDEX('Data SO'!$D$2:$D$1085,MATCH($J277,'Data SO'!$H$2:$H$1085,0)),K277)</f>
        <v>Pcs</v>
      </c>
      <c r="C277" s="9">
        <f>SUMIF('Data SO'!$H$2:$H$1085,$J277,'Data SO'!$F$2:$F$1085)</f>
        <v>840</v>
      </c>
      <c r="D277" s="9">
        <f>SUMIF('Data SCM'!$I$2:$I$698,$J277,'Data SCM'!$E$2:$E$698)*L277</f>
        <v>840</v>
      </c>
      <c r="E277" s="9">
        <f t="shared" si="12"/>
        <v>0</v>
      </c>
      <c r="F277" s="4">
        <f>SUMIF('Data SO'!$H$2:$H$1085,$J277,'Data SO'!$G$2:$G$1085)</f>
        <v>2520000</v>
      </c>
      <c r="G277" s="4">
        <f>SUMIF('Data SCM'!$I$2:$I$698,$J277,'Data SCM'!$H$2:$H$698)</f>
        <v>2520000</v>
      </c>
      <c r="H277" s="4">
        <f t="shared" si="13"/>
        <v>0</v>
      </c>
      <c r="I277" s="3" t="str">
        <f>IF(COUNTIF('Data SCM'!$I$2:$I$698,$J277)=0,"Hanya di SO",IF(COUNTIF('Data SO'!$H$2:$H$1085,$J277)=0,"Hanya di SCM",IF(AND(ABS(E277)&lt;0.01,ABS(H277)&lt;1),"Sama",IF(ABS(E277)&lt;0.01,"Selisih nominal",IF(ABS(H277)&lt;1,"Selisih qty","Selisih qty &amp; nominal")))))</f>
        <v>Sama</v>
      </c>
      <c r="J277" t="s">
        <v>301</v>
      </c>
      <c r="K277" t="str">
        <f>IFERROR(INDEX('Data SCM'!$D$2:$D$698,MATCH($J277,'Data SCM'!$I$2:$I$698,0)),"")</f>
        <v>PCS</v>
      </c>
      <c r="L277">
        <f t="shared" si="14"/>
        <v>1</v>
      </c>
    </row>
    <row r="278" spans="1:12" x14ac:dyDescent="0.25">
      <c r="A278" s="3" t="str">
        <f>IFERROR(INDEX('Data SO'!$C$2:$C$1085,MATCH($J278,'Data SO'!$H$2:$H$1085,0)),INDEX('Data SCM'!$B$2:$B$698,MATCH($J278,'Data SCM'!$I$2:$I$698,0)))</f>
        <v>Lilin Angka 1 Gliter @1x12 Pcs</v>
      </c>
      <c r="B278" s="3" t="str">
        <f>IFERROR(INDEX('Data SO'!$D$2:$D$1085,MATCH($J278,'Data SO'!$H$2:$H$1085,0)),K278)</f>
        <v>Pcs</v>
      </c>
      <c r="C278" s="9">
        <f>SUMIF('Data SO'!$H$2:$H$1085,$J278,'Data SO'!$F$2:$F$1085)</f>
        <v>13</v>
      </c>
      <c r="D278" s="9">
        <f>SUMIF('Data SCM'!$I$2:$I$698,$J278,'Data SCM'!$E$2:$E$698)*L278</f>
        <v>13</v>
      </c>
      <c r="E278" s="9">
        <f t="shared" si="12"/>
        <v>0</v>
      </c>
      <c r="F278" s="4">
        <f>SUMIF('Data SO'!$H$2:$H$1085,$J278,'Data SO'!$G$2:$G$1085)</f>
        <v>24921</v>
      </c>
      <c r="G278" s="4">
        <f>SUMIF('Data SCM'!$I$2:$I$698,$J278,'Data SCM'!$H$2:$H$698)</f>
        <v>24921</v>
      </c>
      <c r="H278" s="4">
        <f t="shared" si="13"/>
        <v>0</v>
      </c>
      <c r="I278" s="3" t="str">
        <f>IF(COUNTIF('Data SCM'!$I$2:$I$698,$J278)=0,"Hanya di SO",IF(COUNTIF('Data SO'!$H$2:$H$1085,$J278)=0,"Hanya di SCM",IF(AND(ABS(E278)&lt;0.01,ABS(H278)&lt;1),"Sama",IF(ABS(E278)&lt;0.01,"Selisih nominal",IF(ABS(H278)&lt;1,"Selisih qty","Selisih qty &amp; nominal")))))</f>
        <v>Sama</v>
      </c>
      <c r="J278" t="s">
        <v>302</v>
      </c>
      <c r="K278" t="str">
        <f>IFERROR(INDEX('Data SCM'!$D$2:$D$698,MATCH($J278,'Data SCM'!$I$2:$I$698,0)),"")</f>
        <v>PCS</v>
      </c>
      <c r="L278">
        <f t="shared" si="14"/>
        <v>1</v>
      </c>
    </row>
    <row r="279" spans="1:12" x14ac:dyDescent="0.25">
      <c r="A279" s="3" t="str">
        <f>IFERROR(INDEX('Data SO'!$C$2:$C$1085,MATCH($J279,'Data SO'!$H$2:$H$1085,0)),INDEX('Data SCM'!$B$2:$B$698,MATCH($J279,'Data SCM'!$I$2:$I$698,0)))</f>
        <v>Lilin Angka 2 Emas @1x100 Pcs</v>
      </c>
      <c r="B279" s="3" t="str">
        <f>IFERROR(INDEX('Data SO'!$D$2:$D$1085,MATCH($J279,'Data SO'!$H$2:$H$1085,0)),K279)</f>
        <v>Pcs</v>
      </c>
      <c r="C279" s="9">
        <f>SUMIF('Data SO'!$H$2:$H$1085,$J279,'Data SO'!$F$2:$F$1085)</f>
        <v>850</v>
      </c>
      <c r="D279" s="9">
        <f>SUMIF('Data SCM'!$I$2:$I$698,$J279,'Data SCM'!$E$2:$E$698)*L279</f>
        <v>850</v>
      </c>
      <c r="E279" s="9">
        <f t="shared" si="12"/>
        <v>0</v>
      </c>
      <c r="F279" s="4">
        <f>SUMIF('Data SO'!$H$2:$H$1085,$J279,'Data SO'!$G$2:$G$1085)</f>
        <v>2550000</v>
      </c>
      <c r="G279" s="4">
        <f>SUMIF('Data SCM'!$I$2:$I$698,$J279,'Data SCM'!$H$2:$H$698)</f>
        <v>2550000</v>
      </c>
      <c r="H279" s="4">
        <f t="shared" si="13"/>
        <v>0</v>
      </c>
      <c r="I279" s="3" t="str">
        <f>IF(COUNTIF('Data SCM'!$I$2:$I$698,$J279)=0,"Hanya di SO",IF(COUNTIF('Data SO'!$H$2:$H$1085,$J279)=0,"Hanya di SCM",IF(AND(ABS(E279)&lt;0.01,ABS(H279)&lt;1),"Sama",IF(ABS(E279)&lt;0.01,"Selisih nominal",IF(ABS(H279)&lt;1,"Selisih qty","Selisih qty &amp; nominal")))))</f>
        <v>Sama</v>
      </c>
      <c r="J279" t="s">
        <v>303</v>
      </c>
      <c r="K279" t="str">
        <f>IFERROR(INDEX('Data SCM'!$D$2:$D$698,MATCH($J279,'Data SCM'!$I$2:$I$698,0)),"")</f>
        <v>PCS</v>
      </c>
      <c r="L279">
        <f t="shared" si="14"/>
        <v>1</v>
      </c>
    </row>
    <row r="280" spans="1:12" x14ac:dyDescent="0.25">
      <c r="A280" s="3" t="str">
        <f>IFERROR(INDEX('Data SO'!$C$2:$C$1085,MATCH($J280,'Data SO'!$H$2:$H$1085,0)),INDEX('Data SCM'!$B$2:$B$698,MATCH($J280,'Data SCM'!$I$2:$I$698,0)))</f>
        <v>Lilin Angka 2 Gliter @1x12 Pcs</v>
      </c>
      <c r="B280" s="3" t="str">
        <f>IFERROR(INDEX('Data SO'!$D$2:$D$1085,MATCH($J280,'Data SO'!$H$2:$H$1085,0)),K280)</f>
        <v>Pcs</v>
      </c>
      <c r="C280" s="9">
        <f>SUMIF('Data SO'!$H$2:$H$1085,$J280,'Data SO'!$F$2:$F$1085)</f>
        <v>14</v>
      </c>
      <c r="D280" s="9">
        <f>SUMIF('Data SCM'!$I$2:$I$698,$J280,'Data SCM'!$E$2:$E$698)*L280</f>
        <v>14</v>
      </c>
      <c r="E280" s="9">
        <f t="shared" si="12"/>
        <v>0</v>
      </c>
      <c r="F280" s="4">
        <f>SUMIF('Data SO'!$H$2:$H$1085,$J280,'Data SO'!$G$2:$G$1085)</f>
        <v>26838</v>
      </c>
      <c r="G280" s="4">
        <f>SUMIF('Data SCM'!$I$2:$I$698,$J280,'Data SCM'!$H$2:$H$698)</f>
        <v>26838</v>
      </c>
      <c r="H280" s="4">
        <f t="shared" si="13"/>
        <v>0</v>
      </c>
      <c r="I280" s="3" t="str">
        <f>IF(COUNTIF('Data SCM'!$I$2:$I$698,$J280)=0,"Hanya di SO",IF(COUNTIF('Data SO'!$H$2:$H$1085,$J280)=0,"Hanya di SCM",IF(AND(ABS(E280)&lt;0.01,ABS(H280)&lt;1),"Sama",IF(ABS(E280)&lt;0.01,"Selisih nominal",IF(ABS(H280)&lt;1,"Selisih qty","Selisih qty &amp; nominal")))))</f>
        <v>Sama</v>
      </c>
      <c r="J280" t="s">
        <v>304</v>
      </c>
      <c r="K280" t="str">
        <f>IFERROR(INDEX('Data SCM'!$D$2:$D$698,MATCH($J280,'Data SCM'!$I$2:$I$698,0)),"")</f>
        <v>PCS</v>
      </c>
      <c r="L280">
        <f t="shared" si="14"/>
        <v>1</v>
      </c>
    </row>
    <row r="281" spans="1:12" x14ac:dyDescent="0.25">
      <c r="A281" s="3" t="str">
        <f>IFERROR(INDEX('Data SO'!$C$2:$C$1085,MATCH($J281,'Data SO'!$H$2:$H$1085,0)),INDEX('Data SCM'!$B$2:$B$698,MATCH($J281,'Data SCM'!$I$2:$I$698,0)))</f>
        <v>Lilin Angka 3 Emas @1x100 Pcs</v>
      </c>
      <c r="B281" s="3" t="str">
        <f>IFERROR(INDEX('Data SO'!$D$2:$D$1085,MATCH($J281,'Data SO'!$H$2:$H$1085,0)),K281)</f>
        <v>Pcs</v>
      </c>
      <c r="C281" s="9">
        <f>SUMIF('Data SO'!$H$2:$H$1085,$J281,'Data SO'!$F$2:$F$1085)</f>
        <v>1195</v>
      </c>
      <c r="D281" s="9">
        <f>SUMIF('Data SCM'!$I$2:$I$698,$J281,'Data SCM'!$E$2:$E$698)*L281</f>
        <v>1195</v>
      </c>
      <c r="E281" s="9">
        <f t="shared" si="12"/>
        <v>0</v>
      </c>
      <c r="F281" s="4">
        <f>SUMIF('Data SO'!$H$2:$H$1085,$J281,'Data SO'!$G$2:$G$1085)</f>
        <v>3585000</v>
      </c>
      <c r="G281" s="4">
        <f>SUMIF('Data SCM'!$I$2:$I$698,$J281,'Data SCM'!$H$2:$H$698)</f>
        <v>3585000</v>
      </c>
      <c r="H281" s="4">
        <f t="shared" si="13"/>
        <v>0</v>
      </c>
      <c r="I281" s="3" t="str">
        <f>IF(COUNTIF('Data SCM'!$I$2:$I$698,$J281)=0,"Hanya di SO",IF(COUNTIF('Data SO'!$H$2:$H$1085,$J281)=0,"Hanya di SCM",IF(AND(ABS(E281)&lt;0.01,ABS(H281)&lt;1),"Sama",IF(ABS(E281)&lt;0.01,"Selisih nominal",IF(ABS(H281)&lt;1,"Selisih qty","Selisih qty &amp; nominal")))))</f>
        <v>Sama</v>
      </c>
      <c r="J281" t="s">
        <v>305</v>
      </c>
      <c r="K281" t="str">
        <f>IFERROR(INDEX('Data SCM'!$D$2:$D$698,MATCH($J281,'Data SCM'!$I$2:$I$698,0)),"")</f>
        <v>PCS</v>
      </c>
      <c r="L281">
        <f t="shared" si="14"/>
        <v>1</v>
      </c>
    </row>
    <row r="282" spans="1:12" x14ac:dyDescent="0.25">
      <c r="A282" s="3" t="str">
        <f>IFERROR(INDEX('Data SO'!$C$2:$C$1085,MATCH($J282,'Data SO'!$H$2:$H$1085,0)),INDEX('Data SCM'!$B$2:$B$698,MATCH($J282,'Data SCM'!$I$2:$I$698,0)))</f>
        <v>Lilin Angka 3 Gliter @1x12 Pcs</v>
      </c>
      <c r="B282" s="3" t="str">
        <f>IFERROR(INDEX('Data SO'!$D$2:$D$1085,MATCH($J282,'Data SO'!$H$2:$H$1085,0)),K282)</f>
        <v>Pcs</v>
      </c>
      <c r="C282" s="9">
        <f>SUMIF('Data SO'!$H$2:$H$1085,$J282,'Data SO'!$F$2:$F$1085)</f>
        <v>14</v>
      </c>
      <c r="D282" s="9">
        <f>SUMIF('Data SCM'!$I$2:$I$698,$J282,'Data SCM'!$E$2:$E$698)*L282</f>
        <v>14</v>
      </c>
      <c r="E282" s="9">
        <f t="shared" si="12"/>
        <v>0</v>
      </c>
      <c r="F282" s="4">
        <f>SUMIF('Data SO'!$H$2:$H$1085,$J282,'Data SO'!$G$2:$G$1085)</f>
        <v>26838</v>
      </c>
      <c r="G282" s="4">
        <f>SUMIF('Data SCM'!$I$2:$I$698,$J282,'Data SCM'!$H$2:$H$698)</f>
        <v>26838</v>
      </c>
      <c r="H282" s="4">
        <f t="shared" si="13"/>
        <v>0</v>
      </c>
      <c r="I282" s="3" t="str">
        <f>IF(COUNTIF('Data SCM'!$I$2:$I$698,$J282)=0,"Hanya di SO",IF(COUNTIF('Data SO'!$H$2:$H$1085,$J282)=0,"Hanya di SCM",IF(AND(ABS(E282)&lt;0.01,ABS(H282)&lt;1),"Sama",IF(ABS(E282)&lt;0.01,"Selisih nominal",IF(ABS(H282)&lt;1,"Selisih qty","Selisih qty &amp; nominal")))))</f>
        <v>Sama</v>
      </c>
      <c r="J282" t="s">
        <v>306</v>
      </c>
      <c r="K282" t="str">
        <f>IFERROR(INDEX('Data SCM'!$D$2:$D$698,MATCH($J282,'Data SCM'!$I$2:$I$698,0)),"")</f>
        <v>PCS</v>
      </c>
      <c r="L282">
        <f t="shared" si="14"/>
        <v>1</v>
      </c>
    </row>
    <row r="283" spans="1:12" x14ac:dyDescent="0.25">
      <c r="A283" s="3" t="str">
        <f>IFERROR(INDEX('Data SO'!$C$2:$C$1085,MATCH($J283,'Data SO'!$H$2:$H$1085,0)),INDEX('Data SCM'!$B$2:$B$698,MATCH($J283,'Data SCM'!$I$2:$I$698,0)))</f>
        <v>Lilin Angka 4 Emas @1x100 Pcs</v>
      </c>
      <c r="B283" s="3" t="str">
        <f>IFERROR(INDEX('Data SO'!$D$2:$D$1085,MATCH($J283,'Data SO'!$H$2:$H$1085,0)),K283)</f>
        <v>Pcs</v>
      </c>
      <c r="C283" s="9">
        <f>SUMIF('Data SO'!$H$2:$H$1085,$J283,'Data SO'!$F$2:$F$1085)</f>
        <v>1369</v>
      </c>
      <c r="D283" s="9">
        <f>SUMIF('Data SCM'!$I$2:$I$698,$J283,'Data SCM'!$E$2:$E$698)*L283</f>
        <v>1369</v>
      </c>
      <c r="E283" s="9">
        <f t="shared" si="12"/>
        <v>0</v>
      </c>
      <c r="F283" s="4">
        <f>SUMIF('Data SO'!$H$2:$H$1085,$J283,'Data SO'!$G$2:$G$1085)</f>
        <v>4107000</v>
      </c>
      <c r="G283" s="4">
        <f>SUMIF('Data SCM'!$I$2:$I$698,$J283,'Data SCM'!$H$2:$H$698)</f>
        <v>4107000</v>
      </c>
      <c r="H283" s="4">
        <f t="shared" si="13"/>
        <v>0</v>
      </c>
      <c r="I283" s="3" t="str">
        <f>IF(COUNTIF('Data SCM'!$I$2:$I$698,$J283)=0,"Hanya di SO",IF(COUNTIF('Data SO'!$H$2:$H$1085,$J283)=0,"Hanya di SCM",IF(AND(ABS(E283)&lt;0.01,ABS(H283)&lt;1),"Sama",IF(ABS(E283)&lt;0.01,"Selisih nominal",IF(ABS(H283)&lt;1,"Selisih qty","Selisih qty &amp; nominal")))))</f>
        <v>Sama</v>
      </c>
      <c r="J283" t="s">
        <v>307</v>
      </c>
      <c r="K283" t="str">
        <f>IFERROR(INDEX('Data SCM'!$D$2:$D$698,MATCH($J283,'Data SCM'!$I$2:$I$698,0)),"")</f>
        <v>PCS</v>
      </c>
      <c r="L283">
        <f t="shared" si="14"/>
        <v>1</v>
      </c>
    </row>
    <row r="284" spans="1:12" x14ac:dyDescent="0.25">
      <c r="A284" s="3" t="str">
        <f>IFERROR(INDEX('Data SO'!$C$2:$C$1085,MATCH($J284,'Data SO'!$H$2:$H$1085,0)),INDEX('Data SCM'!$B$2:$B$698,MATCH($J284,'Data SCM'!$I$2:$I$698,0)))</f>
        <v>Lilin Angka 4 Gliter @1x12 Pcs</v>
      </c>
      <c r="B284" s="3" t="str">
        <f>IFERROR(INDEX('Data SO'!$D$2:$D$1085,MATCH($J284,'Data SO'!$H$2:$H$1085,0)),K284)</f>
        <v>Pcs</v>
      </c>
      <c r="C284" s="9">
        <f>SUMIF('Data SO'!$H$2:$H$1085,$J284,'Data SO'!$F$2:$F$1085)</f>
        <v>23</v>
      </c>
      <c r="D284" s="9">
        <f>SUMIF('Data SCM'!$I$2:$I$698,$J284,'Data SCM'!$E$2:$E$698)*L284</f>
        <v>23</v>
      </c>
      <c r="E284" s="9">
        <f t="shared" si="12"/>
        <v>0</v>
      </c>
      <c r="F284" s="4">
        <f>SUMIF('Data SO'!$H$2:$H$1085,$J284,'Data SO'!$G$2:$G$1085)</f>
        <v>44091</v>
      </c>
      <c r="G284" s="4">
        <f>SUMIF('Data SCM'!$I$2:$I$698,$J284,'Data SCM'!$H$2:$H$698)</f>
        <v>44091</v>
      </c>
      <c r="H284" s="4">
        <f t="shared" si="13"/>
        <v>0</v>
      </c>
      <c r="I284" s="3" t="str">
        <f>IF(COUNTIF('Data SCM'!$I$2:$I$698,$J284)=0,"Hanya di SO",IF(COUNTIF('Data SO'!$H$2:$H$1085,$J284)=0,"Hanya di SCM",IF(AND(ABS(E284)&lt;0.01,ABS(H284)&lt;1),"Sama",IF(ABS(E284)&lt;0.01,"Selisih nominal",IF(ABS(H284)&lt;1,"Selisih qty","Selisih qty &amp; nominal")))))</f>
        <v>Sama</v>
      </c>
      <c r="J284" t="s">
        <v>308</v>
      </c>
      <c r="K284" t="str">
        <f>IFERROR(INDEX('Data SCM'!$D$2:$D$698,MATCH($J284,'Data SCM'!$I$2:$I$698,0)),"")</f>
        <v>PCS</v>
      </c>
      <c r="L284">
        <f t="shared" si="14"/>
        <v>1</v>
      </c>
    </row>
    <row r="285" spans="1:12" x14ac:dyDescent="0.25">
      <c r="A285" s="3" t="str">
        <f>IFERROR(INDEX('Data SO'!$C$2:$C$1085,MATCH($J285,'Data SO'!$H$2:$H$1085,0)),INDEX('Data SCM'!$B$2:$B$698,MATCH($J285,'Data SCM'!$I$2:$I$698,0)))</f>
        <v>Lilin Angka 5 Emas @1x100 Pcs</v>
      </c>
      <c r="B285" s="3" t="str">
        <f>IFERROR(INDEX('Data SO'!$D$2:$D$1085,MATCH($J285,'Data SO'!$H$2:$H$1085,0)),K285)</f>
        <v>Pcs</v>
      </c>
      <c r="C285" s="9">
        <f>SUMIF('Data SO'!$H$2:$H$1085,$J285,'Data SO'!$F$2:$F$1085)</f>
        <v>1483</v>
      </c>
      <c r="D285" s="9">
        <f>SUMIF('Data SCM'!$I$2:$I$698,$J285,'Data SCM'!$E$2:$E$698)*L285</f>
        <v>1483</v>
      </c>
      <c r="E285" s="9">
        <f t="shared" si="12"/>
        <v>0</v>
      </c>
      <c r="F285" s="4">
        <f>SUMIF('Data SO'!$H$2:$H$1085,$J285,'Data SO'!$G$2:$G$1085)</f>
        <v>4449000</v>
      </c>
      <c r="G285" s="4">
        <f>SUMIF('Data SCM'!$I$2:$I$698,$J285,'Data SCM'!$H$2:$H$698)</f>
        <v>4449000</v>
      </c>
      <c r="H285" s="4">
        <f t="shared" si="13"/>
        <v>0</v>
      </c>
      <c r="I285" s="3" t="str">
        <f>IF(COUNTIF('Data SCM'!$I$2:$I$698,$J285)=0,"Hanya di SO",IF(COUNTIF('Data SO'!$H$2:$H$1085,$J285)=0,"Hanya di SCM",IF(AND(ABS(E285)&lt;0.01,ABS(H285)&lt;1),"Sama",IF(ABS(E285)&lt;0.01,"Selisih nominal",IF(ABS(H285)&lt;1,"Selisih qty","Selisih qty &amp; nominal")))))</f>
        <v>Sama</v>
      </c>
      <c r="J285" t="s">
        <v>309</v>
      </c>
      <c r="K285" t="str">
        <f>IFERROR(INDEX('Data SCM'!$D$2:$D$698,MATCH($J285,'Data SCM'!$I$2:$I$698,0)),"")</f>
        <v>PCS</v>
      </c>
      <c r="L285">
        <f t="shared" si="14"/>
        <v>1</v>
      </c>
    </row>
    <row r="286" spans="1:12" x14ac:dyDescent="0.25">
      <c r="A286" s="3" t="str">
        <f>IFERROR(INDEX('Data SO'!$C$2:$C$1085,MATCH($J286,'Data SO'!$H$2:$H$1085,0)),INDEX('Data SCM'!$B$2:$B$698,MATCH($J286,'Data SCM'!$I$2:$I$698,0)))</f>
        <v>Lilin Angka 5 Gliter @1x12 Pcs</v>
      </c>
      <c r="B286" s="3" t="str">
        <f>IFERROR(INDEX('Data SO'!$D$2:$D$1085,MATCH($J286,'Data SO'!$H$2:$H$1085,0)),K286)</f>
        <v>Pcs</v>
      </c>
      <c r="C286" s="9">
        <f>SUMIF('Data SO'!$H$2:$H$1085,$J286,'Data SO'!$F$2:$F$1085)</f>
        <v>12</v>
      </c>
      <c r="D286" s="9">
        <f>SUMIF('Data SCM'!$I$2:$I$698,$J286,'Data SCM'!$E$2:$E$698)*L286</f>
        <v>12</v>
      </c>
      <c r="E286" s="9">
        <f t="shared" si="12"/>
        <v>0</v>
      </c>
      <c r="F286" s="4">
        <f>SUMIF('Data SO'!$H$2:$H$1085,$J286,'Data SO'!$G$2:$G$1085)</f>
        <v>23004</v>
      </c>
      <c r="G286" s="4">
        <f>SUMIF('Data SCM'!$I$2:$I$698,$J286,'Data SCM'!$H$2:$H$698)</f>
        <v>23004</v>
      </c>
      <c r="H286" s="4">
        <f t="shared" si="13"/>
        <v>0</v>
      </c>
      <c r="I286" s="3" t="str">
        <f>IF(COUNTIF('Data SCM'!$I$2:$I$698,$J286)=0,"Hanya di SO",IF(COUNTIF('Data SO'!$H$2:$H$1085,$J286)=0,"Hanya di SCM",IF(AND(ABS(E286)&lt;0.01,ABS(H286)&lt;1),"Sama",IF(ABS(E286)&lt;0.01,"Selisih nominal",IF(ABS(H286)&lt;1,"Selisih qty","Selisih qty &amp; nominal")))))</f>
        <v>Sama</v>
      </c>
      <c r="J286" t="s">
        <v>310</v>
      </c>
      <c r="K286" t="str">
        <f>IFERROR(INDEX('Data SCM'!$D$2:$D$698,MATCH($J286,'Data SCM'!$I$2:$I$698,0)),"")</f>
        <v>PCS</v>
      </c>
      <c r="L286">
        <f t="shared" si="14"/>
        <v>1</v>
      </c>
    </row>
    <row r="287" spans="1:12" x14ac:dyDescent="0.25">
      <c r="A287" s="3" t="str">
        <f>IFERROR(INDEX('Data SO'!$C$2:$C$1085,MATCH($J287,'Data SO'!$H$2:$H$1085,0)),INDEX('Data SCM'!$B$2:$B$698,MATCH($J287,'Data SCM'!$I$2:$I$698,0)))</f>
        <v>Lilin Angka 6 Emas @1x100 Pcs</v>
      </c>
      <c r="B287" s="3" t="str">
        <f>IFERROR(INDEX('Data SO'!$D$2:$D$1085,MATCH($J287,'Data SO'!$H$2:$H$1085,0)),K287)</f>
        <v>Pcs</v>
      </c>
      <c r="C287" s="9">
        <f>SUMIF('Data SO'!$H$2:$H$1085,$J287,'Data SO'!$F$2:$F$1085)</f>
        <v>1600</v>
      </c>
      <c r="D287" s="9">
        <f>SUMIF('Data SCM'!$I$2:$I$698,$J287,'Data SCM'!$E$2:$E$698)*L287</f>
        <v>1600</v>
      </c>
      <c r="E287" s="9">
        <f t="shared" si="12"/>
        <v>0</v>
      </c>
      <c r="F287" s="4">
        <f>SUMIF('Data SO'!$H$2:$H$1085,$J287,'Data SO'!$G$2:$G$1085)</f>
        <v>4800000</v>
      </c>
      <c r="G287" s="4">
        <f>SUMIF('Data SCM'!$I$2:$I$698,$J287,'Data SCM'!$H$2:$H$698)</f>
        <v>4800000</v>
      </c>
      <c r="H287" s="4">
        <f t="shared" si="13"/>
        <v>0</v>
      </c>
      <c r="I287" s="3" t="str">
        <f>IF(COUNTIF('Data SCM'!$I$2:$I$698,$J287)=0,"Hanya di SO",IF(COUNTIF('Data SO'!$H$2:$H$1085,$J287)=0,"Hanya di SCM",IF(AND(ABS(E287)&lt;0.01,ABS(H287)&lt;1),"Sama",IF(ABS(E287)&lt;0.01,"Selisih nominal",IF(ABS(H287)&lt;1,"Selisih qty","Selisih qty &amp; nominal")))))</f>
        <v>Sama</v>
      </c>
      <c r="J287" t="s">
        <v>311</v>
      </c>
      <c r="K287" t="str">
        <f>IFERROR(INDEX('Data SCM'!$D$2:$D$698,MATCH($J287,'Data SCM'!$I$2:$I$698,0)),"")</f>
        <v>PCS</v>
      </c>
      <c r="L287">
        <f t="shared" si="14"/>
        <v>1</v>
      </c>
    </row>
    <row r="288" spans="1:12" x14ac:dyDescent="0.25">
      <c r="A288" s="3" t="str">
        <f>IFERROR(INDEX('Data SO'!$C$2:$C$1085,MATCH($J288,'Data SO'!$H$2:$H$1085,0)),INDEX('Data SCM'!$B$2:$B$698,MATCH($J288,'Data SCM'!$I$2:$I$698,0)))</f>
        <v>Lilin Angka 6 Gliter @1x12 Pcs</v>
      </c>
      <c r="B288" s="3" t="str">
        <f>IFERROR(INDEX('Data SO'!$D$2:$D$1085,MATCH($J288,'Data SO'!$H$2:$H$1085,0)),K288)</f>
        <v>Pcs</v>
      </c>
      <c r="C288" s="9">
        <f>SUMIF('Data SO'!$H$2:$H$1085,$J288,'Data SO'!$F$2:$F$1085)</f>
        <v>14</v>
      </c>
      <c r="D288" s="9">
        <f>SUMIF('Data SCM'!$I$2:$I$698,$J288,'Data SCM'!$E$2:$E$698)*L288</f>
        <v>14</v>
      </c>
      <c r="E288" s="9">
        <f t="shared" si="12"/>
        <v>0</v>
      </c>
      <c r="F288" s="4">
        <f>SUMIF('Data SO'!$H$2:$H$1085,$J288,'Data SO'!$G$2:$G$1085)</f>
        <v>26838</v>
      </c>
      <c r="G288" s="4">
        <f>SUMIF('Data SCM'!$I$2:$I$698,$J288,'Data SCM'!$H$2:$H$698)</f>
        <v>26838</v>
      </c>
      <c r="H288" s="4">
        <f t="shared" si="13"/>
        <v>0</v>
      </c>
      <c r="I288" s="3" t="str">
        <f>IF(COUNTIF('Data SCM'!$I$2:$I$698,$J288)=0,"Hanya di SO",IF(COUNTIF('Data SO'!$H$2:$H$1085,$J288)=0,"Hanya di SCM",IF(AND(ABS(E288)&lt;0.01,ABS(H288)&lt;1),"Sama",IF(ABS(E288)&lt;0.01,"Selisih nominal",IF(ABS(H288)&lt;1,"Selisih qty","Selisih qty &amp; nominal")))))</f>
        <v>Sama</v>
      </c>
      <c r="J288" t="s">
        <v>312</v>
      </c>
      <c r="K288" t="str">
        <f>IFERROR(INDEX('Data SCM'!$D$2:$D$698,MATCH($J288,'Data SCM'!$I$2:$I$698,0)),"")</f>
        <v>PCS</v>
      </c>
      <c r="L288">
        <f t="shared" si="14"/>
        <v>1</v>
      </c>
    </row>
    <row r="289" spans="1:12" x14ac:dyDescent="0.25">
      <c r="A289" s="3" t="str">
        <f>IFERROR(INDEX('Data SO'!$C$2:$C$1085,MATCH($J289,'Data SO'!$H$2:$H$1085,0)),INDEX('Data SCM'!$B$2:$B$698,MATCH($J289,'Data SCM'!$I$2:$I$698,0)))</f>
        <v>Lilin Angka 7 Emas @1x100 Pcs</v>
      </c>
      <c r="B289" s="3" t="str">
        <f>IFERROR(INDEX('Data SO'!$D$2:$D$1085,MATCH($J289,'Data SO'!$H$2:$H$1085,0)),K289)</f>
        <v>Pcs</v>
      </c>
      <c r="C289" s="9">
        <f>SUMIF('Data SO'!$H$2:$H$1085,$J289,'Data SO'!$F$2:$F$1085)</f>
        <v>1606</v>
      </c>
      <c r="D289" s="9">
        <f>SUMIF('Data SCM'!$I$2:$I$698,$J289,'Data SCM'!$E$2:$E$698)*L289</f>
        <v>1606</v>
      </c>
      <c r="E289" s="9">
        <f t="shared" si="12"/>
        <v>0</v>
      </c>
      <c r="F289" s="4">
        <f>SUMIF('Data SO'!$H$2:$H$1085,$J289,'Data SO'!$G$2:$G$1085)</f>
        <v>4818000</v>
      </c>
      <c r="G289" s="4">
        <f>SUMIF('Data SCM'!$I$2:$I$698,$J289,'Data SCM'!$H$2:$H$698)</f>
        <v>4818000</v>
      </c>
      <c r="H289" s="4">
        <f t="shared" si="13"/>
        <v>0</v>
      </c>
      <c r="I289" s="3" t="str">
        <f>IF(COUNTIF('Data SCM'!$I$2:$I$698,$J289)=0,"Hanya di SO",IF(COUNTIF('Data SO'!$H$2:$H$1085,$J289)=0,"Hanya di SCM",IF(AND(ABS(E289)&lt;0.01,ABS(H289)&lt;1),"Sama",IF(ABS(E289)&lt;0.01,"Selisih nominal",IF(ABS(H289)&lt;1,"Selisih qty","Selisih qty &amp; nominal")))))</f>
        <v>Sama</v>
      </c>
      <c r="J289" t="s">
        <v>313</v>
      </c>
      <c r="K289" t="str">
        <f>IFERROR(INDEX('Data SCM'!$D$2:$D$698,MATCH($J289,'Data SCM'!$I$2:$I$698,0)),"")</f>
        <v>PCS</v>
      </c>
      <c r="L289">
        <f t="shared" si="14"/>
        <v>1</v>
      </c>
    </row>
    <row r="290" spans="1:12" x14ac:dyDescent="0.25">
      <c r="A290" s="3" t="str">
        <f>IFERROR(INDEX('Data SO'!$C$2:$C$1085,MATCH($J290,'Data SO'!$H$2:$H$1085,0)),INDEX('Data SCM'!$B$2:$B$698,MATCH($J290,'Data SCM'!$I$2:$I$698,0)))</f>
        <v>Lilin Angka 7 Gliter @1x12 Pcs</v>
      </c>
      <c r="B290" s="3" t="str">
        <f>IFERROR(INDEX('Data SO'!$D$2:$D$1085,MATCH($J290,'Data SO'!$H$2:$H$1085,0)),K290)</f>
        <v>Pcs</v>
      </c>
      <c r="C290" s="9">
        <f>SUMIF('Data SO'!$H$2:$H$1085,$J290,'Data SO'!$F$2:$F$1085)</f>
        <v>14</v>
      </c>
      <c r="D290" s="9">
        <f>SUMIF('Data SCM'!$I$2:$I$698,$J290,'Data SCM'!$E$2:$E$698)*L290</f>
        <v>14</v>
      </c>
      <c r="E290" s="9">
        <f t="shared" si="12"/>
        <v>0</v>
      </c>
      <c r="F290" s="4">
        <f>SUMIF('Data SO'!$H$2:$H$1085,$J290,'Data SO'!$G$2:$G$1085)</f>
        <v>26838</v>
      </c>
      <c r="G290" s="4">
        <f>SUMIF('Data SCM'!$I$2:$I$698,$J290,'Data SCM'!$H$2:$H$698)</f>
        <v>26838</v>
      </c>
      <c r="H290" s="4">
        <f t="shared" si="13"/>
        <v>0</v>
      </c>
      <c r="I290" s="3" t="str">
        <f>IF(COUNTIF('Data SCM'!$I$2:$I$698,$J290)=0,"Hanya di SO",IF(COUNTIF('Data SO'!$H$2:$H$1085,$J290)=0,"Hanya di SCM",IF(AND(ABS(E290)&lt;0.01,ABS(H290)&lt;1),"Sama",IF(ABS(E290)&lt;0.01,"Selisih nominal",IF(ABS(H290)&lt;1,"Selisih qty","Selisih qty &amp; nominal")))))</f>
        <v>Sama</v>
      </c>
      <c r="J290" t="s">
        <v>314</v>
      </c>
      <c r="K290" t="str">
        <f>IFERROR(INDEX('Data SCM'!$D$2:$D$698,MATCH($J290,'Data SCM'!$I$2:$I$698,0)),"")</f>
        <v>PCS</v>
      </c>
      <c r="L290">
        <f t="shared" si="14"/>
        <v>1</v>
      </c>
    </row>
    <row r="291" spans="1:12" x14ac:dyDescent="0.25">
      <c r="A291" s="3" t="str">
        <f>IFERROR(INDEX('Data SO'!$C$2:$C$1085,MATCH($J291,'Data SO'!$H$2:$H$1085,0)),INDEX('Data SCM'!$B$2:$B$698,MATCH($J291,'Data SCM'!$I$2:$I$698,0)))</f>
        <v>Lilin Angka 8 Emas @1x100 Pcs</v>
      </c>
      <c r="B291" s="3" t="str">
        <f>IFERROR(INDEX('Data SO'!$D$2:$D$1085,MATCH($J291,'Data SO'!$H$2:$H$1085,0)),K291)</f>
        <v>Pcs</v>
      </c>
      <c r="C291" s="9">
        <f>SUMIF('Data SO'!$H$2:$H$1085,$J291,'Data SO'!$F$2:$F$1085)</f>
        <v>1612</v>
      </c>
      <c r="D291" s="9">
        <f>SUMIF('Data SCM'!$I$2:$I$698,$J291,'Data SCM'!$E$2:$E$698)*L291</f>
        <v>1612</v>
      </c>
      <c r="E291" s="9">
        <f t="shared" si="12"/>
        <v>0</v>
      </c>
      <c r="F291" s="4">
        <f>SUMIF('Data SO'!$H$2:$H$1085,$J291,'Data SO'!$G$2:$G$1085)</f>
        <v>4836000</v>
      </c>
      <c r="G291" s="4">
        <f>SUMIF('Data SCM'!$I$2:$I$698,$J291,'Data SCM'!$H$2:$H$698)</f>
        <v>4836000</v>
      </c>
      <c r="H291" s="4">
        <f t="shared" si="13"/>
        <v>0</v>
      </c>
      <c r="I291" s="3" t="str">
        <f>IF(COUNTIF('Data SCM'!$I$2:$I$698,$J291)=0,"Hanya di SO",IF(COUNTIF('Data SO'!$H$2:$H$1085,$J291)=0,"Hanya di SCM",IF(AND(ABS(E291)&lt;0.01,ABS(H291)&lt;1),"Sama",IF(ABS(E291)&lt;0.01,"Selisih nominal",IF(ABS(H291)&lt;1,"Selisih qty","Selisih qty &amp; nominal")))))</f>
        <v>Sama</v>
      </c>
      <c r="J291" t="s">
        <v>315</v>
      </c>
      <c r="K291" t="str">
        <f>IFERROR(INDEX('Data SCM'!$D$2:$D$698,MATCH($J291,'Data SCM'!$I$2:$I$698,0)),"")</f>
        <v>PCS</v>
      </c>
      <c r="L291">
        <f t="shared" si="14"/>
        <v>1</v>
      </c>
    </row>
    <row r="292" spans="1:12" x14ac:dyDescent="0.25">
      <c r="A292" s="3" t="str">
        <f>IFERROR(INDEX('Data SO'!$C$2:$C$1085,MATCH($J292,'Data SO'!$H$2:$H$1085,0)),INDEX('Data SCM'!$B$2:$B$698,MATCH($J292,'Data SCM'!$I$2:$I$698,0)))</f>
        <v>Lilin Angka 8 Gliter @1x12 Pcs</v>
      </c>
      <c r="B292" s="3" t="str">
        <f>IFERROR(INDEX('Data SO'!$D$2:$D$1085,MATCH($J292,'Data SO'!$H$2:$H$1085,0)),K292)</f>
        <v>Pcs</v>
      </c>
      <c r="C292" s="9">
        <f>SUMIF('Data SO'!$H$2:$H$1085,$J292,'Data SO'!$F$2:$F$1085)</f>
        <v>16</v>
      </c>
      <c r="D292" s="9">
        <f>SUMIF('Data SCM'!$I$2:$I$698,$J292,'Data SCM'!$E$2:$E$698)*L292</f>
        <v>16</v>
      </c>
      <c r="E292" s="9">
        <f t="shared" si="12"/>
        <v>0</v>
      </c>
      <c r="F292" s="4">
        <f>SUMIF('Data SO'!$H$2:$H$1085,$J292,'Data SO'!$G$2:$G$1085)</f>
        <v>30672</v>
      </c>
      <c r="G292" s="4">
        <f>SUMIF('Data SCM'!$I$2:$I$698,$J292,'Data SCM'!$H$2:$H$698)</f>
        <v>30672</v>
      </c>
      <c r="H292" s="4">
        <f t="shared" si="13"/>
        <v>0</v>
      </c>
      <c r="I292" s="3" t="str">
        <f>IF(COUNTIF('Data SCM'!$I$2:$I$698,$J292)=0,"Hanya di SO",IF(COUNTIF('Data SO'!$H$2:$H$1085,$J292)=0,"Hanya di SCM",IF(AND(ABS(E292)&lt;0.01,ABS(H292)&lt;1),"Sama",IF(ABS(E292)&lt;0.01,"Selisih nominal",IF(ABS(H292)&lt;1,"Selisih qty","Selisih qty &amp; nominal")))))</f>
        <v>Sama</v>
      </c>
      <c r="J292" t="s">
        <v>316</v>
      </c>
      <c r="K292" t="str">
        <f>IFERROR(INDEX('Data SCM'!$D$2:$D$698,MATCH($J292,'Data SCM'!$I$2:$I$698,0)),"")</f>
        <v>PCS</v>
      </c>
      <c r="L292">
        <f t="shared" si="14"/>
        <v>1</v>
      </c>
    </row>
    <row r="293" spans="1:12" x14ac:dyDescent="0.25">
      <c r="A293" s="3" t="str">
        <f>IFERROR(INDEX('Data SO'!$C$2:$C$1085,MATCH($J293,'Data SO'!$H$2:$H$1085,0)),INDEX('Data SCM'!$B$2:$B$698,MATCH($J293,'Data SCM'!$I$2:$I$698,0)))</f>
        <v>Lilin Angka 9 Emas @1x100 Pcs</v>
      </c>
      <c r="B293" s="3" t="str">
        <f>IFERROR(INDEX('Data SO'!$D$2:$D$1085,MATCH($J293,'Data SO'!$H$2:$H$1085,0)),K293)</f>
        <v>Pcs</v>
      </c>
      <c r="C293" s="9">
        <f>SUMIF('Data SO'!$H$2:$H$1085,$J293,'Data SO'!$F$2:$F$1085)</f>
        <v>1730</v>
      </c>
      <c r="D293" s="9">
        <f>SUMIF('Data SCM'!$I$2:$I$698,$J293,'Data SCM'!$E$2:$E$698)*L293</f>
        <v>1730</v>
      </c>
      <c r="E293" s="9">
        <f t="shared" si="12"/>
        <v>0</v>
      </c>
      <c r="F293" s="4">
        <f>SUMIF('Data SO'!$H$2:$H$1085,$J293,'Data SO'!$G$2:$G$1085)</f>
        <v>5190000</v>
      </c>
      <c r="G293" s="4">
        <f>SUMIF('Data SCM'!$I$2:$I$698,$J293,'Data SCM'!$H$2:$H$698)</f>
        <v>5190000</v>
      </c>
      <c r="H293" s="4">
        <f t="shared" si="13"/>
        <v>0</v>
      </c>
      <c r="I293" s="3" t="str">
        <f>IF(COUNTIF('Data SCM'!$I$2:$I$698,$J293)=0,"Hanya di SO",IF(COUNTIF('Data SO'!$H$2:$H$1085,$J293)=0,"Hanya di SCM",IF(AND(ABS(E293)&lt;0.01,ABS(H293)&lt;1),"Sama",IF(ABS(E293)&lt;0.01,"Selisih nominal",IF(ABS(H293)&lt;1,"Selisih qty","Selisih qty &amp; nominal")))))</f>
        <v>Sama</v>
      </c>
      <c r="J293" t="s">
        <v>317</v>
      </c>
      <c r="K293" t="str">
        <f>IFERROR(INDEX('Data SCM'!$D$2:$D$698,MATCH($J293,'Data SCM'!$I$2:$I$698,0)),"")</f>
        <v>PCS</v>
      </c>
      <c r="L293">
        <f t="shared" si="14"/>
        <v>1</v>
      </c>
    </row>
    <row r="294" spans="1:12" x14ac:dyDescent="0.25">
      <c r="A294" s="3" t="str">
        <f>IFERROR(INDEX('Data SO'!$C$2:$C$1085,MATCH($J294,'Data SO'!$H$2:$H$1085,0)),INDEX('Data SCM'!$B$2:$B$698,MATCH($J294,'Data SCM'!$I$2:$I$698,0)))</f>
        <v>Lilin Angka 9 Gliter @1x12 Pcs</v>
      </c>
      <c r="B294" s="3" t="str">
        <f>IFERROR(INDEX('Data SO'!$D$2:$D$1085,MATCH($J294,'Data SO'!$H$2:$H$1085,0)),K294)</f>
        <v>Pcs</v>
      </c>
      <c r="C294" s="9">
        <f>SUMIF('Data SO'!$H$2:$H$1085,$J294,'Data SO'!$F$2:$F$1085)</f>
        <v>14</v>
      </c>
      <c r="D294" s="9">
        <f>SUMIF('Data SCM'!$I$2:$I$698,$J294,'Data SCM'!$E$2:$E$698)*L294</f>
        <v>14</v>
      </c>
      <c r="E294" s="9">
        <f t="shared" si="12"/>
        <v>0</v>
      </c>
      <c r="F294" s="4">
        <f>SUMIF('Data SO'!$H$2:$H$1085,$J294,'Data SO'!$G$2:$G$1085)</f>
        <v>26838</v>
      </c>
      <c r="G294" s="4">
        <f>SUMIF('Data SCM'!$I$2:$I$698,$J294,'Data SCM'!$H$2:$H$698)</f>
        <v>26838</v>
      </c>
      <c r="H294" s="4">
        <f t="shared" si="13"/>
        <v>0</v>
      </c>
      <c r="I294" s="3" t="str">
        <f>IF(COUNTIF('Data SCM'!$I$2:$I$698,$J294)=0,"Hanya di SO",IF(COUNTIF('Data SO'!$H$2:$H$1085,$J294)=0,"Hanya di SCM",IF(AND(ABS(E294)&lt;0.01,ABS(H294)&lt;1),"Sama",IF(ABS(E294)&lt;0.01,"Selisih nominal",IF(ABS(H294)&lt;1,"Selisih qty","Selisih qty &amp; nominal")))))</f>
        <v>Sama</v>
      </c>
      <c r="J294" t="s">
        <v>318</v>
      </c>
      <c r="K294" t="str">
        <f>IFERROR(INDEX('Data SCM'!$D$2:$D$698,MATCH($J294,'Data SCM'!$I$2:$I$698,0)),"")</f>
        <v>PCS</v>
      </c>
      <c r="L294">
        <f t="shared" si="14"/>
        <v>1</v>
      </c>
    </row>
    <row r="295" spans="1:12" x14ac:dyDescent="0.25">
      <c r="A295" s="3" t="str">
        <f>IFERROR(INDEX('Data SO'!$C$2:$C$1085,MATCH($J295,'Data SO'!$H$2:$H$1085,0)),INDEX('Data SCM'!$B$2:$B$698,MATCH($J295,'Data SCM'!$I$2:$I$698,0)))</f>
        <v>Lilin Magic @1x24 pack</v>
      </c>
      <c r="B295" s="3" t="str">
        <f>IFERROR(INDEX('Data SO'!$D$2:$D$1085,MATCH($J295,'Data SO'!$H$2:$H$1085,0)),K295)</f>
        <v>Pcs</v>
      </c>
      <c r="C295" s="9">
        <f>SUMIF('Data SO'!$H$2:$H$1085,$J295,'Data SO'!$F$2:$F$1085)</f>
        <v>870</v>
      </c>
      <c r="D295" s="9">
        <f>SUMIF('Data SCM'!$I$2:$I$698,$J295,'Data SCM'!$E$2:$E$698)*L295</f>
        <v>870</v>
      </c>
      <c r="E295" s="9">
        <f t="shared" si="12"/>
        <v>0</v>
      </c>
      <c r="F295" s="4">
        <f>SUMIF('Data SO'!$H$2:$H$1085,$J295,'Data SO'!$G$2:$G$1085)</f>
        <v>1392000</v>
      </c>
      <c r="G295" s="4">
        <f>SUMIF('Data SCM'!$I$2:$I$698,$J295,'Data SCM'!$H$2:$H$698)</f>
        <v>1392000</v>
      </c>
      <c r="H295" s="4">
        <f t="shared" si="13"/>
        <v>0</v>
      </c>
      <c r="I295" s="3" t="str">
        <f>IF(COUNTIF('Data SCM'!$I$2:$I$698,$J295)=0,"Hanya di SO",IF(COUNTIF('Data SO'!$H$2:$H$1085,$J295)=0,"Hanya di SCM",IF(AND(ABS(E295)&lt;0.01,ABS(H295)&lt;1),"Sama",IF(ABS(E295)&lt;0.01,"Selisih nominal",IF(ABS(H295)&lt;1,"Selisih qty","Selisih qty &amp; nominal")))))</f>
        <v>Sama</v>
      </c>
      <c r="J295" t="s">
        <v>319</v>
      </c>
      <c r="K295" t="str">
        <f>IFERROR(INDEX('Data SCM'!$D$2:$D$698,MATCH($J295,'Data SCM'!$I$2:$I$698,0)),"")</f>
        <v>PCS</v>
      </c>
      <c r="L295">
        <f t="shared" si="14"/>
        <v>1</v>
      </c>
    </row>
    <row r="296" spans="1:12" x14ac:dyDescent="0.25">
      <c r="A296" s="3" t="str">
        <f>IFERROR(INDEX('Data SO'!$C$2:$C$1085,MATCH($J296,'Data SO'!$H$2:$H$1085,0)),INDEX('Data SCM'!$B$2:$B$698,MATCH($J296,'Data SCM'!$I$2:$I$698,0)))</f>
        <v>Lilin Pappermint  @1x24 pack</v>
      </c>
      <c r="B296" s="3" t="str">
        <f>IFERROR(INDEX('Data SO'!$D$2:$D$1085,MATCH($J296,'Data SO'!$H$2:$H$1085,0)),K296)</f>
        <v>Pcs</v>
      </c>
      <c r="C296" s="9">
        <f>SUMIF('Data SO'!$H$2:$H$1085,$J296,'Data SO'!$F$2:$F$1085)</f>
        <v>240</v>
      </c>
      <c r="D296" s="9">
        <f>SUMIF('Data SCM'!$I$2:$I$698,$J296,'Data SCM'!$E$2:$E$698)*L296</f>
        <v>240</v>
      </c>
      <c r="E296" s="9">
        <f t="shared" si="12"/>
        <v>0</v>
      </c>
      <c r="F296" s="4">
        <f>SUMIF('Data SO'!$H$2:$H$1085,$J296,'Data SO'!$G$2:$G$1085)</f>
        <v>660000</v>
      </c>
      <c r="G296" s="4">
        <f>SUMIF('Data SCM'!$I$2:$I$698,$J296,'Data SCM'!$H$2:$H$698)</f>
        <v>660000</v>
      </c>
      <c r="H296" s="4">
        <f t="shared" si="13"/>
        <v>0</v>
      </c>
      <c r="I296" s="3" t="str">
        <f>IF(COUNTIF('Data SCM'!$I$2:$I$698,$J296)=0,"Hanya di SO",IF(COUNTIF('Data SO'!$H$2:$H$1085,$J296)=0,"Hanya di SCM",IF(AND(ABS(E296)&lt;0.01,ABS(H296)&lt;1),"Sama",IF(ABS(E296)&lt;0.01,"Selisih nominal",IF(ABS(H296)&lt;1,"Selisih qty","Selisih qty &amp; nominal")))))</f>
        <v>Sama</v>
      </c>
      <c r="J296" t="s">
        <v>320</v>
      </c>
      <c r="K296" t="str">
        <f>IFERROR(INDEX('Data SCM'!$D$2:$D$698,MATCH($J296,'Data SCM'!$I$2:$I$698,0)),"")</f>
        <v>PCS</v>
      </c>
      <c r="L296">
        <f t="shared" si="14"/>
        <v>1</v>
      </c>
    </row>
    <row r="297" spans="1:12" x14ac:dyDescent="0.25">
      <c r="A297" s="3" t="str">
        <f>IFERROR(INDEX('Data SO'!$C$2:$C$1085,MATCH($J297,'Data SO'!$H$2:$H$1085,0)),INDEX('Data SCM'!$B$2:$B$698,MATCH($J297,'Data SCM'!$I$2:$I$698,0)))</f>
        <v>MADU TJ 150 GR</v>
      </c>
      <c r="B297" s="3" t="str">
        <f>IFERROR(INDEX('Data SO'!$D$2:$D$1085,MATCH($J297,'Data SO'!$H$2:$H$1085,0)),K297)</f>
        <v>Pcs</v>
      </c>
      <c r="C297" s="9">
        <f>SUMIF('Data SO'!$H$2:$H$1085,$J297,'Data SO'!$F$2:$F$1085)</f>
        <v>6</v>
      </c>
      <c r="D297" s="9">
        <f>SUMIF('Data SCM'!$I$2:$I$698,$J297,'Data SCM'!$E$2:$E$698)*L297</f>
        <v>6</v>
      </c>
      <c r="E297" s="9">
        <f t="shared" si="12"/>
        <v>0</v>
      </c>
      <c r="F297" s="4">
        <f>SUMIF('Data SO'!$H$2:$H$1085,$J297,'Data SO'!$G$2:$G$1085)</f>
        <v>126000</v>
      </c>
      <c r="G297" s="4">
        <f>SUMIF('Data SCM'!$I$2:$I$698,$J297,'Data SCM'!$H$2:$H$698)</f>
        <v>126000</v>
      </c>
      <c r="H297" s="4">
        <f t="shared" si="13"/>
        <v>0</v>
      </c>
      <c r="I297" s="3" t="str">
        <f>IF(COUNTIF('Data SCM'!$I$2:$I$698,$J297)=0,"Hanya di SO",IF(COUNTIF('Data SO'!$H$2:$H$1085,$J297)=0,"Hanya di SCM",IF(AND(ABS(E297)&lt;0.01,ABS(H297)&lt;1),"Sama",IF(ABS(E297)&lt;0.01,"Selisih nominal",IF(ABS(H297)&lt;1,"Selisih qty","Selisih qty &amp; nominal")))))</f>
        <v>Sama</v>
      </c>
      <c r="J297" t="s">
        <v>321</v>
      </c>
      <c r="K297" t="str">
        <f>IFERROR(INDEX('Data SCM'!$D$2:$D$698,MATCH($J297,'Data SCM'!$I$2:$I$698,0)),"")</f>
        <v>PCS</v>
      </c>
      <c r="L297">
        <f t="shared" si="14"/>
        <v>1</v>
      </c>
    </row>
    <row r="298" spans="1:12" x14ac:dyDescent="0.25">
      <c r="A298" s="3" t="str">
        <f>IFERROR(INDEX('Data SO'!$C$2:$C$1085,MATCH($J298,'Data SO'!$H$2:$H$1085,0)),INDEX('Data SCM'!$B$2:$B$698,MATCH($J298,'Data SCM'!$I$2:$I$698,0)))</f>
        <v>MADUSARI SMOKED BEEF</v>
      </c>
      <c r="B298" s="3" t="str">
        <f>IFERROR(INDEX('Data SO'!$D$2:$D$1085,MATCH($J298,'Data SO'!$H$2:$H$1085,0)),K298)</f>
        <v>kg</v>
      </c>
      <c r="C298" s="9">
        <f>SUMIF('Data SO'!$H$2:$H$1085,$J298,'Data SO'!$F$2:$F$1085)</f>
        <v>95</v>
      </c>
      <c r="D298" s="9">
        <f>SUMIF('Data SCM'!$I$2:$I$698,$J298,'Data SCM'!$E$2:$E$698)*L298</f>
        <v>95</v>
      </c>
      <c r="E298" s="9">
        <f t="shared" si="12"/>
        <v>0</v>
      </c>
      <c r="F298" s="4">
        <f>SUMIF('Data SO'!$H$2:$H$1085,$J298,'Data SO'!$G$2:$G$1085)</f>
        <v>5635875</v>
      </c>
      <c r="G298" s="4">
        <f>SUMIF('Data SCM'!$I$2:$I$698,$J298,'Data SCM'!$H$2:$H$698)</f>
        <v>5635875</v>
      </c>
      <c r="H298" s="4">
        <f t="shared" si="13"/>
        <v>0</v>
      </c>
      <c r="I298" s="3" t="str">
        <f>IF(COUNTIF('Data SCM'!$I$2:$I$698,$J298)=0,"Hanya di SO",IF(COUNTIF('Data SO'!$H$2:$H$1085,$J298)=0,"Hanya di SCM",IF(AND(ABS(E298)&lt;0.01,ABS(H298)&lt;1),"Sama",IF(ABS(E298)&lt;0.01,"Selisih nominal",IF(ABS(H298)&lt;1,"Selisih qty","Selisih qty &amp; nominal")))))</f>
        <v>Sama</v>
      </c>
      <c r="J298" t="s">
        <v>322</v>
      </c>
      <c r="K298" t="str">
        <f>IFERROR(INDEX('Data SCM'!$D$2:$D$698,MATCH($J298,'Data SCM'!$I$2:$I$698,0)),"")</f>
        <v>KG</v>
      </c>
      <c r="L298">
        <f t="shared" si="14"/>
        <v>1</v>
      </c>
    </row>
    <row r="299" spans="1:12" x14ac:dyDescent="0.25">
      <c r="A299" s="3" t="str">
        <f>IFERROR(INDEX('Data SO'!$C$2:$C$1085,MATCH($J299,'Data SO'!$H$2:$H$1085,0)),INDEX('Data SCM'!$B$2:$B$698,MATCH($J299,'Data SCM'!$I$2:$I$698,0)))</f>
        <v>MARGARIN DELILEN @15 KG</v>
      </c>
      <c r="B299" s="3" t="str">
        <f>IFERROR(INDEX('Data SO'!$D$2:$D$1085,MATCH($J299,'Data SO'!$H$2:$H$1085,0)),K299)</f>
        <v>Kg</v>
      </c>
      <c r="C299" s="9">
        <f>SUMIF('Data SO'!$H$2:$H$1085,$J299,'Data SO'!$F$2:$F$1085)</f>
        <v>45</v>
      </c>
      <c r="D299" s="9">
        <f>SUMIF('Data SCM'!$I$2:$I$698,$J299,'Data SCM'!$E$2:$E$698)*L299</f>
        <v>45</v>
      </c>
      <c r="E299" s="9">
        <f t="shared" si="12"/>
        <v>0</v>
      </c>
      <c r="F299" s="4">
        <f>SUMIF('Data SO'!$H$2:$H$1085,$J299,'Data SO'!$G$2:$G$1085)</f>
        <v>1260072</v>
      </c>
      <c r="G299" s="4">
        <f>SUMIF('Data SCM'!$I$2:$I$698,$J299,'Data SCM'!$H$2:$H$698)</f>
        <v>1260072</v>
      </c>
      <c r="H299" s="4">
        <f t="shared" si="13"/>
        <v>0</v>
      </c>
      <c r="I299" s="3" t="str">
        <f>IF(COUNTIF('Data SCM'!$I$2:$I$698,$J299)=0,"Hanya di SO",IF(COUNTIF('Data SO'!$H$2:$H$1085,$J299)=0,"Hanya di SCM",IF(AND(ABS(E299)&lt;0.01,ABS(H299)&lt;1),"Sama",IF(ABS(E299)&lt;0.01,"Selisih nominal",IF(ABS(H299)&lt;1,"Selisih qty","Selisih qty &amp; nominal")))))</f>
        <v>Sama</v>
      </c>
      <c r="J299" t="s">
        <v>323</v>
      </c>
      <c r="K299" t="str">
        <f>IFERROR(INDEX('Data SCM'!$D$2:$D$698,MATCH($J299,'Data SCM'!$I$2:$I$698,0)),"")</f>
        <v>KG</v>
      </c>
      <c r="L299">
        <f t="shared" si="14"/>
        <v>1</v>
      </c>
    </row>
    <row r="300" spans="1:12" x14ac:dyDescent="0.25">
      <c r="A300" s="3" t="str">
        <f>IFERROR(INDEX('Data SO'!$C$2:$C$1085,MATCH($J300,'Data SO'!$H$2:$H$1085,0)),INDEX('Data SCM'!$B$2:$B$698,MATCH($J300,'Data SCM'!$I$2:$I$698,0)))</f>
        <v>MARSHMELLOW</v>
      </c>
      <c r="B300" s="3" t="str">
        <f>IFERROR(INDEX('Data SO'!$D$2:$D$1085,MATCH($J300,'Data SO'!$H$2:$H$1085,0)),K300)</f>
        <v>Kg</v>
      </c>
      <c r="C300" s="9">
        <f>SUMIF('Data SO'!$H$2:$H$1085,$J300,'Data SO'!$F$2:$F$1085)</f>
        <v>40</v>
      </c>
      <c r="D300" s="9">
        <f>SUMIF('Data SCM'!$I$2:$I$698,$J300,'Data SCM'!$E$2:$E$698)*L300</f>
        <v>40</v>
      </c>
      <c r="E300" s="9">
        <f t="shared" si="12"/>
        <v>0</v>
      </c>
      <c r="F300" s="4">
        <f>SUMIF('Data SO'!$H$2:$H$1085,$J300,'Data SO'!$G$2:$G$1085)</f>
        <v>9200000</v>
      </c>
      <c r="G300" s="4">
        <f>SUMIF('Data SCM'!$I$2:$I$698,$J300,'Data SCM'!$H$2:$H$698)</f>
        <v>9200000</v>
      </c>
      <c r="H300" s="4">
        <f t="shared" si="13"/>
        <v>0</v>
      </c>
      <c r="I300" s="3" t="str">
        <f>IF(COUNTIF('Data SCM'!$I$2:$I$698,$J300)=0,"Hanya di SO",IF(COUNTIF('Data SO'!$H$2:$H$1085,$J300)=0,"Hanya di SCM",IF(AND(ABS(E300)&lt;0.01,ABS(H300)&lt;1),"Sama",IF(ABS(E300)&lt;0.01,"Selisih nominal",IF(ABS(H300)&lt;1,"Selisih qty","Selisih qty &amp; nominal")))))</f>
        <v>Sama</v>
      </c>
      <c r="J300" t="s">
        <v>324</v>
      </c>
      <c r="K300" t="str">
        <f>IFERROR(INDEX('Data SCM'!$D$2:$D$698,MATCH($J300,'Data SCM'!$I$2:$I$698,0)),"")</f>
        <v>KG</v>
      </c>
      <c r="L300">
        <f t="shared" si="14"/>
        <v>1</v>
      </c>
    </row>
    <row r="301" spans="1:12" x14ac:dyDescent="0.25">
      <c r="A301" s="3" t="str">
        <f>IFERROR(INDEX('Data SO'!$C$2:$C$1085,MATCH($J301,'Data SO'!$H$2:$H$1085,0)),INDEX('Data SCM'!$B$2:$B$698,MATCH($J301,'Data SCM'!$I$2:$I$698,0)))</f>
        <v xml:space="preserve">MC LEWIS CHILI A004 5.5KG </v>
      </c>
      <c r="B301" s="3" t="str">
        <f>IFERROR(INDEX('Data SO'!$D$2:$D$1085,MATCH($J301,'Data SO'!$H$2:$H$1085,0)),K301)</f>
        <v>kg</v>
      </c>
      <c r="C301" s="9">
        <f>SUMIF('Data SO'!$H$2:$H$1085,$J301,'Data SO'!$F$2:$F$1085)</f>
        <v>21.5</v>
      </c>
      <c r="D301" s="9">
        <f>SUMIF('Data SCM'!$I$2:$I$698,$J301,'Data SCM'!$E$2:$E$698)*L301</f>
        <v>21.5</v>
      </c>
      <c r="E301" s="9">
        <f t="shared" si="12"/>
        <v>0</v>
      </c>
      <c r="F301" s="4">
        <f>SUMIF('Data SO'!$H$2:$H$1085,$J301,'Data SO'!$G$2:$G$1085)</f>
        <v>266062.5</v>
      </c>
      <c r="G301" s="4">
        <f>SUMIF('Data SCM'!$I$2:$I$698,$J301,'Data SCM'!$H$2:$H$698)</f>
        <v>266062.5</v>
      </c>
      <c r="H301" s="4">
        <f t="shared" si="13"/>
        <v>0</v>
      </c>
      <c r="I301" s="3" t="str">
        <f>IF(COUNTIF('Data SCM'!$I$2:$I$698,$J301)=0,"Hanya di SO",IF(COUNTIF('Data SO'!$H$2:$H$1085,$J301)=0,"Hanya di SCM",IF(AND(ABS(E301)&lt;0.01,ABS(H301)&lt;1),"Sama",IF(ABS(E301)&lt;0.01,"Selisih nominal",IF(ABS(H301)&lt;1,"Selisih qty","Selisih qty &amp; nominal")))))</f>
        <v>Sama</v>
      </c>
      <c r="J301" t="s">
        <v>325</v>
      </c>
      <c r="K301" t="str">
        <f>IFERROR(INDEX('Data SCM'!$D$2:$D$698,MATCH($J301,'Data SCM'!$I$2:$I$698,0)),"")</f>
        <v>KG</v>
      </c>
      <c r="L301">
        <f t="shared" si="14"/>
        <v>1</v>
      </c>
    </row>
    <row r="302" spans="1:12" x14ac:dyDescent="0.25">
      <c r="A302" s="3" t="str">
        <f>IFERROR(INDEX('Data SO'!$C$2:$C$1085,MATCH($J302,'Data SO'!$H$2:$H$1085,0)),INDEX('Data SCM'!$B$2:$B$698,MATCH($J302,'Data SCM'!$I$2:$I$698,0)))</f>
        <v>MC LEWIS MAYO LPPouch 1KG</v>
      </c>
      <c r="B302" s="3" t="str">
        <f>IFERROR(INDEX('Data SO'!$D$2:$D$1085,MATCH($J302,'Data SO'!$H$2:$H$1085,0)),K302)</f>
        <v>kg</v>
      </c>
      <c r="C302" s="9">
        <f>SUMIF('Data SO'!$H$2:$H$1085,$J302,'Data SO'!$F$2:$F$1085)</f>
        <v>41</v>
      </c>
      <c r="D302" s="9">
        <f>SUMIF('Data SCM'!$I$2:$I$698,$J302,'Data SCM'!$E$2:$E$698)*L302</f>
        <v>41</v>
      </c>
      <c r="E302" s="9">
        <f t="shared" si="12"/>
        <v>0</v>
      </c>
      <c r="F302" s="4">
        <f>SUMIF('Data SO'!$H$2:$H$1085,$J302,'Data SO'!$G$2:$G$1085)</f>
        <v>989125</v>
      </c>
      <c r="G302" s="4">
        <f>SUMIF('Data SCM'!$I$2:$I$698,$J302,'Data SCM'!$H$2:$H$698)</f>
        <v>989125</v>
      </c>
      <c r="H302" s="4">
        <f t="shared" si="13"/>
        <v>0</v>
      </c>
      <c r="I302" s="3" t="str">
        <f>IF(COUNTIF('Data SCM'!$I$2:$I$698,$J302)=0,"Hanya di SO",IF(COUNTIF('Data SO'!$H$2:$H$1085,$J302)=0,"Hanya di SCM",IF(AND(ABS(E302)&lt;0.01,ABS(H302)&lt;1),"Sama",IF(ABS(E302)&lt;0.01,"Selisih nominal",IF(ABS(H302)&lt;1,"Selisih qty","Selisih qty &amp; nominal")))))</f>
        <v>Sama</v>
      </c>
      <c r="J302" t="s">
        <v>326</v>
      </c>
      <c r="K302" t="str">
        <f>IFERROR(INDEX('Data SCM'!$D$2:$D$698,MATCH($J302,'Data SCM'!$I$2:$I$698,0)),"")</f>
        <v>KG</v>
      </c>
      <c r="L302">
        <f t="shared" si="14"/>
        <v>1</v>
      </c>
    </row>
    <row r="303" spans="1:12" x14ac:dyDescent="0.25">
      <c r="A303" s="3" t="str">
        <f>IFERROR(INDEX('Data SO'!$C$2:$C$1085,MATCH($J303,'Data SO'!$H$2:$H$1085,0)),INDEX('Data SCM'!$B$2:$B$698,MATCH($J303,'Data SCM'!$I$2:$I$698,0)))</f>
        <v xml:space="preserve">MC LEWIS TOMATO A004 5.7KG </v>
      </c>
      <c r="B303" s="3" t="str">
        <f>IFERROR(INDEX('Data SO'!$D$2:$D$1085,MATCH($J303,'Data SO'!$H$2:$H$1085,0)),K303)</f>
        <v>kg</v>
      </c>
      <c r="C303" s="9">
        <f>SUMIF('Data SO'!$H$2:$H$1085,$J303,'Data SO'!$F$2:$F$1085)</f>
        <v>16</v>
      </c>
      <c r="D303" s="9">
        <f>SUMIF('Data SCM'!$I$2:$I$698,$J303,'Data SCM'!$E$2:$E$698)*L303</f>
        <v>16</v>
      </c>
      <c r="E303" s="9">
        <f t="shared" si="12"/>
        <v>0</v>
      </c>
      <c r="F303" s="4">
        <f>SUMIF('Data SO'!$H$2:$H$1085,$J303,'Data SO'!$G$2:$G$1085)</f>
        <v>190528</v>
      </c>
      <c r="G303" s="4">
        <f>SUMIF('Data SCM'!$I$2:$I$698,$J303,'Data SCM'!$H$2:$H$698)</f>
        <v>190528</v>
      </c>
      <c r="H303" s="4">
        <f t="shared" si="13"/>
        <v>0</v>
      </c>
      <c r="I303" s="3" t="str">
        <f>IF(COUNTIF('Data SCM'!$I$2:$I$698,$J303)=0,"Hanya di SO",IF(COUNTIF('Data SO'!$H$2:$H$1085,$J303)=0,"Hanya di SCM",IF(AND(ABS(E303)&lt;0.01,ABS(H303)&lt;1),"Sama",IF(ABS(E303)&lt;0.01,"Selisih nominal",IF(ABS(H303)&lt;1,"Selisih qty","Selisih qty &amp; nominal")))))</f>
        <v>Sama</v>
      </c>
      <c r="J303" t="s">
        <v>327</v>
      </c>
      <c r="K303" t="str">
        <f>IFERROR(INDEX('Data SCM'!$D$2:$D$698,MATCH($J303,'Data SCM'!$I$2:$I$698,0)),"")</f>
        <v>KG</v>
      </c>
      <c r="L303">
        <f t="shared" si="14"/>
        <v>1</v>
      </c>
    </row>
    <row r="304" spans="1:12" x14ac:dyDescent="0.25">
      <c r="A304" s="3" t="str">
        <f>IFERROR(INDEX('Data SO'!$C$2:$C$1085,MATCH($J304,'Data SO'!$H$2:$H$1085,0)),INDEX('Data SCM'!$B$2:$B$698,MATCH($J304,'Data SCM'!$I$2:$I$698,0)))</f>
        <v>MEISES PLAZA BIRU @12.5kg</v>
      </c>
      <c r="B304" s="3" t="str">
        <f>IFERROR(INDEX('Data SO'!$D$2:$D$1085,MATCH($J304,'Data SO'!$H$2:$H$1085,0)),K304)</f>
        <v>kg</v>
      </c>
      <c r="C304" s="9">
        <f>SUMIF('Data SO'!$H$2:$H$1085,$J304,'Data SO'!$F$2:$F$1085)</f>
        <v>95</v>
      </c>
      <c r="D304" s="9">
        <f>SUMIF('Data SCM'!$I$2:$I$698,$J304,'Data SCM'!$E$2:$E$698)*L304</f>
        <v>95</v>
      </c>
      <c r="E304" s="9">
        <f t="shared" si="12"/>
        <v>0</v>
      </c>
      <c r="F304" s="4">
        <f>SUMIF('Data SO'!$H$2:$H$1085,$J304,'Data SO'!$G$2:$G$1085)</f>
        <v>4766720</v>
      </c>
      <c r="G304" s="4">
        <f>SUMIF('Data SCM'!$I$2:$I$698,$J304,'Data SCM'!$H$2:$H$698)</f>
        <v>4766720</v>
      </c>
      <c r="H304" s="4">
        <f t="shared" si="13"/>
        <v>0</v>
      </c>
      <c r="I304" s="3" t="str">
        <f>IF(COUNTIF('Data SCM'!$I$2:$I$698,$J304)=0,"Hanya di SO",IF(COUNTIF('Data SO'!$H$2:$H$1085,$J304)=0,"Hanya di SCM",IF(AND(ABS(E304)&lt;0.01,ABS(H304)&lt;1),"Sama",IF(ABS(E304)&lt;0.01,"Selisih nominal",IF(ABS(H304)&lt;1,"Selisih qty","Selisih qty &amp; nominal")))))</f>
        <v>Sama</v>
      </c>
      <c r="J304" t="s">
        <v>328</v>
      </c>
      <c r="K304" t="str">
        <f>IFERROR(INDEX('Data SCM'!$D$2:$D$698,MATCH($J304,'Data SCM'!$I$2:$I$698,0)),"")</f>
        <v>GR</v>
      </c>
      <c r="L304">
        <f t="shared" si="14"/>
        <v>1E-3</v>
      </c>
    </row>
    <row r="305" spans="1:12" x14ac:dyDescent="0.25">
      <c r="A305" s="3" t="str">
        <f>IFERROR(INDEX('Data SO'!$C$2:$C$1085,MATCH($J305,'Data SO'!$H$2:$H$1085,0)),INDEX('Data SCM'!$B$2:$B$698,MATCH($J305,'Data SCM'!$I$2:$I$698,0)))</f>
        <v>MERCOLADE BISCOA SPREAD@5KG</v>
      </c>
      <c r="B305" s="3" t="str">
        <f>IFERROR(INDEX('Data SO'!$D$2:$D$1085,MATCH($J305,'Data SO'!$H$2:$H$1085,0)),K305)</f>
        <v>kg</v>
      </c>
      <c r="C305" s="9">
        <f>SUMIF('Data SO'!$H$2:$H$1085,$J305,'Data SO'!$F$2:$F$1085)</f>
        <v>40</v>
      </c>
      <c r="D305" s="9">
        <f>SUMIF('Data SCM'!$I$2:$I$698,$J305,'Data SCM'!$E$2:$E$698)*L305</f>
        <v>40</v>
      </c>
      <c r="E305" s="9">
        <f t="shared" si="12"/>
        <v>0</v>
      </c>
      <c r="F305" s="4">
        <f>SUMIF('Data SO'!$H$2:$H$1085,$J305,'Data SO'!$G$2:$G$1085)</f>
        <v>4322400</v>
      </c>
      <c r="G305" s="4">
        <f>SUMIF('Data SCM'!$I$2:$I$698,$J305,'Data SCM'!$H$2:$H$698)</f>
        <v>4322400</v>
      </c>
      <c r="H305" s="4">
        <f t="shared" si="13"/>
        <v>0</v>
      </c>
      <c r="I305" s="3" t="str">
        <f>IF(COUNTIF('Data SCM'!$I$2:$I$698,$J305)=0,"Hanya di SO",IF(COUNTIF('Data SO'!$H$2:$H$1085,$J305)=0,"Hanya di SCM",IF(AND(ABS(E305)&lt;0.01,ABS(H305)&lt;1),"Sama",IF(ABS(E305)&lt;0.01,"Selisih nominal",IF(ABS(H305)&lt;1,"Selisih qty","Selisih qty &amp; nominal")))))</f>
        <v>Sama</v>
      </c>
      <c r="J305" t="s">
        <v>329</v>
      </c>
      <c r="K305" t="str">
        <f>IFERROR(INDEX('Data SCM'!$D$2:$D$698,MATCH($J305,'Data SCM'!$I$2:$I$698,0)),"")</f>
        <v>KG</v>
      </c>
      <c r="L305">
        <f t="shared" si="14"/>
        <v>1</v>
      </c>
    </row>
    <row r="306" spans="1:12" x14ac:dyDescent="0.25">
      <c r="A306" s="3" t="str">
        <f>IFERROR(INDEX('Data SO'!$C$2:$C$1085,MATCH($J306,'Data SO'!$H$2:$H$1085,0)),INDEX('Data SCM'!$B$2:$B$698,MATCH($J306,'Data SCM'!$I$2:$I$698,0)))</f>
        <v>MIKA BROWNIES S PUTIH</v>
      </c>
      <c r="B306" s="3" t="str">
        <f>IFERROR(INDEX('Data SO'!$D$2:$D$1085,MATCH($J306,'Data SO'!$H$2:$H$1085,0)),K306)</f>
        <v>pcs</v>
      </c>
      <c r="C306" s="9">
        <f>SUMIF('Data SO'!$H$2:$H$1085,$J306,'Data SO'!$F$2:$F$1085)</f>
        <v>7200</v>
      </c>
      <c r="D306" s="9">
        <f>SUMIF('Data SCM'!$I$2:$I$698,$J306,'Data SCM'!$E$2:$E$698)*L306</f>
        <v>7200</v>
      </c>
      <c r="E306" s="9">
        <f t="shared" si="12"/>
        <v>0</v>
      </c>
      <c r="F306" s="4">
        <f>SUMIF('Data SO'!$H$2:$H$1085,$J306,'Data SO'!$G$2:$G$1085)</f>
        <v>5652000</v>
      </c>
      <c r="G306" s="4">
        <f>SUMIF('Data SCM'!$I$2:$I$698,$J306,'Data SCM'!$H$2:$H$698)</f>
        <v>5652000</v>
      </c>
      <c r="H306" s="4">
        <f t="shared" si="13"/>
        <v>0</v>
      </c>
      <c r="I306" s="3" t="str">
        <f>IF(COUNTIF('Data SCM'!$I$2:$I$698,$J306)=0,"Hanya di SO",IF(COUNTIF('Data SO'!$H$2:$H$1085,$J306)=0,"Hanya di SCM",IF(AND(ABS(E306)&lt;0.01,ABS(H306)&lt;1),"Sama",IF(ABS(E306)&lt;0.01,"Selisih nominal",IF(ABS(H306)&lt;1,"Selisih qty","Selisih qty &amp; nominal")))))</f>
        <v>Sama</v>
      </c>
      <c r="J306" t="s">
        <v>330</v>
      </c>
      <c r="K306" t="str">
        <f>IFERROR(INDEX('Data SCM'!$D$2:$D$698,MATCH($J306,'Data SCM'!$I$2:$I$698,0)),"")</f>
        <v>PCS</v>
      </c>
      <c r="L306">
        <f t="shared" si="14"/>
        <v>1</v>
      </c>
    </row>
    <row r="307" spans="1:12" x14ac:dyDescent="0.25">
      <c r="A307" s="3" t="str">
        <f>IFERROR(INDEX('Data SO'!$C$2:$C$1085,MATCH($J307,'Data SO'!$H$2:$H$1085,0)),INDEX('Data SCM'!$B$2:$B$698,MATCH($J307,'Data SCM'!$I$2:$I$698,0)))</f>
        <v>MIKA ROLL 8</v>
      </c>
      <c r="B307" s="3" t="str">
        <f>IFERROR(INDEX('Data SO'!$D$2:$D$1085,MATCH($J307,'Data SO'!$H$2:$H$1085,0)),K307)</f>
        <v>meter</v>
      </c>
      <c r="C307" s="9">
        <f>SUMIF('Data SO'!$H$2:$H$1085,$J307,'Data SO'!$F$2:$F$1085)</f>
        <v>200</v>
      </c>
      <c r="D307" s="9">
        <f>SUMIF('Data SCM'!$I$2:$I$698,$J307,'Data SCM'!$E$2:$E$698)*L307</f>
        <v>200</v>
      </c>
      <c r="E307" s="9">
        <f t="shared" si="12"/>
        <v>0</v>
      </c>
      <c r="F307" s="4">
        <f>SUMIF('Data SO'!$H$2:$H$1085,$J307,'Data SO'!$G$2:$G$1085)</f>
        <v>400000</v>
      </c>
      <c r="G307" s="4">
        <f>SUMIF('Data SCM'!$I$2:$I$698,$J307,'Data SCM'!$H$2:$H$698)</f>
        <v>400000</v>
      </c>
      <c r="H307" s="4">
        <f t="shared" si="13"/>
        <v>0</v>
      </c>
      <c r="I307" s="3" t="str">
        <f>IF(COUNTIF('Data SCM'!$I$2:$I$698,$J307)=0,"Hanya di SO",IF(COUNTIF('Data SO'!$H$2:$H$1085,$J307)=0,"Hanya di SCM",IF(AND(ABS(E307)&lt;0.01,ABS(H307)&lt;1),"Sama",IF(ABS(E307)&lt;0.01,"Selisih nominal",IF(ABS(H307)&lt;1,"Selisih qty","Selisih qty &amp; nominal")))))</f>
        <v>Sama</v>
      </c>
      <c r="J307" t="s">
        <v>331</v>
      </c>
      <c r="K307" t="str">
        <f>IFERROR(INDEX('Data SCM'!$D$2:$D$698,MATCH($J307,'Data SCM'!$I$2:$I$698,0)),"")</f>
        <v>METER</v>
      </c>
      <c r="L307">
        <f t="shared" si="14"/>
        <v>1</v>
      </c>
    </row>
    <row r="308" spans="1:12" x14ac:dyDescent="0.25">
      <c r="A308" s="3" t="str">
        <f>IFERROR(INDEX('Data SO'!$C$2:$C$1085,MATCH($J308,'Data SO'!$H$2:$H$1085,0)),INDEX('Data SCM'!$B$2:$B$698,MATCH($J308,'Data SCM'!$I$2:$I$698,0)))</f>
        <v>Madusari Sosis @25X1000Gr</v>
      </c>
      <c r="B308" s="3" t="str">
        <f>IFERROR(INDEX('Data SO'!$D$2:$D$1085,MATCH($J308,'Data SO'!$H$2:$H$1085,0)),K308)</f>
        <v>kg</v>
      </c>
      <c r="C308" s="9">
        <f>SUMIF('Data SO'!$H$2:$H$1085,$J308,'Data SO'!$F$2:$F$1085)</f>
        <v>262</v>
      </c>
      <c r="D308" s="9">
        <f>SUMIF('Data SCM'!$I$2:$I$698,$J308,'Data SCM'!$E$2:$E$698)*L308</f>
        <v>262</v>
      </c>
      <c r="E308" s="9">
        <f t="shared" si="12"/>
        <v>0</v>
      </c>
      <c r="F308" s="4">
        <f>SUMIF('Data SO'!$H$2:$H$1085,$J308,'Data SO'!$G$2:$G$1085)</f>
        <v>12723506</v>
      </c>
      <c r="G308" s="4">
        <f>SUMIF('Data SCM'!$I$2:$I$698,$J308,'Data SCM'!$H$2:$H$698)</f>
        <v>12723506</v>
      </c>
      <c r="H308" s="4">
        <f t="shared" si="13"/>
        <v>0</v>
      </c>
      <c r="I308" s="3" t="str">
        <f>IF(COUNTIF('Data SCM'!$I$2:$I$698,$J308)=0,"Hanya di SO",IF(COUNTIF('Data SO'!$H$2:$H$1085,$J308)=0,"Hanya di SCM",IF(AND(ABS(E308)&lt;0.01,ABS(H308)&lt;1),"Sama",IF(ABS(E308)&lt;0.01,"Selisih nominal",IF(ABS(H308)&lt;1,"Selisih qty","Selisih qty &amp; nominal")))))</f>
        <v>Sama</v>
      </c>
      <c r="J308" t="s">
        <v>332</v>
      </c>
      <c r="K308" t="str">
        <f>IFERROR(INDEX('Data SCM'!$D$2:$D$698,MATCH($J308,'Data SCM'!$I$2:$I$698,0)),"")</f>
        <v>KG</v>
      </c>
      <c r="L308">
        <f t="shared" si="14"/>
        <v>1</v>
      </c>
    </row>
    <row r="309" spans="1:12" x14ac:dyDescent="0.25">
      <c r="A309" s="3" t="str">
        <f>IFERROR(INDEX('Data SO'!$C$2:$C$1085,MATCH($J309,'Data SO'!$H$2:$H$1085,0)),INDEX('Data SCM'!$B$2:$B$698,MATCH($J309,'Data SCM'!$I$2:$I$698,0)))</f>
        <v>Maglam Pasta Greentea @1Kg</v>
      </c>
      <c r="B309" s="3" t="str">
        <f>IFERROR(INDEX('Data SO'!$D$2:$D$1085,MATCH($J309,'Data SO'!$H$2:$H$1085,0)),K309)</f>
        <v>kg</v>
      </c>
      <c r="C309" s="9">
        <f>SUMIF('Data SO'!$H$2:$H$1085,$J309,'Data SO'!$F$2:$F$1085)</f>
        <v>8</v>
      </c>
      <c r="D309" s="9">
        <f>SUMIF('Data SCM'!$I$2:$I$698,$J309,'Data SCM'!$E$2:$E$698)*L309</f>
        <v>8</v>
      </c>
      <c r="E309" s="9">
        <f t="shared" si="12"/>
        <v>0</v>
      </c>
      <c r="F309" s="4">
        <f>SUMIF('Data SO'!$H$2:$H$1085,$J309,'Data SO'!$G$2:$G$1085)</f>
        <v>1065600</v>
      </c>
      <c r="G309" s="4">
        <f>SUMIF('Data SCM'!$I$2:$I$698,$J309,'Data SCM'!$H$2:$H$698)</f>
        <v>1065600</v>
      </c>
      <c r="H309" s="4">
        <f t="shared" si="13"/>
        <v>0</v>
      </c>
      <c r="I309" s="3" t="str">
        <f>IF(COUNTIF('Data SCM'!$I$2:$I$698,$J309)=0,"Hanya di SO",IF(COUNTIF('Data SO'!$H$2:$H$1085,$J309)=0,"Hanya di SCM",IF(AND(ABS(E309)&lt;0.01,ABS(H309)&lt;1),"Sama",IF(ABS(E309)&lt;0.01,"Selisih nominal",IF(ABS(H309)&lt;1,"Selisih qty","Selisih qty &amp; nominal")))))</f>
        <v>Sama</v>
      </c>
      <c r="J309" t="s">
        <v>333</v>
      </c>
      <c r="K309" t="str">
        <f>IFERROR(INDEX('Data SCM'!$D$2:$D$698,MATCH($J309,'Data SCM'!$I$2:$I$698,0)),"")</f>
        <v>KG</v>
      </c>
      <c r="L309">
        <f t="shared" si="14"/>
        <v>1</v>
      </c>
    </row>
    <row r="310" spans="1:12" x14ac:dyDescent="0.25">
      <c r="A310" s="3" t="str">
        <f>IFERROR(INDEX('Data SO'!$C$2:$C$1085,MATCH($J310,'Data SO'!$H$2:$H$1085,0)),INDEX('Data SCM'!$B$2:$B$698,MATCH($J310,'Data SCM'!$I$2:$I$698,0)))</f>
        <v>Maglam Pasta Tiramisu @1Kg</v>
      </c>
      <c r="B310" s="3" t="str">
        <f>IFERROR(INDEX('Data SO'!$D$2:$D$1085,MATCH($J310,'Data SO'!$H$2:$H$1085,0)),K310)</f>
        <v>kg</v>
      </c>
      <c r="C310" s="9">
        <f>SUMIF('Data SO'!$H$2:$H$1085,$J310,'Data SO'!$F$2:$F$1085)</f>
        <v>3</v>
      </c>
      <c r="D310" s="9">
        <f>SUMIF('Data SCM'!$I$2:$I$698,$J310,'Data SCM'!$E$2:$E$698)*L310</f>
        <v>3</v>
      </c>
      <c r="E310" s="9">
        <f t="shared" si="12"/>
        <v>0</v>
      </c>
      <c r="F310" s="4">
        <f>SUMIF('Data SO'!$H$2:$H$1085,$J310,'Data SO'!$G$2:$G$1085)</f>
        <v>591303</v>
      </c>
      <c r="G310" s="4">
        <f>SUMIF('Data SCM'!$I$2:$I$698,$J310,'Data SCM'!$H$2:$H$698)</f>
        <v>591303</v>
      </c>
      <c r="H310" s="4">
        <f t="shared" si="13"/>
        <v>0</v>
      </c>
      <c r="I310" s="3" t="str">
        <f>IF(COUNTIF('Data SCM'!$I$2:$I$698,$J310)=0,"Hanya di SO",IF(COUNTIF('Data SO'!$H$2:$H$1085,$J310)=0,"Hanya di SCM",IF(AND(ABS(E310)&lt;0.01,ABS(H310)&lt;1),"Sama",IF(ABS(E310)&lt;0.01,"Selisih nominal",IF(ABS(H310)&lt;1,"Selisih qty","Selisih qty &amp; nominal")))))</f>
        <v>Sama</v>
      </c>
      <c r="J310" t="s">
        <v>334</v>
      </c>
      <c r="K310" t="str">
        <f>IFERROR(INDEX('Data SCM'!$D$2:$D$698,MATCH($J310,'Data SCM'!$I$2:$I$698,0)),"")</f>
        <v>KG</v>
      </c>
      <c r="L310">
        <f t="shared" si="14"/>
        <v>1</v>
      </c>
    </row>
    <row r="311" spans="1:12" x14ac:dyDescent="0.25">
      <c r="A311" s="3" t="str">
        <f>IFERROR(INDEX('Data SO'!$C$2:$C$1085,MATCH($J311,'Data SO'!$H$2:$H$1085,0)),INDEX('Data SCM'!$B$2:$B$698,MATCH($J311,'Data SCM'!$I$2:$I$698,0)))</f>
        <v>Mercolade Blue Barleymint @12X1Kg</v>
      </c>
      <c r="B311" s="3" t="str">
        <f>IFERROR(INDEX('Data SO'!$D$2:$D$1085,MATCH($J311,'Data SO'!$H$2:$H$1085,0)),K311)</f>
        <v>Kg</v>
      </c>
      <c r="C311" s="9">
        <f>SUMIF('Data SO'!$H$2:$H$1085,$J311,'Data SO'!$F$2:$F$1085)</f>
        <v>15</v>
      </c>
      <c r="D311" s="9">
        <f>SUMIF('Data SCM'!$I$2:$I$698,$J311,'Data SCM'!$E$2:$E$698)*L311</f>
        <v>15</v>
      </c>
      <c r="E311" s="9">
        <f t="shared" si="12"/>
        <v>0</v>
      </c>
      <c r="F311" s="4">
        <f>SUMIF('Data SO'!$H$2:$H$1085,$J311,'Data SO'!$G$2:$G$1085)</f>
        <v>729375</v>
      </c>
      <c r="G311" s="4">
        <f>SUMIF('Data SCM'!$I$2:$I$698,$J311,'Data SCM'!$H$2:$H$698)</f>
        <v>729375</v>
      </c>
      <c r="H311" s="4">
        <f t="shared" si="13"/>
        <v>0</v>
      </c>
      <c r="I311" s="3" t="str">
        <f>IF(COUNTIF('Data SCM'!$I$2:$I$698,$J311)=0,"Hanya di SO",IF(COUNTIF('Data SO'!$H$2:$H$1085,$J311)=0,"Hanya di SCM",IF(AND(ABS(E311)&lt;0.01,ABS(H311)&lt;1),"Sama",IF(ABS(E311)&lt;0.01,"Selisih nominal",IF(ABS(H311)&lt;1,"Selisih qty","Selisih qty &amp; nominal")))))</f>
        <v>Sama</v>
      </c>
      <c r="J311" t="s">
        <v>335</v>
      </c>
      <c r="K311" t="str">
        <f>IFERROR(INDEX('Data SCM'!$D$2:$D$698,MATCH($J311,'Data SCM'!$I$2:$I$698,0)),"")</f>
        <v>KG</v>
      </c>
      <c r="L311">
        <f t="shared" si="14"/>
        <v>1</v>
      </c>
    </row>
    <row r="312" spans="1:12" x14ac:dyDescent="0.25">
      <c r="A312" s="3" t="str">
        <f>IFERROR(INDEX('Data SO'!$C$2:$C$1085,MATCH($J312,'Data SO'!$H$2:$H$1085,0)),INDEX('Data SCM'!$B$2:$B$698,MATCH($J312,'Data SCM'!$I$2:$I$698,0)))</f>
        <v>Mercolade Leaf Green Melon @12X1Kg</v>
      </c>
      <c r="B312" s="3" t="str">
        <f>IFERROR(INDEX('Data SO'!$D$2:$D$1085,MATCH($J312,'Data SO'!$H$2:$H$1085,0)),K312)</f>
        <v>Kg</v>
      </c>
      <c r="C312" s="9">
        <f>SUMIF('Data SO'!$H$2:$H$1085,$J312,'Data SO'!$F$2:$F$1085)</f>
        <v>26</v>
      </c>
      <c r="D312" s="9">
        <f>SUMIF('Data SCM'!$I$2:$I$698,$J312,'Data SCM'!$E$2:$E$698)*L312</f>
        <v>26</v>
      </c>
      <c r="E312" s="9">
        <f t="shared" si="12"/>
        <v>0</v>
      </c>
      <c r="F312" s="4">
        <f>SUMIF('Data SO'!$H$2:$H$1085,$J312,'Data SO'!$G$2:$G$1085)</f>
        <v>1349400</v>
      </c>
      <c r="G312" s="4">
        <f>SUMIF('Data SCM'!$I$2:$I$698,$J312,'Data SCM'!$H$2:$H$698)</f>
        <v>1349400</v>
      </c>
      <c r="H312" s="4">
        <f t="shared" si="13"/>
        <v>0</v>
      </c>
      <c r="I312" s="3" t="str">
        <f>IF(COUNTIF('Data SCM'!$I$2:$I$698,$J312)=0,"Hanya di SO",IF(COUNTIF('Data SO'!$H$2:$H$1085,$J312)=0,"Hanya di SCM",IF(AND(ABS(E312)&lt;0.01,ABS(H312)&lt;1),"Sama",IF(ABS(E312)&lt;0.01,"Selisih nominal",IF(ABS(H312)&lt;1,"Selisih qty","Selisih qty &amp; nominal")))))</f>
        <v>Sama</v>
      </c>
      <c r="J312" t="s">
        <v>336</v>
      </c>
      <c r="K312" t="str">
        <f>IFERROR(INDEX('Data SCM'!$D$2:$D$698,MATCH($J312,'Data SCM'!$I$2:$I$698,0)),"")</f>
        <v>KG</v>
      </c>
      <c r="L312">
        <f t="shared" si="14"/>
        <v>1</v>
      </c>
    </row>
    <row r="313" spans="1:12" x14ac:dyDescent="0.25">
      <c r="A313" s="3" t="str">
        <f>IFERROR(INDEX('Data SO'!$C$2:$C$1085,MATCH($J313,'Data SO'!$H$2:$H$1085,0)),INDEX('Data SCM'!$B$2:$B$698,MATCH($J313,'Data SCM'!$I$2:$I$698,0)))</f>
        <v>Mercolade Lemon Fresh @12X1Kg</v>
      </c>
      <c r="B313" s="3" t="str">
        <f>IFERROR(INDEX('Data SO'!$D$2:$D$1085,MATCH($J313,'Data SO'!$H$2:$H$1085,0)),K313)</f>
        <v>Kg</v>
      </c>
      <c r="C313" s="9">
        <f>SUMIF('Data SO'!$H$2:$H$1085,$J313,'Data SO'!$F$2:$F$1085)</f>
        <v>53</v>
      </c>
      <c r="D313" s="9">
        <f>SUMIF('Data SCM'!$I$2:$I$698,$J313,'Data SCM'!$E$2:$E$698)*L313</f>
        <v>53</v>
      </c>
      <c r="E313" s="9">
        <f t="shared" si="12"/>
        <v>0</v>
      </c>
      <c r="F313" s="4">
        <f>SUMIF('Data SO'!$H$2:$H$1085,$J313,'Data SO'!$G$2:$G$1085)</f>
        <v>2750700</v>
      </c>
      <c r="G313" s="4">
        <f>SUMIF('Data SCM'!$I$2:$I$698,$J313,'Data SCM'!$H$2:$H$698)</f>
        <v>2750700</v>
      </c>
      <c r="H313" s="4">
        <f t="shared" si="13"/>
        <v>0</v>
      </c>
      <c r="I313" s="3" t="str">
        <f>IF(COUNTIF('Data SCM'!$I$2:$I$698,$J313)=0,"Hanya di SO",IF(COUNTIF('Data SO'!$H$2:$H$1085,$J313)=0,"Hanya di SCM",IF(AND(ABS(E313)&lt;0.01,ABS(H313)&lt;1),"Sama",IF(ABS(E313)&lt;0.01,"Selisih nominal",IF(ABS(H313)&lt;1,"Selisih qty","Selisih qty &amp; nominal")))))</f>
        <v>Sama</v>
      </c>
      <c r="J313" t="s">
        <v>337</v>
      </c>
      <c r="K313" t="str">
        <f>IFERROR(INDEX('Data SCM'!$D$2:$D$698,MATCH($J313,'Data SCM'!$I$2:$I$698,0)),"")</f>
        <v>KG</v>
      </c>
      <c r="L313">
        <f t="shared" si="14"/>
        <v>1</v>
      </c>
    </row>
    <row r="314" spans="1:12" x14ac:dyDescent="0.25">
      <c r="A314" s="3" t="str">
        <f>IFERROR(INDEX('Data SO'!$C$2:$C$1085,MATCH($J314,'Data SO'!$H$2:$H$1085,0)),INDEX('Data SCM'!$B$2:$B$698,MATCH($J314,'Data SCM'!$I$2:$I$698,0)))</f>
        <v>Mercolade Orange Sunkist @12X1Kg</v>
      </c>
      <c r="B314" s="3" t="str">
        <f>IFERROR(INDEX('Data SO'!$D$2:$D$1085,MATCH($J314,'Data SO'!$H$2:$H$1085,0)),K314)</f>
        <v>Kg</v>
      </c>
      <c r="C314" s="9">
        <f>SUMIF('Data SO'!$H$2:$H$1085,$J314,'Data SO'!$F$2:$F$1085)</f>
        <v>49</v>
      </c>
      <c r="D314" s="9">
        <f>SUMIF('Data SCM'!$I$2:$I$698,$J314,'Data SCM'!$E$2:$E$698)*L314</f>
        <v>49</v>
      </c>
      <c r="E314" s="9">
        <f t="shared" si="12"/>
        <v>0</v>
      </c>
      <c r="F314" s="4">
        <f>SUMIF('Data SO'!$H$2:$H$1085,$J314,'Data SO'!$G$2:$G$1085)</f>
        <v>2543100</v>
      </c>
      <c r="G314" s="4">
        <f>SUMIF('Data SCM'!$I$2:$I$698,$J314,'Data SCM'!$H$2:$H$698)</f>
        <v>2543100</v>
      </c>
      <c r="H314" s="4">
        <f t="shared" si="13"/>
        <v>0</v>
      </c>
      <c r="I314" s="3" t="str">
        <f>IF(COUNTIF('Data SCM'!$I$2:$I$698,$J314)=0,"Hanya di SO",IF(COUNTIF('Data SO'!$H$2:$H$1085,$J314)=0,"Hanya di SCM",IF(AND(ABS(E314)&lt;0.01,ABS(H314)&lt;1),"Sama",IF(ABS(E314)&lt;0.01,"Selisih nominal",IF(ABS(H314)&lt;1,"Selisih qty","Selisih qty &amp; nominal")))))</f>
        <v>Sama</v>
      </c>
      <c r="J314" t="s">
        <v>338</v>
      </c>
      <c r="K314" t="str">
        <f>IFERROR(INDEX('Data SCM'!$D$2:$D$698,MATCH($J314,'Data SCM'!$I$2:$I$698,0)),"")</f>
        <v>KG</v>
      </c>
      <c r="L314">
        <f t="shared" si="14"/>
        <v>1</v>
      </c>
    </row>
    <row r="315" spans="1:12" x14ac:dyDescent="0.25">
      <c r="A315" s="3" t="str">
        <f>IFERROR(INDEX('Data SO'!$C$2:$C$1085,MATCH($J315,'Data SO'!$H$2:$H$1085,0)),INDEX('Data SCM'!$B$2:$B$698,MATCH($J315,'Data SCM'!$I$2:$I$698,0)))</f>
        <v>Mercolade Pink Strawberry @12X1Kg</v>
      </c>
      <c r="B315" s="3" t="str">
        <f>IFERROR(INDEX('Data SO'!$D$2:$D$1085,MATCH($J315,'Data SO'!$H$2:$H$1085,0)),K315)</f>
        <v>Kg</v>
      </c>
      <c r="C315" s="9">
        <f>SUMIF('Data SO'!$H$2:$H$1085,$J315,'Data SO'!$F$2:$F$1085)</f>
        <v>30</v>
      </c>
      <c r="D315" s="9">
        <f>SUMIF('Data SCM'!$I$2:$I$698,$J315,'Data SCM'!$E$2:$E$698)*L315</f>
        <v>30</v>
      </c>
      <c r="E315" s="9">
        <f t="shared" si="12"/>
        <v>0</v>
      </c>
      <c r="F315" s="4">
        <f>SUMIF('Data SO'!$H$2:$H$1085,$J315,'Data SO'!$G$2:$G$1085)</f>
        <v>1557000</v>
      </c>
      <c r="G315" s="4">
        <f>SUMIF('Data SCM'!$I$2:$I$698,$J315,'Data SCM'!$H$2:$H$698)</f>
        <v>1557000</v>
      </c>
      <c r="H315" s="4">
        <f t="shared" si="13"/>
        <v>0</v>
      </c>
      <c r="I315" s="3" t="str">
        <f>IF(COUNTIF('Data SCM'!$I$2:$I$698,$J315)=0,"Hanya di SO",IF(COUNTIF('Data SO'!$H$2:$H$1085,$J315)=0,"Hanya di SCM",IF(AND(ABS(E315)&lt;0.01,ABS(H315)&lt;1),"Sama",IF(ABS(E315)&lt;0.01,"Selisih nominal",IF(ABS(H315)&lt;1,"Selisih qty","Selisih qty &amp; nominal")))))</f>
        <v>Sama</v>
      </c>
      <c r="J315" t="s">
        <v>339</v>
      </c>
      <c r="K315" t="str">
        <f>IFERROR(INDEX('Data SCM'!$D$2:$D$698,MATCH($J315,'Data SCM'!$I$2:$I$698,0)),"")</f>
        <v>KG</v>
      </c>
      <c r="L315">
        <f t="shared" si="14"/>
        <v>1</v>
      </c>
    </row>
    <row r="316" spans="1:12" x14ac:dyDescent="0.25">
      <c r="A316" s="3" t="str">
        <f>IFERROR(INDEX('Data SO'!$C$2:$C$1085,MATCH($J316,'Data SO'!$H$2:$H$1085,0)),INDEX('Data SCM'!$B$2:$B$698,MATCH($J316,'Data SCM'!$I$2:$I$698,0)))</f>
        <v>Mercolade Tiramisu @12X1Kg</v>
      </c>
      <c r="B316" s="3" t="str">
        <f>IFERROR(INDEX('Data SO'!$D$2:$D$1085,MATCH($J316,'Data SO'!$H$2:$H$1085,0)),K316)</f>
        <v>Kg</v>
      </c>
      <c r="C316" s="9">
        <f>SUMIF('Data SO'!$H$2:$H$1085,$J316,'Data SO'!$F$2:$F$1085)</f>
        <v>25</v>
      </c>
      <c r="D316" s="9">
        <f>SUMIF('Data SCM'!$I$2:$I$698,$J316,'Data SCM'!$E$2:$E$698)*L316</f>
        <v>25</v>
      </c>
      <c r="E316" s="9">
        <f t="shared" si="12"/>
        <v>0</v>
      </c>
      <c r="F316" s="4">
        <f>SUMIF('Data SO'!$H$2:$H$1085,$J316,'Data SO'!$G$2:$G$1085)</f>
        <v>1297500</v>
      </c>
      <c r="G316" s="4">
        <f>SUMIF('Data SCM'!$I$2:$I$698,$J316,'Data SCM'!$H$2:$H$698)</f>
        <v>1297500</v>
      </c>
      <c r="H316" s="4">
        <f t="shared" si="13"/>
        <v>0</v>
      </c>
      <c r="I316" s="3" t="str">
        <f>IF(COUNTIF('Data SCM'!$I$2:$I$698,$J316)=0,"Hanya di SO",IF(COUNTIF('Data SO'!$H$2:$H$1085,$J316)=0,"Hanya di SCM",IF(AND(ABS(E316)&lt;0.01,ABS(H316)&lt;1),"Sama",IF(ABS(E316)&lt;0.01,"Selisih nominal",IF(ABS(H316)&lt;1,"Selisih qty","Selisih qty &amp; nominal")))))</f>
        <v>Sama</v>
      </c>
      <c r="J316" t="s">
        <v>340</v>
      </c>
      <c r="K316" t="str">
        <f>IFERROR(INDEX('Data SCM'!$D$2:$D$698,MATCH($J316,'Data SCM'!$I$2:$I$698,0)),"")</f>
        <v>KG</v>
      </c>
      <c r="L316">
        <f t="shared" si="14"/>
        <v>1</v>
      </c>
    </row>
    <row r="317" spans="1:12" x14ac:dyDescent="0.25">
      <c r="A317" s="3" t="str">
        <f>IFERROR(INDEX('Data SO'!$C$2:$C$1085,MATCH($J317,'Data SO'!$H$2:$H$1085,0)),INDEX('Data SCM'!$B$2:$B$698,MATCH($J317,'Data SCM'!$I$2:$I$698,0)))</f>
        <v>Mercolade Violet Blueberry @12X1Kg</v>
      </c>
      <c r="B317" s="3" t="str">
        <f>IFERROR(INDEX('Data SO'!$D$2:$D$1085,MATCH($J317,'Data SO'!$H$2:$H$1085,0)),K317)</f>
        <v>Kg</v>
      </c>
      <c r="C317" s="9">
        <f>SUMIF('Data SO'!$H$2:$H$1085,$J317,'Data SO'!$F$2:$F$1085)</f>
        <v>32</v>
      </c>
      <c r="D317" s="9">
        <f>SUMIF('Data SCM'!$I$2:$I$698,$J317,'Data SCM'!$E$2:$E$698)*L317</f>
        <v>32</v>
      </c>
      <c r="E317" s="9">
        <f t="shared" si="12"/>
        <v>0</v>
      </c>
      <c r="F317" s="4">
        <f>SUMIF('Data SO'!$H$2:$H$1085,$J317,'Data SO'!$G$2:$G$1085)</f>
        <v>1660800</v>
      </c>
      <c r="G317" s="4">
        <f>SUMIF('Data SCM'!$I$2:$I$698,$J317,'Data SCM'!$H$2:$H$698)</f>
        <v>1660800</v>
      </c>
      <c r="H317" s="4">
        <f t="shared" si="13"/>
        <v>0</v>
      </c>
      <c r="I317" s="3" t="str">
        <f>IF(COUNTIF('Data SCM'!$I$2:$I$698,$J317)=0,"Hanya di SO",IF(COUNTIF('Data SO'!$H$2:$H$1085,$J317)=0,"Hanya di SCM",IF(AND(ABS(E317)&lt;0.01,ABS(H317)&lt;1),"Sama",IF(ABS(E317)&lt;0.01,"Selisih nominal",IF(ABS(H317)&lt;1,"Selisih qty","Selisih qty &amp; nominal")))))</f>
        <v>Sama</v>
      </c>
      <c r="J317" t="s">
        <v>341</v>
      </c>
      <c r="K317" t="str">
        <f>IFERROR(INDEX('Data SCM'!$D$2:$D$698,MATCH($J317,'Data SCM'!$I$2:$I$698,0)),"")</f>
        <v>KG</v>
      </c>
      <c r="L317">
        <f t="shared" si="14"/>
        <v>1</v>
      </c>
    </row>
    <row r="318" spans="1:12" x14ac:dyDescent="0.25">
      <c r="A318" s="3" t="str">
        <f>IFERROR(INDEX('Data SO'!$C$2:$C$1085,MATCH($J318,'Data SO'!$H$2:$H$1085,0)),INDEX('Data SCM'!$B$2:$B$698,MATCH($J318,'Data SCM'!$I$2:$I$698,0)))</f>
        <v>Mercolade White @4X5Kg</v>
      </c>
      <c r="B318" s="3" t="str">
        <f>IFERROR(INDEX('Data SO'!$D$2:$D$1085,MATCH($J318,'Data SO'!$H$2:$H$1085,0)),K318)</f>
        <v>Kg</v>
      </c>
      <c r="C318" s="9">
        <f>SUMIF('Data SO'!$H$2:$H$1085,$J318,'Data SO'!$F$2:$F$1085)</f>
        <v>120</v>
      </c>
      <c r="D318" s="9">
        <f>SUMIF('Data SCM'!$I$2:$I$698,$J318,'Data SCM'!$E$2:$E$698)*L318</f>
        <v>120</v>
      </c>
      <c r="E318" s="9">
        <f t="shared" si="12"/>
        <v>0</v>
      </c>
      <c r="F318" s="4">
        <f>SUMIF('Data SO'!$H$2:$H$1085,$J318,'Data SO'!$G$2:$G$1085)</f>
        <v>5976600</v>
      </c>
      <c r="G318" s="4">
        <f>SUMIF('Data SCM'!$I$2:$I$698,$J318,'Data SCM'!$H$2:$H$698)</f>
        <v>5976600</v>
      </c>
      <c r="H318" s="4">
        <f t="shared" si="13"/>
        <v>0</v>
      </c>
      <c r="I318" s="3" t="str">
        <f>IF(COUNTIF('Data SCM'!$I$2:$I$698,$J318)=0,"Hanya di SO",IF(COUNTIF('Data SO'!$H$2:$H$1085,$J318)=0,"Hanya di SCM",IF(AND(ABS(E318)&lt;0.01,ABS(H318)&lt;1),"Sama",IF(ABS(E318)&lt;0.01,"Selisih nominal",IF(ABS(H318)&lt;1,"Selisih qty","Selisih qty &amp; nominal")))))</f>
        <v>Sama</v>
      </c>
      <c r="J318" t="s">
        <v>342</v>
      </c>
      <c r="K318" t="str">
        <f>IFERROR(INDEX('Data SCM'!$D$2:$D$698,MATCH($J318,'Data SCM'!$I$2:$I$698,0)),"")</f>
        <v>KG</v>
      </c>
      <c r="L318">
        <f t="shared" si="14"/>
        <v>1</v>
      </c>
    </row>
    <row r="319" spans="1:12" x14ac:dyDescent="0.25">
      <c r="A319" s="3" t="str">
        <f>IFERROR(INDEX('Data SO'!$C$2:$C$1085,MATCH($J319,'Data SO'!$H$2:$H$1085,0)),INDEX('Data SCM'!$B$2:$B$698,MATCH($J319,'Data SCM'!$I$2:$I$698,0)))</f>
        <v>Mika Brownies Bakar @200 Set</v>
      </c>
      <c r="B319" s="3" t="str">
        <f>IFERROR(INDEX('Data SO'!$D$2:$D$1085,MATCH($J319,'Data SO'!$H$2:$H$1085,0)),K319)</f>
        <v>Set</v>
      </c>
      <c r="C319" s="9">
        <f>SUMIF('Data SO'!$H$2:$H$1085,$J319,'Data SO'!$F$2:$F$1085)</f>
        <v>200</v>
      </c>
      <c r="D319" s="9">
        <f>SUMIF('Data SCM'!$I$2:$I$698,$J319,'Data SCM'!$E$2:$E$698)*L319</f>
        <v>200</v>
      </c>
      <c r="E319" s="9">
        <f t="shared" si="12"/>
        <v>0</v>
      </c>
      <c r="F319" s="4">
        <f>SUMIF('Data SO'!$H$2:$H$1085,$J319,'Data SO'!$G$2:$G$1085)</f>
        <v>375000</v>
      </c>
      <c r="G319" s="4">
        <f>SUMIF('Data SCM'!$I$2:$I$698,$J319,'Data SCM'!$H$2:$H$698)</f>
        <v>375000</v>
      </c>
      <c r="H319" s="4">
        <f t="shared" si="13"/>
        <v>0</v>
      </c>
      <c r="I319" s="3" t="str">
        <f>IF(COUNTIF('Data SCM'!$I$2:$I$698,$J319)=0,"Hanya di SO",IF(COUNTIF('Data SO'!$H$2:$H$1085,$J319)=0,"Hanya di SCM",IF(AND(ABS(E319)&lt;0.01,ABS(H319)&lt;1),"Sama",IF(ABS(E319)&lt;0.01,"Selisih nominal",IF(ABS(H319)&lt;1,"Selisih qty","Selisih qty &amp; nominal")))))</f>
        <v>Sama</v>
      </c>
      <c r="J319" t="s">
        <v>343</v>
      </c>
      <c r="K319" t="str">
        <f>IFERROR(INDEX('Data SCM'!$D$2:$D$698,MATCH($J319,'Data SCM'!$I$2:$I$698,0)),"")</f>
        <v>SET</v>
      </c>
      <c r="L319">
        <f t="shared" si="14"/>
        <v>1</v>
      </c>
    </row>
    <row r="320" spans="1:12" x14ac:dyDescent="0.25">
      <c r="A320" s="3" t="str">
        <f>IFERROR(INDEX('Data SO'!$C$2:$C$1085,MATCH($J320,'Data SO'!$H$2:$H$1085,0)),INDEX('Data SCM'!$B$2:$B$698,MATCH($J320,'Data SCM'!$I$2:$I$698,0)))</f>
        <v>Mika Brownies S Techno @300Set</v>
      </c>
      <c r="B320" s="3" t="str">
        <f>IFERROR(INDEX('Data SO'!$D$2:$D$1085,MATCH($J320,'Data SO'!$H$2:$H$1085,0)),K320)</f>
        <v>Set</v>
      </c>
      <c r="C320" s="9">
        <f>SUMIF('Data SO'!$H$2:$H$1085,$J320,'Data SO'!$F$2:$F$1085)</f>
        <v>192</v>
      </c>
      <c r="D320" s="9">
        <f>SUMIF('Data SCM'!$I$2:$I$698,$J320,'Data SCM'!$E$2:$E$698)*L320</f>
        <v>192</v>
      </c>
      <c r="E320" s="9">
        <f t="shared" si="12"/>
        <v>0</v>
      </c>
      <c r="F320" s="4">
        <f>SUMIF('Data SO'!$H$2:$H$1085,$J320,'Data SO'!$G$2:$G$1085)</f>
        <v>240000</v>
      </c>
      <c r="G320" s="4">
        <f>SUMIF('Data SCM'!$I$2:$I$698,$J320,'Data SCM'!$H$2:$H$698)</f>
        <v>240000</v>
      </c>
      <c r="H320" s="4">
        <f t="shared" si="13"/>
        <v>0</v>
      </c>
      <c r="I320" s="3" t="str">
        <f>IF(COUNTIF('Data SCM'!$I$2:$I$698,$J320)=0,"Hanya di SO",IF(COUNTIF('Data SO'!$H$2:$H$1085,$J320)=0,"Hanya di SCM",IF(AND(ABS(E320)&lt;0.01,ABS(H320)&lt;1),"Sama",IF(ABS(E320)&lt;0.01,"Selisih nominal",IF(ABS(H320)&lt;1,"Selisih qty","Selisih qty &amp; nominal")))))</f>
        <v>Sama</v>
      </c>
      <c r="J320" t="s">
        <v>344</v>
      </c>
      <c r="K320" t="str">
        <f>IFERROR(INDEX('Data SCM'!$D$2:$D$698,MATCH($J320,'Data SCM'!$I$2:$I$698,0)),"")</f>
        <v>SET</v>
      </c>
      <c r="L320">
        <f t="shared" si="14"/>
        <v>1</v>
      </c>
    </row>
    <row r="321" spans="1:12" x14ac:dyDescent="0.25">
      <c r="A321" s="3" t="str">
        <f>IFERROR(INDEX('Data SO'!$C$2:$C$1085,MATCH($J321,'Data SO'!$H$2:$H$1085,0)),INDEX('Data SCM'!$B$2:$B$698,MATCH($J321,'Data SCM'!$I$2:$I$698,0)))</f>
        <v>Mika Ct 15 @150 Pcs</v>
      </c>
      <c r="B321" s="3" t="str">
        <f>IFERROR(INDEX('Data SO'!$D$2:$D$1085,MATCH($J321,'Data SO'!$H$2:$H$1085,0)),K321)</f>
        <v>Pcs</v>
      </c>
      <c r="C321" s="9">
        <f>SUMIF('Data SO'!$H$2:$H$1085,$J321,'Data SO'!$F$2:$F$1085)</f>
        <v>3750</v>
      </c>
      <c r="D321" s="9">
        <f>SUMIF('Data SCM'!$I$2:$I$698,$J321,'Data SCM'!$E$2:$E$698)*L321</f>
        <v>3750</v>
      </c>
      <c r="E321" s="9">
        <f t="shared" si="12"/>
        <v>0</v>
      </c>
      <c r="F321" s="4">
        <f>SUMIF('Data SO'!$H$2:$H$1085,$J321,'Data SO'!$G$2:$G$1085)</f>
        <v>5737500</v>
      </c>
      <c r="G321" s="4">
        <f>SUMIF('Data SCM'!$I$2:$I$698,$J321,'Data SCM'!$H$2:$H$698)</f>
        <v>5737500</v>
      </c>
      <c r="H321" s="4">
        <f t="shared" si="13"/>
        <v>0</v>
      </c>
      <c r="I321" s="3" t="str">
        <f>IF(COUNTIF('Data SCM'!$I$2:$I$698,$J321)=0,"Hanya di SO",IF(COUNTIF('Data SO'!$H$2:$H$1085,$J321)=0,"Hanya di SCM",IF(AND(ABS(E321)&lt;0.01,ABS(H321)&lt;1),"Sama",IF(ABS(E321)&lt;0.01,"Selisih nominal",IF(ABS(H321)&lt;1,"Selisih qty","Selisih qty &amp; nominal")))))</f>
        <v>Sama</v>
      </c>
      <c r="J321" t="s">
        <v>345</v>
      </c>
      <c r="K321" t="str">
        <f>IFERROR(INDEX('Data SCM'!$D$2:$D$698,MATCH($J321,'Data SCM'!$I$2:$I$698,0)),"")</f>
        <v>PCS</v>
      </c>
      <c r="L321">
        <f t="shared" si="14"/>
        <v>1</v>
      </c>
    </row>
    <row r="322" spans="1:12" x14ac:dyDescent="0.25">
      <c r="A322" s="3" t="str">
        <f>IFERROR(INDEX('Data SO'!$C$2:$C$1085,MATCH($J322,'Data SO'!$H$2:$H$1085,0)),INDEX('Data SCM'!$B$2:$B$698,MATCH($J322,'Data SCM'!$I$2:$I$698,0)))</f>
        <v>OXYGEN ABSORBER</v>
      </c>
      <c r="B322" s="3" t="str">
        <f>IFERROR(INDEX('Data SO'!$D$2:$D$1085,MATCH($J322,'Data SO'!$H$2:$H$1085,0)),K322)</f>
        <v>Pcs</v>
      </c>
      <c r="C322" s="9">
        <f>SUMIF('Data SO'!$H$2:$H$1085,$J322,'Data SO'!$F$2:$F$1085)</f>
        <v>2000</v>
      </c>
      <c r="D322" s="9">
        <f>SUMIF('Data SCM'!$I$2:$I$698,$J322,'Data SCM'!$E$2:$E$698)*L322</f>
        <v>2000</v>
      </c>
      <c r="E322" s="9">
        <f t="shared" ref="E322:E385" si="15">D322-C322</f>
        <v>0</v>
      </c>
      <c r="F322" s="4">
        <f>SUMIF('Data SO'!$H$2:$H$1085,$J322,'Data SO'!$G$2:$G$1085)</f>
        <v>480000</v>
      </c>
      <c r="G322" s="4">
        <f>SUMIF('Data SCM'!$I$2:$I$698,$J322,'Data SCM'!$H$2:$H$698)</f>
        <v>480000</v>
      </c>
      <c r="H322" s="4">
        <f t="shared" ref="H322:H385" si="16">G322-F322</f>
        <v>0</v>
      </c>
      <c r="I322" s="3" t="str">
        <f>IF(COUNTIF('Data SCM'!$I$2:$I$698,$J322)=0,"Hanya di SO",IF(COUNTIF('Data SO'!$H$2:$H$1085,$J322)=0,"Hanya di SCM",IF(AND(ABS(E322)&lt;0.01,ABS(H322)&lt;1),"Sama",IF(ABS(E322)&lt;0.01,"Selisih nominal",IF(ABS(H322)&lt;1,"Selisih qty","Selisih qty &amp; nominal")))))</f>
        <v>Sama</v>
      </c>
      <c r="J322" t="s">
        <v>346</v>
      </c>
      <c r="K322" t="str">
        <f>IFERROR(INDEX('Data SCM'!$D$2:$D$698,MATCH($J322,'Data SCM'!$I$2:$I$698,0)),"")</f>
        <v>PCS</v>
      </c>
      <c r="L322">
        <f t="shared" ref="L322:L385" si="17">IF(OR(AND(K322="GR",LOWER(B322)="kg"),AND(K322="ML",LOWER(B322)="liter")),0.001,1)</f>
        <v>1</v>
      </c>
    </row>
    <row r="323" spans="1:12" x14ac:dyDescent="0.25">
      <c r="A323" s="3" t="str">
        <f>IFERROR(INDEX('Data SO'!$C$2:$C$1085,MATCH($J323,'Data SO'!$H$2:$H$1085,0)),INDEX('Data SCM'!$B$2:$B$698,MATCH($J323,'Data SCM'!$I$2:$I$698,0)))</f>
        <v>Oregano</v>
      </c>
      <c r="B323" s="3" t="str">
        <f>IFERROR(INDEX('Data SO'!$D$2:$D$1085,MATCH($J323,'Data SO'!$H$2:$H$1085,0)),K323)</f>
        <v>kg</v>
      </c>
      <c r="C323" s="9">
        <f>SUMIF('Data SO'!$H$2:$H$1085,$J323,'Data SO'!$F$2:$F$1085)</f>
        <v>2</v>
      </c>
      <c r="D323" s="9">
        <f>SUMIF('Data SCM'!$I$2:$I$698,$J323,'Data SCM'!$E$2:$E$698)*L323</f>
        <v>2</v>
      </c>
      <c r="E323" s="9">
        <f t="shared" si="15"/>
        <v>0</v>
      </c>
      <c r="F323" s="4">
        <f>SUMIF('Data SO'!$H$2:$H$1085,$J323,'Data SO'!$G$2:$G$1085)</f>
        <v>640000</v>
      </c>
      <c r="G323" s="4">
        <f>SUMIF('Data SCM'!$I$2:$I$698,$J323,'Data SCM'!$H$2:$H$698)</f>
        <v>640000</v>
      </c>
      <c r="H323" s="4">
        <f t="shared" si="16"/>
        <v>0</v>
      </c>
      <c r="I323" s="3" t="str">
        <f>IF(COUNTIF('Data SCM'!$I$2:$I$698,$J323)=0,"Hanya di SO",IF(COUNTIF('Data SO'!$H$2:$H$1085,$J323)=0,"Hanya di SCM",IF(AND(ABS(E323)&lt;0.01,ABS(H323)&lt;1),"Sama",IF(ABS(E323)&lt;0.01,"Selisih nominal",IF(ABS(H323)&lt;1,"Selisih qty","Selisih qty &amp; nominal")))))</f>
        <v>Sama</v>
      </c>
      <c r="J323" t="s">
        <v>347</v>
      </c>
      <c r="K323" t="str">
        <f>IFERROR(INDEX('Data SCM'!$D$2:$D$698,MATCH($J323,'Data SCM'!$I$2:$I$698,0)),"")</f>
        <v>KG</v>
      </c>
      <c r="L323">
        <f t="shared" si="17"/>
        <v>1</v>
      </c>
    </row>
    <row r="324" spans="1:12" x14ac:dyDescent="0.25">
      <c r="A324" s="3" t="str">
        <f>IFERROR(INDEX('Data SO'!$C$2:$C$1085,MATCH($J324,'Data SO'!$H$2:$H$1085,0)),INDEX('Data SCM'!$B$2:$B$698,MATCH($J324,'Data SCM'!$I$2:$I$698,0)))</f>
        <v>PASTA PANDAN LION BROTHER @25 KG</v>
      </c>
      <c r="B324" s="3" t="str">
        <f>IFERROR(INDEX('Data SO'!$D$2:$D$1085,MATCH($J324,'Data SO'!$H$2:$H$1085,0)),K324)</f>
        <v>kg</v>
      </c>
      <c r="C324" s="9">
        <f>SUMIF('Data SO'!$H$2:$H$1085,$J324,'Data SO'!$F$2:$F$1085)</f>
        <v>50</v>
      </c>
      <c r="D324" s="9">
        <f>SUMIF('Data SCM'!$I$2:$I$698,$J324,'Data SCM'!$E$2:$E$698)*L324</f>
        <v>50</v>
      </c>
      <c r="E324" s="9">
        <f t="shared" si="15"/>
        <v>0</v>
      </c>
      <c r="F324" s="4">
        <f>SUMIF('Data SO'!$H$2:$H$1085,$J324,'Data SO'!$G$2:$G$1085)</f>
        <v>3102450</v>
      </c>
      <c r="G324" s="4">
        <f>SUMIF('Data SCM'!$I$2:$I$698,$J324,'Data SCM'!$H$2:$H$698)</f>
        <v>3102450</v>
      </c>
      <c r="H324" s="4">
        <f t="shared" si="16"/>
        <v>0</v>
      </c>
      <c r="I324" s="3" t="str">
        <f>IF(COUNTIF('Data SCM'!$I$2:$I$698,$J324)=0,"Hanya di SO",IF(COUNTIF('Data SO'!$H$2:$H$1085,$J324)=0,"Hanya di SCM",IF(AND(ABS(E324)&lt;0.01,ABS(H324)&lt;1),"Sama",IF(ABS(E324)&lt;0.01,"Selisih nominal",IF(ABS(H324)&lt;1,"Selisih qty","Selisih qty &amp; nominal")))))</f>
        <v>Sama</v>
      </c>
      <c r="J324" t="s">
        <v>348</v>
      </c>
      <c r="K324" t="str">
        <f>IFERROR(INDEX('Data SCM'!$D$2:$D$698,MATCH($J324,'Data SCM'!$I$2:$I$698,0)),"")</f>
        <v>KG</v>
      </c>
      <c r="L324">
        <f t="shared" si="17"/>
        <v>1</v>
      </c>
    </row>
    <row r="325" spans="1:12" x14ac:dyDescent="0.25">
      <c r="A325" s="3" t="str">
        <f>IFERROR(INDEX('Data SO'!$C$2:$C$1085,MATCH($J325,'Data SO'!$H$2:$H$1085,0)),INDEX('Data SCM'!$B$2:$B$698,MATCH($J325,'Data SCM'!$I$2:$I$698,0)))</f>
        <v>PASTA PISTACHIO</v>
      </c>
      <c r="B325" s="3" t="str">
        <f>IFERROR(INDEX('Data SO'!$D$2:$D$1085,MATCH($J325,'Data SO'!$H$2:$H$1085,0)),K325)</f>
        <v>Kg</v>
      </c>
      <c r="C325" s="9">
        <f>SUMIF('Data SO'!$H$2:$H$1085,$J325,'Data SO'!$F$2:$F$1085)</f>
        <v>70</v>
      </c>
      <c r="D325" s="9">
        <f>SUMIF('Data SCM'!$I$2:$I$698,$J325,'Data SCM'!$E$2:$E$698)*L325</f>
        <v>70</v>
      </c>
      <c r="E325" s="9">
        <f t="shared" si="15"/>
        <v>0</v>
      </c>
      <c r="F325" s="4">
        <f>SUMIF('Data SO'!$H$2:$H$1085,$J325,'Data SO'!$G$2:$G$1085)</f>
        <v>8400000</v>
      </c>
      <c r="G325" s="4">
        <f>SUMIF('Data SCM'!$I$2:$I$698,$J325,'Data SCM'!$H$2:$H$698)</f>
        <v>8400000</v>
      </c>
      <c r="H325" s="4">
        <f t="shared" si="16"/>
        <v>0</v>
      </c>
      <c r="I325" s="3" t="str">
        <f>IF(COUNTIF('Data SCM'!$I$2:$I$698,$J325)=0,"Hanya di SO",IF(COUNTIF('Data SO'!$H$2:$H$1085,$J325)=0,"Hanya di SCM",IF(AND(ABS(E325)&lt;0.01,ABS(H325)&lt;1),"Sama",IF(ABS(E325)&lt;0.01,"Selisih nominal",IF(ABS(H325)&lt;1,"Selisih qty","Selisih qty &amp; nominal")))))</f>
        <v>Sama</v>
      </c>
      <c r="J325" t="s">
        <v>349</v>
      </c>
      <c r="K325" t="str">
        <f>IFERROR(INDEX('Data SCM'!$D$2:$D$698,MATCH($J325,'Data SCM'!$I$2:$I$698,0)),"")</f>
        <v>KG</v>
      </c>
      <c r="L325">
        <f t="shared" si="17"/>
        <v>1</v>
      </c>
    </row>
    <row r="326" spans="1:12" x14ac:dyDescent="0.25">
      <c r="A326" s="3" t="str">
        <f>IFERROR(INDEX('Data SO'!$C$2:$C$1085,MATCH($J326,'Data SO'!$H$2:$H$1085,0)),INDEX('Data SCM'!$B$2:$B$698,MATCH($J326,'Data SCM'!$I$2:$I$698,0)))</f>
        <v>PASTA REDBELL TARO 55 ML</v>
      </c>
      <c r="B326" s="3" t="str">
        <f>IFERROR(INDEX('Data SO'!$D$2:$D$1085,MATCH($J326,'Data SO'!$H$2:$H$1085,0)),K326)</f>
        <v>Pcs</v>
      </c>
      <c r="C326" s="9">
        <f>SUMIF('Data SO'!$H$2:$H$1085,$J326,'Data SO'!$F$2:$F$1085)</f>
        <v>297</v>
      </c>
      <c r="D326" s="9">
        <f>SUMIF('Data SCM'!$I$2:$I$698,$J326,'Data SCM'!$E$2:$E$698)*L326</f>
        <v>297</v>
      </c>
      <c r="E326" s="9">
        <f t="shared" si="15"/>
        <v>0</v>
      </c>
      <c r="F326" s="4">
        <f>SUMIF('Data SO'!$H$2:$H$1085,$J326,'Data SO'!$G$2:$G$1085)</f>
        <v>1782000</v>
      </c>
      <c r="G326" s="4">
        <f>SUMIF('Data SCM'!$I$2:$I$698,$J326,'Data SCM'!$H$2:$H$698)</f>
        <v>1782000</v>
      </c>
      <c r="H326" s="4">
        <f t="shared" si="16"/>
        <v>0</v>
      </c>
      <c r="I326" s="3" t="str">
        <f>IF(COUNTIF('Data SCM'!$I$2:$I$698,$J326)=0,"Hanya di SO",IF(COUNTIF('Data SO'!$H$2:$H$1085,$J326)=0,"Hanya di SCM",IF(AND(ABS(E326)&lt;0.01,ABS(H326)&lt;1),"Sama",IF(ABS(E326)&lt;0.01,"Selisih nominal",IF(ABS(H326)&lt;1,"Selisih qty","Selisih qty &amp; nominal")))))</f>
        <v>Sama</v>
      </c>
      <c r="J326" t="s">
        <v>350</v>
      </c>
      <c r="K326" t="str">
        <f>IFERROR(INDEX('Data SCM'!$D$2:$D$698,MATCH($J326,'Data SCM'!$I$2:$I$698,0)),"")</f>
        <v>PCS</v>
      </c>
      <c r="L326">
        <f t="shared" si="17"/>
        <v>1</v>
      </c>
    </row>
    <row r="327" spans="1:12" x14ac:dyDescent="0.25">
      <c r="A327" s="3" t="str">
        <f>IFERROR(INDEX('Data SO'!$C$2:$C$1085,MATCH($J327,'Data SO'!$H$2:$H$1085,0)),INDEX('Data SCM'!$B$2:$B$698,MATCH($J327,'Data SCM'!$I$2:$I$698,0)))</f>
        <v>PEWARNA BIRU CAP KUPU-KUPU</v>
      </c>
      <c r="B327" s="3" t="str">
        <f>IFERROR(INDEX('Data SO'!$D$2:$D$1085,MATCH($J327,'Data SO'!$H$2:$H$1085,0)),K327)</f>
        <v>Pcs</v>
      </c>
      <c r="C327" s="9">
        <f>SUMIF('Data SO'!$H$2:$H$1085,$J327,'Data SO'!$F$2:$F$1085)</f>
        <v>19</v>
      </c>
      <c r="D327" s="9">
        <f>SUMIF('Data SCM'!$I$2:$I$698,$J327,'Data SCM'!$E$2:$E$698)*L327</f>
        <v>570</v>
      </c>
      <c r="E327" s="9">
        <f t="shared" si="15"/>
        <v>551</v>
      </c>
      <c r="F327" s="4">
        <f>SUMIF('Data SO'!$H$2:$H$1085,$J327,'Data SO'!$G$2:$G$1085)</f>
        <v>114000</v>
      </c>
      <c r="G327" s="4">
        <f>SUMIF('Data SCM'!$I$2:$I$698,$J327,'Data SCM'!$H$2:$H$698)</f>
        <v>114000</v>
      </c>
      <c r="H327" s="4">
        <f t="shared" si="16"/>
        <v>0</v>
      </c>
      <c r="I327" s="3" t="str">
        <f>IF(COUNTIF('Data SCM'!$I$2:$I$698,$J327)=0,"Hanya di SO",IF(COUNTIF('Data SO'!$H$2:$H$1085,$J327)=0,"Hanya di SCM",IF(AND(ABS(E327)&lt;0.01,ABS(H327)&lt;1),"Sama",IF(ABS(E327)&lt;0.01,"Selisih nominal",IF(ABS(H327)&lt;1,"Selisih qty","Selisih qty &amp; nominal")))))</f>
        <v>Selisih qty</v>
      </c>
      <c r="J327" t="s">
        <v>351</v>
      </c>
      <c r="K327" t="str">
        <f>IFERROR(INDEX('Data SCM'!$D$2:$D$698,MATCH($J327,'Data SCM'!$I$2:$I$698,0)),"")</f>
        <v>ML</v>
      </c>
      <c r="L327">
        <f t="shared" si="17"/>
        <v>1</v>
      </c>
    </row>
    <row r="328" spans="1:12" x14ac:dyDescent="0.25">
      <c r="A328" s="3" t="str">
        <f>IFERROR(INDEX('Data SO'!$C$2:$C$1085,MATCH($J328,'Data SO'!$H$2:$H$1085,0)),INDEX('Data SCM'!$B$2:$B$698,MATCH($J328,'Data SCM'!$I$2:$I$698,0)))</f>
        <v>PEWARNA CROSS  HIJAU @60ML</v>
      </c>
      <c r="B328" s="3" t="str">
        <f>IFERROR(INDEX('Data SO'!$D$2:$D$1085,MATCH($J328,'Data SO'!$H$2:$H$1085,0)),K328)</f>
        <v>ml</v>
      </c>
      <c r="C328" s="9">
        <f>SUMIF('Data SO'!$H$2:$H$1085,$J328,'Data SO'!$F$2:$F$1085)</f>
        <v>300</v>
      </c>
      <c r="D328" s="9">
        <f>SUMIF('Data SCM'!$I$2:$I$698,$J328,'Data SCM'!$E$2:$E$698)*L328</f>
        <v>300</v>
      </c>
      <c r="E328" s="9">
        <f t="shared" si="15"/>
        <v>0</v>
      </c>
      <c r="F328" s="4">
        <f>SUMIF('Data SO'!$H$2:$H$1085,$J328,'Data SO'!$G$2:$G$1085)</f>
        <v>150000</v>
      </c>
      <c r="G328" s="4">
        <f>SUMIF('Data SCM'!$I$2:$I$698,$J328,'Data SCM'!$H$2:$H$698)</f>
        <v>150000</v>
      </c>
      <c r="H328" s="4">
        <f t="shared" si="16"/>
        <v>0</v>
      </c>
      <c r="I328" s="3" t="str">
        <f>IF(COUNTIF('Data SCM'!$I$2:$I$698,$J328)=0,"Hanya di SO",IF(COUNTIF('Data SO'!$H$2:$H$1085,$J328)=0,"Hanya di SCM",IF(AND(ABS(E328)&lt;0.01,ABS(H328)&lt;1),"Sama",IF(ABS(E328)&lt;0.01,"Selisih nominal",IF(ABS(H328)&lt;1,"Selisih qty","Selisih qty &amp; nominal")))))</f>
        <v>Sama</v>
      </c>
      <c r="J328" t="s">
        <v>352</v>
      </c>
      <c r="K328" t="str">
        <f>IFERROR(INDEX('Data SCM'!$D$2:$D$698,MATCH($J328,'Data SCM'!$I$2:$I$698,0)),"")</f>
        <v>ML</v>
      </c>
      <c r="L328">
        <f t="shared" si="17"/>
        <v>1</v>
      </c>
    </row>
    <row r="329" spans="1:12" x14ac:dyDescent="0.25">
      <c r="A329" s="3" t="str">
        <f>IFERROR(INDEX('Data SO'!$C$2:$C$1085,MATCH($J329,'Data SO'!$H$2:$H$1085,0)),INDEX('Data SCM'!$B$2:$B$698,MATCH($J329,'Data SCM'!$I$2:$I$698,0)))</f>
        <v>PEWARNA CROSS  PINK @60ML</v>
      </c>
      <c r="B329" s="3" t="str">
        <f>IFERROR(INDEX('Data SO'!$D$2:$D$1085,MATCH($J329,'Data SO'!$H$2:$H$1085,0)),K329)</f>
        <v>ml</v>
      </c>
      <c r="C329" s="9">
        <f>SUMIF('Data SO'!$H$2:$H$1085,$J329,'Data SO'!$F$2:$F$1085)</f>
        <v>60</v>
      </c>
      <c r="D329" s="9">
        <f>SUMIF('Data SCM'!$I$2:$I$698,$J329,'Data SCM'!$E$2:$E$698)*L329</f>
        <v>60</v>
      </c>
      <c r="E329" s="9">
        <f t="shared" si="15"/>
        <v>0</v>
      </c>
      <c r="F329" s="4">
        <f>SUMIF('Data SO'!$H$2:$H$1085,$J329,'Data SO'!$G$2:$G$1085)</f>
        <v>30000</v>
      </c>
      <c r="G329" s="4">
        <f>SUMIF('Data SCM'!$I$2:$I$698,$J329,'Data SCM'!$H$2:$H$698)</f>
        <v>30000</v>
      </c>
      <c r="H329" s="4">
        <f t="shared" si="16"/>
        <v>0</v>
      </c>
      <c r="I329" s="3" t="str">
        <f>IF(COUNTIF('Data SCM'!$I$2:$I$698,$J329)=0,"Hanya di SO",IF(COUNTIF('Data SO'!$H$2:$H$1085,$J329)=0,"Hanya di SCM",IF(AND(ABS(E329)&lt;0.01,ABS(H329)&lt;1),"Sama",IF(ABS(E329)&lt;0.01,"Selisih nominal",IF(ABS(H329)&lt;1,"Selisih qty","Selisih qty &amp; nominal")))))</f>
        <v>Sama</v>
      </c>
      <c r="J329" t="s">
        <v>353</v>
      </c>
      <c r="K329" t="str">
        <f>IFERROR(INDEX('Data SCM'!$D$2:$D$698,MATCH($J329,'Data SCM'!$I$2:$I$698,0)),"")</f>
        <v>ML</v>
      </c>
      <c r="L329">
        <f t="shared" si="17"/>
        <v>1</v>
      </c>
    </row>
    <row r="330" spans="1:12" x14ac:dyDescent="0.25">
      <c r="A330" s="3" t="str">
        <f>IFERROR(INDEX('Data SO'!$C$2:$C$1085,MATCH($J330,'Data SO'!$H$2:$H$1085,0)),INDEX('Data SCM'!$B$2:$B$698,MATCH($J330,'Data SCM'!$I$2:$I$698,0)))</f>
        <v>PEWARNA CROSS  ROYAL BLUE @60ML</v>
      </c>
      <c r="B330" s="3" t="str">
        <f>IFERROR(INDEX('Data SO'!$D$2:$D$1085,MATCH($J330,'Data SO'!$H$2:$H$1085,0)),K330)</f>
        <v>ml</v>
      </c>
      <c r="C330" s="9">
        <f>SUMIF('Data SO'!$H$2:$H$1085,$J330,'Data SO'!$F$2:$F$1085)</f>
        <v>600</v>
      </c>
      <c r="D330" s="9">
        <f>SUMIF('Data SCM'!$I$2:$I$698,$J330,'Data SCM'!$E$2:$E$698)*L330</f>
        <v>600</v>
      </c>
      <c r="E330" s="9">
        <f t="shared" si="15"/>
        <v>0</v>
      </c>
      <c r="F330" s="4">
        <f>SUMIF('Data SO'!$H$2:$H$1085,$J330,'Data SO'!$G$2:$G$1085)</f>
        <v>300000</v>
      </c>
      <c r="G330" s="4">
        <f>SUMIF('Data SCM'!$I$2:$I$698,$J330,'Data SCM'!$H$2:$H$698)</f>
        <v>300000</v>
      </c>
      <c r="H330" s="4">
        <f t="shared" si="16"/>
        <v>0</v>
      </c>
      <c r="I330" s="3" t="str">
        <f>IF(COUNTIF('Data SCM'!$I$2:$I$698,$J330)=0,"Hanya di SO",IF(COUNTIF('Data SO'!$H$2:$H$1085,$J330)=0,"Hanya di SCM",IF(AND(ABS(E330)&lt;0.01,ABS(H330)&lt;1),"Sama",IF(ABS(E330)&lt;0.01,"Selisih nominal",IF(ABS(H330)&lt;1,"Selisih qty","Selisih qty &amp; nominal")))))</f>
        <v>Sama</v>
      </c>
      <c r="J330" t="s">
        <v>354</v>
      </c>
      <c r="K330" t="str">
        <f>IFERROR(INDEX('Data SCM'!$D$2:$D$698,MATCH($J330,'Data SCM'!$I$2:$I$698,0)),"")</f>
        <v>ML</v>
      </c>
      <c r="L330">
        <f t="shared" si="17"/>
        <v>1</v>
      </c>
    </row>
    <row r="331" spans="1:12" x14ac:dyDescent="0.25">
      <c r="A331" s="3" t="str">
        <f>IFERROR(INDEX('Data SO'!$C$2:$C$1085,MATCH($J331,'Data SO'!$H$2:$H$1085,0)),INDEX('Data SCM'!$B$2:$B$698,MATCH($J331,'Data SCM'!$I$2:$I$698,0)))</f>
        <v>PEWARNA CROSS  SKY  BLUE @60ML</v>
      </c>
      <c r="B331" s="3" t="str">
        <f>IFERROR(INDEX('Data SO'!$D$2:$D$1085,MATCH($J331,'Data SO'!$H$2:$H$1085,0)),K331)</f>
        <v>ml</v>
      </c>
      <c r="C331" s="9">
        <f>SUMIF('Data SO'!$H$2:$H$1085,$J331,'Data SO'!$F$2:$F$1085)</f>
        <v>180</v>
      </c>
      <c r="D331" s="9">
        <f>SUMIF('Data SCM'!$I$2:$I$698,$J331,'Data SCM'!$E$2:$E$698)*L331</f>
        <v>180</v>
      </c>
      <c r="E331" s="9">
        <f t="shared" si="15"/>
        <v>0</v>
      </c>
      <c r="F331" s="4">
        <f>SUMIF('Data SO'!$H$2:$H$1085,$J331,'Data SO'!$G$2:$G$1085)</f>
        <v>90000</v>
      </c>
      <c r="G331" s="4">
        <f>SUMIF('Data SCM'!$I$2:$I$698,$J331,'Data SCM'!$H$2:$H$698)</f>
        <v>90000</v>
      </c>
      <c r="H331" s="4">
        <f t="shared" si="16"/>
        <v>0</v>
      </c>
      <c r="I331" s="3" t="str">
        <f>IF(COUNTIF('Data SCM'!$I$2:$I$698,$J331)=0,"Hanya di SO",IF(COUNTIF('Data SO'!$H$2:$H$1085,$J331)=0,"Hanya di SCM",IF(AND(ABS(E331)&lt;0.01,ABS(H331)&lt;1),"Sama",IF(ABS(E331)&lt;0.01,"Selisih nominal",IF(ABS(H331)&lt;1,"Selisih qty","Selisih qty &amp; nominal")))))</f>
        <v>Sama</v>
      </c>
      <c r="J331" t="s">
        <v>355</v>
      </c>
      <c r="K331" t="str">
        <f>IFERROR(INDEX('Data SCM'!$D$2:$D$698,MATCH($J331,'Data SCM'!$I$2:$I$698,0)),"")</f>
        <v>ML</v>
      </c>
      <c r="L331">
        <f t="shared" si="17"/>
        <v>1</v>
      </c>
    </row>
    <row r="332" spans="1:12" x14ac:dyDescent="0.25">
      <c r="A332" s="3" t="str">
        <f>IFERROR(INDEX('Data SO'!$C$2:$C$1085,MATCH($J332,'Data SO'!$H$2:$H$1085,0)),INDEX('Data SCM'!$B$2:$B$698,MATCH($J332,'Data SCM'!$I$2:$I$698,0)))</f>
        <v>PEWARNA CROSS  VIOLET @60ML</v>
      </c>
      <c r="B332" s="3" t="str">
        <f>IFERROR(INDEX('Data SO'!$D$2:$D$1085,MATCH($J332,'Data SO'!$H$2:$H$1085,0)),K332)</f>
        <v>ml</v>
      </c>
      <c r="C332" s="9">
        <f>SUMIF('Data SO'!$H$2:$H$1085,$J332,'Data SO'!$F$2:$F$1085)</f>
        <v>300</v>
      </c>
      <c r="D332" s="9">
        <f>SUMIF('Data SCM'!$I$2:$I$698,$J332,'Data SCM'!$E$2:$E$698)*L332</f>
        <v>300</v>
      </c>
      <c r="E332" s="9">
        <f t="shared" si="15"/>
        <v>0</v>
      </c>
      <c r="F332" s="4">
        <f>SUMIF('Data SO'!$H$2:$H$1085,$J332,'Data SO'!$G$2:$G$1085)</f>
        <v>150000</v>
      </c>
      <c r="G332" s="4">
        <f>SUMIF('Data SCM'!$I$2:$I$698,$J332,'Data SCM'!$H$2:$H$698)</f>
        <v>150000</v>
      </c>
      <c r="H332" s="4">
        <f t="shared" si="16"/>
        <v>0</v>
      </c>
      <c r="I332" s="3" t="str">
        <f>IF(COUNTIF('Data SCM'!$I$2:$I$698,$J332)=0,"Hanya di SO",IF(COUNTIF('Data SO'!$H$2:$H$1085,$J332)=0,"Hanya di SCM",IF(AND(ABS(E332)&lt;0.01,ABS(H332)&lt;1),"Sama",IF(ABS(E332)&lt;0.01,"Selisih nominal",IF(ABS(H332)&lt;1,"Selisih qty","Selisih qty &amp; nominal")))))</f>
        <v>Sama</v>
      </c>
      <c r="J332" t="s">
        <v>356</v>
      </c>
      <c r="K332" t="str">
        <f>IFERROR(INDEX('Data SCM'!$D$2:$D$698,MATCH($J332,'Data SCM'!$I$2:$I$698,0)),"")</f>
        <v>ML</v>
      </c>
      <c r="L332">
        <f t="shared" si="17"/>
        <v>1</v>
      </c>
    </row>
    <row r="333" spans="1:12" x14ac:dyDescent="0.25">
      <c r="A333" s="3" t="str">
        <f>IFERROR(INDEX('Data SO'!$C$2:$C$1085,MATCH($J333,'Data SO'!$H$2:$H$1085,0)),INDEX('Data SCM'!$B$2:$B$698,MATCH($J333,'Data SCM'!$I$2:$I$698,0)))</f>
        <v>PEWARNA CROSS EGG YELLOW @60ML</v>
      </c>
      <c r="B333" s="3" t="str">
        <f>IFERROR(INDEX('Data SO'!$D$2:$D$1085,MATCH($J333,'Data SO'!$H$2:$H$1085,0)),K333)</f>
        <v>Ml</v>
      </c>
      <c r="C333" s="9">
        <f>SUMIF('Data SO'!$H$2:$H$1085,$J333,'Data SO'!$F$2:$F$1085)</f>
        <v>60</v>
      </c>
      <c r="D333" s="9">
        <f>SUMIF('Data SCM'!$I$2:$I$698,$J333,'Data SCM'!$E$2:$E$698)*L333</f>
        <v>60</v>
      </c>
      <c r="E333" s="9">
        <f t="shared" si="15"/>
        <v>0</v>
      </c>
      <c r="F333" s="4">
        <f>SUMIF('Data SO'!$H$2:$H$1085,$J333,'Data SO'!$G$2:$G$1085)</f>
        <v>30000</v>
      </c>
      <c r="G333" s="4">
        <f>SUMIF('Data SCM'!$I$2:$I$698,$J333,'Data SCM'!$H$2:$H$698)</f>
        <v>30000</v>
      </c>
      <c r="H333" s="4">
        <f t="shared" si="16"/>
        <v>0</v>
      </c>
      <c r="I333" s="3" t="str">
        <f>IF(COUNTIF('Data SCM'!$I$2:$I$698,$J333)=0,"Hanya di SO",IF(COUNTIF('Data SO'!$H$2:$H$1085,$J333)=0,"Hanya di SCM",IF(AND(ABS(E333)&lt;0.01,ABS(H333)&lt;1),"Sama",IF(ABS(E333)&lt;0.01,"Selisih nominal",IF(ABS(H333)&lt;1,"Selisih qty","Selisih qty &amp; nominal")))))</f>
        <v>Sama</v>
      </c>
      <c r="J333" t="s">
        <v>357</v>
      </c>
      <c r="K333" t="str">
        <f>IFERROR(INDEX('Data SCM'!$D$2:$D$698,MATCH($J333,'Data SCM'!$I$2:$I$698,0)),"")</f>
        <v>ML</v>
      </c>
      <c r="L333">
        <f t="shared" si="17"/>
        <v>1</v>
      </c>
    </row>
    <row r="334" spans="1:12" x14ac:dyDescent="0.25">
      <c r="A334" s="3" t="str">
        <f>IFERROR(INDEX('Data SO'!$C$2:$C$1085,MATCH($J334,'Data SO'!$H$2:$H$1085,0)),INDEX('Data SCM'!$B$2:$B$698,MATCH($J334,'Data SCM'!$I$2:$I$698,0)))</f>
        <v>PEWARNA HITAM CAP KUPU-KUPU</v>
      </c>
      <c r="B334" s="3" t="str">
        <f>IFERROR(INDEX('Data SO'!$D$2:$D$1085,MATCH($J334,'Data SO'!$H$2:$H$1085,0)),K334)</f>
        <v>Pcs</v>
      </c>
      <c r="C334" s="9">
        <f>SUMIF('Data SO'!$H$2:$H$1085,$J334,'Data SO'!$F$2:$F$1085)</f>
        <v>1</v>
      </c>
      <c r="D334" s="9">
        <f>SUMIF('Data SCM'!$I$2:$I$698,$J334,'Data SCM'!$E$2:$E$698)*L334</f>
        <v>1</v>
      </c>
      <c r="E334" s="9">
        <f t="shared" si="15"/>
        <v>0</v>
      </c>
      <c r="F334" s="4">
        <f>SUMIF('Data SO'!$H$2:$H$1085,$J334,'Data SO'!$G$2:$G$1085)</f>
        <v>6000</v>
      </c>
      <c r="G334" s="4">
        <f>SUMIF('Data SCM'!$I$2:$I$698,$J334,'Data SCM'!$H$2:$H$698)</f>
        <v>6000</v>
      </c>
      <c r="H334" s="4">
        <f t="shared" si="16"/>
        <v>0</v>
      </c>
      <c r="I334" s="3" t="str">
        <f>IF(COUNTIF('Data SCM'!$I$2:$I$698,$J334)=0,"Hanya di SO",IF(COUNTIF('Data SO'!$H$2:$H$1085,$J334)=0,"Hanya di SCM",IF(AND(ABS(E334)&lt;0.01,ABS(H334)&lt;1),"Sama",IF(ABS(E334)&lt;0.01,"Selisih nominal",IF(ABS(H334)&lt;1,"Selisih qty","Selisih qty &amp; nominal")))))</f>
        <v>Sama</v>
      </c>
      <c r="J334" t="s">
        <v>358</v>
      </c>
      <c r="K334" t="str">
        <f>IFERROR(INDEX('Data SCM'!$D$2:$D$698,MATCH($J334,'Data SCM'!$I$2:$I$698,0)),"")</f>
        <v>GR</v>
      </c>
      <c r="L334">
        <f t="shared" si="17"/>
        <v>1</v>
      </c>
    </row>
    <row r="335" spans="1:12" x14ac:dyDescent="0.25">
      <c r="A335" s="3" t="str">
        <f>IFERROR(INDEX('Data SO'!$C$2:$C$1085,MATCH($J335,'Data SO'!$H$2:$H$1085,0)),INDEX('Data SCM'!$B$2:$B$698,MATCH($J335,'Data SCM'!$I$2:$I$698,0)))</f>
        <v>PISAU KUE BROWNIS</v>
      </c>
      <c r="B335" s="3" t="str">
        <f>IFERROR(INDEX('Data SO'!$D$2:$D$1085,MATCH($J335,'Data SO'!$H$2:$H$1085,0)),K335)</f>
        <v>Pcs</v>
      </c>
      <c r="C335" s="9">
        <f>SUMIF('Data SO'!$H$2:$H$1085,$J335,'Data SO'!$F$2:$F$1085)</f>
        <v>37200</v>
      </c>
      <c r="D335" s="9">
        <f>SUMIF('Data SCM'!$I$2:$I$698,$J335,'Data SCM'!$E$2:$E$698)*L335</f>
        <v>37200</v>
      </c>
      <c r="E335" s="9">
        <f t="shared" si="15"/>
        <v>0</v>
      </c>
      <c r="F335" s="4">
        <f>SUMIF('Data SO'!$H$2:$H$1085,$J335,'Data SO'!$G$2:$G$1085)</f>
        <v>5580000</v>
      </c>
      <c r="G335" s="4">
        <f>SUMIF('Data SCM'!$I$2:$I$698,$J335,'Data SCM'!$H$2:$H$698)</f>
        <v>5580000</v>
      </c>
      <c r="H335" s="4">
        <f t="shared" si="16"/>
        <v>0</v>
      </c>
      <c r="I335" s="3" t="str">
        <f>IF(COUNTIF('Data SCM'!$I$2:$I$698,$J335)=0,"Hanya di SO",IF(COUNTIF('Data SO'!$H$2:$H$1085,$J335)=0,"Hanya di SCM",IF(AND(ABS(E335)&lt;0.01,ABS(H335)&lt;1),"Sama",IF(ABS(E335)&lt;0.01,"Selisih nominal",IF(ABS(H335)&lt;1,"Selisih qty","Selisih qty &amp; nominal")))))</f>
        <v>Sama</v>
      </c>
      <c r="J335" t="s">
        <v>359</v>
      </c>
      <c r="K335" t="str">
        <f>IFERROR(INDEX('Data SCM'!$D$2:$D$698,MATCH($J335,'Data SCM'!$I$2:$I$698,0)),"")</f>
        <v>PCS</v>
      </c>
      <c r="L335">
        <f t="shared" si="17"/>
        <v>1</v>
      </c>
    </row>
    <row r="336" spans="1:12" x14ac:dyDescent="0.25">
      <c r="A336" s="3" t="str">
        <f>IFERROR(INDEX('Data SO'!$C$2:$C$1085,MATCH($J336,'Data SO'!$H$2:$H$1085,0)),INDEX('Data SCM'!$B$2:$B$698,MATCH($J336,'Data SCM'!$I$2:$I$698,0)))</f>
        <v>PITA MERAH</v>
      </c>
      <c r="B336" s="3" t="str">
        <f>IFERROR(INDEX('Data SO'!$D$2:$D$1085,MATCH($J336,'Data SO'!$H$2:$H$1085,0)),K336)</f>
        <v>Pcs</v>
      </c>
      <c r="C336" s="9">
        <f>SUMIF('Data SO'!$H$2:$H$1085,$J336,'Data SO'!$F$2:$F$1085)</f>
        <v>48</v>
      </c>
      <c r="D336" s="9">
        <f>SUMIF('Data SCM'!$I$2:$I$698,$J336,'Data SCM'!$E$2:$E$698)*L336</f>
        <v>48</v>
      </c>
      <c r="E336" s="9">
        <f t="shared" si="15"/>
        <v>0</v>
      </c>
      <c r="F336" s="4">
        <f>SUMIF('Data SO'!$H$2:$H$1085,$J336,'Data SO'!$G$2:$G$1085)</f>
        <v>216000</v>
      </c>
      <c r="G336" s="4">
        <f>SUMIF('Data SCM'!$I$2:$I$698,$J336,'Data SCM'!$H$2:$H$698)</f>
        <v>216000</v>
      </c>
      <c r="H336" s="4">
        <f t="shared" si="16"/>
        <v>0</v>
      </c>
      <c r="I336" s="3" t="str">
        <f>IF(COUNTIF('Data SCM'!$I$2:$I$698,$J336)=0,"Hanya di SO",IF(COUNTIF('Data SO'!$H$2:$H$1085,$J336)=0,"Hanya di SCM",IF(AND(ABS(E336)&lt;0.01,ABS(H336)&lt;1),"Sama",IF(ABS(E336)&lt;0.01,"Selisih nominal",IF(ABS(H336)&lt;1,"Selisih qty","Selisih qty &amp; nominal")))))</f>
        <v>Sama</v>
      </c>
      <c r="J336" t="s">
        <v>360</v>
      </c>
      <c r="K336" t="str">
        <f>IFERROR(INDEX('Data SCM'!$D$2:$D$698,MATCH($J336,'Data SCM'!$I$2:$I$698,0)),"")</f>
        <v>PCS</v>
      </c>
      <c r="L336">
        <f t="shared" si="17"/>
        <v>1</v>
      </c>
    </row>
    <row r="337" spans="1:12" x14ac:dyDescent="0.25">
      <c r="A337" s="3" t="str">
        <f>IFERROR(INDEX('Data SO'!$C$2:$C$1085,MATCH($J337,'Data SO'!$H$2:$H$1085,0)),INDEX('Data SCM'!$B$2:$B$698,MATCH($J337,'Data SCM'!$I$2:$I$698,0)))</f>
        <v>PLASTIK ROTI TAWAR HD VOL 11</v>
      </c>
      <c r="B337" s="3" t="str">
        <f>IFERROR(INDEX('Data SO'!$D$2:$D$1085,MATCH($J337,'Data SO'!$H$2:$H$1085,0)),K337)</f>
        <v>Pcs</v>
      </c>
      <c r="C337" s="9">
        <f>SUMIF('Data SO'!$H$2:$H$1085,$J337,'Data SO'!$F$2:$F$1085)</f>
        <v>156763</v>
      </c>
      <c r="D337" s="9">
        <f>SUMIF('Data SCM'!$I$2:$I$698,$J337,'Data SCM'!$E$2:$E$698)*L337</f>
        <v>156763</v>
      </c>
      <c r="E337" s="9">
        <f t="shared" si="15"/>
        <v>0</v>
      </c>
      <c r="F337" s="4">
        <f>SUMIF('Data SO'!$H$2:$H$1085,$J337,'Data SO'!$G$2:$G$1085)</f>
        <v>146730168</v>
      </c>
      <c r="G337" s="4">
        <f>SUMIF('Data SCM'!$I$2:$I$698,$J337,'Data SCM'!$H$2:$H$698)</f>
        <v>146730168</v>
      </c>
      <c r="H337" s="4">
        <f t="shared" si="16"/>
        <v>0</v>
      </c>
      <c r="I337" s="3" t="str">
        <f>IF(COUNTIF('Data SCM'!$I$2:$I$698,$J337)=0,"Hanya di SO",IF(COUNTIF('Data SO'!$H$2:$H$1085,$J337)=0,"Hanya di SCM",IF(AND(ABS(E337)&lt;0.01,ABS(H337)&lt;1),"Sama",IF(ABS(E337)&lt;0.01,"Selisih nominal",IF(ABS(H337)&lt;1,"Selisih qty","Selisih qty &amp; nominal")))))</f>
        <v>Sama</v>
      </c>
      <c r="J337" t="s">
        <v>361</v>
      </c>
      <c r="K337" t="str">
        <f>IFERROR(INDEX('Data SCM'!$D$2:$D$698,MATCH($J337,'Data SCM'!$I$2:$I$698,0)),"")</f>
        <v>PCS</v>
      </c>
      <c r="L337">
        <f t="shared" si="17"/>
        <v>1</v>
      </c>
    </row>
    <row r="338" spans="1:12" x14ac:dyDescent="0.25">
      <c r="A338" s="3" t="str">
        <f>IFERROR(INDEX('Data SO'!$C$2:$C$1085,MATCH($J338,'Data SO'!$H$2:$H$1085,0)),INDEX('Data SCM'!$B$2:$B$698,MATCH($J338,'Data SCM'!$I$2:$I$698,0)))</f>
        <v>PLASTIK ROTI TAWAR HD VOL 22</v>
      </c>
      <c r="B338" s="3" t="str">
        <f>IFERROR(INDEX('Data SO'!$D$2:$D$1085,MATCH($J338,'Data SO'!$H$2:$H$1085,0)),K338)</f>
        <v>Pcs</v>
      </c>
      <c r="C338" s="9">
        <f>SUMIF('Data SO'!$H$2:$H$1085,$J338,'Data SO'!$F$2:$F$1085)</f>
        <v>6500</v>
      </c>
      <c r="D338" s="9">
        <f>SUMIF('Data SCM'!$I$2:$I$698,$J338,'Data SCM'!$E$2:$E$698)*L338</f>
        <v>6500</v>
      </c>
      <c r="E338" s="9">
        <f t="shared" si="15"/>
        <v>0</v>
      </c>
      <c r="F338" s="4">
        <f>SUMIF('Data SO'!$H$2:$H$1085,$J338,'Data SO'!$G$2:$G$1085)</f>
        <v>7839000</v>
      </c>
      <c r="G338" s="4">
        <f>SUMIF('Data SCM'!$I$2:$I$698,$J338,'Data SCM'!$H$2:$H$698)</f>
        <v>7839000</v>
      </c>
      <c r="H338" s="4">
        <f t="shared" si="16"/>
        <v>0</v>
      </c>
      <c r="I338" s="3" t="str">
        <f>IF(COUNTIF('Data SCM'!$I$2:$I$698,$J338)=0,"Hanya di SO",IF(COUNTIF('Data SO'!$H$2:$H$1085,$J338)=0,"Hanya di SCM",IF(AND(ABS(E338)&lt;0.01,ABS(H338)&lt;1),"Sama",IF(ABS(E338)&lt;0.01,"Selisih nominal",IF(ABS(H338)&lt;1,"Selisih qty","Selisih qty &amp; nominal")))))</f>
        <v>Sama</v>
      </c>
      <c r="J338" t="s">
        <v>362</v>
      </c>
      <c r="K338" t="str">
        <f>IFERROR(INDEX('Data SCM'!$D$2:$D$698,MATCH($J338,'Data SCM'!$I$2:$I$698,0)),"")</f>
        <v>PCS</v>
      </c>
      <c r="L338">
        <f t="shared" si="17"/>
        <v>1</v>
      </c>
    </row>
    <row r="339" spans="1:12" x14ac:dyDescent="0.25">
      <c r="A339" s="3" t="str">
        <f>IFERROR(INDEX('Data SO'!$C$2:$C$1085,MATCH($J339,'Data SO'!$H$2:$H$1085,0)),INDEX('Data SCM'!$B$2:$B$698,MATCH($J339,'Data SCM'!$I$2:$I$698,0)))</f>
        <v>POLIBAG 60X100</v>
      </c>
      <c r="B339" s="3" t="str">
        <f>IFERROR(INDEX('Data SO'!$D$2:$D$1085,MATCH($J339,'Data SO'!$H$2:$H$1085,0)),K339)</f>
        <v>Pcs</v>
      </c>
      <c r="C339" s="9">
        <f>SUMIF('Data SO'!$H$2:$H$1085,$J339,'Data SO'!$F$2:$F$1085)</f>
        <v>320</v>
      </c>
      <c r="D339" s="9">
        <f>SUMIF('Data SCM'!$I$2:$I$698,$J339,'Data SCM'!$E$2:$E$698)*L339</f>
        <v>320</v>
      </c>
      <c r="E339" s="9">
        <f t="shared" si="15"/>
        <v>0</v>
      </c>
      <c r="F339" s="4">
        <f>SUMIF('Data SO'!$H$2:$H$1085,$J339,'Data SO'!$G$2:$G$1085)</f>
        <v>576000</v>
      </c>
      <c r="G339" s="4">
        <f>SUMIF('Data SCM'!$I$2:$I$698,$J339,'Data SCM'!$H$2:$H$698)</f>
        <v>576000</v>
      </c>
      <c r="H339" s="4">
        <f t="shared" si="16"/>
        <v>0</v>
      </c>
      <c r="I339" s="3" t="str">
        <f>IF(COUNTIF('Data SCM'!$I$2:$I$698,$J339)=0,"Hanya di SO",IF(COUNTIF('Data SO'!$H$2:$H$1085,$J339)=0,"Hanya di SCM",IF(AND(ABS(E339)&lt;0.01,ABS(H339)&lt;1),"Sama",IF(ABS(E339)&lt;0.01,"Selisih nominal",IF(ABS(H339)&lt;1,"Selisih qty","Selisih qty &amp; nominal")))))</f>
        <v>Sama</v>
      </c>
      <c r="J339" t="s">
        <v>363</v>
      </c>
      <c r="K339" t="str">
        <f>IFERROR(INDEX('Data SCM'!$D$2:$D$698,MATCH($J339,'Data SCM'!$I$2:$I$698,0)),"")</f>
        <v>PCS</v>
      </c>
      <c r="L339">
        <f t="shared" si="17"/>
        <v>1</v>
      </c>
    </row>
    <row r="340" spans="1:12" x14ac:dyDescent="0.25">
      <c r="A340" s="3" t="str">
        <f>IFERROR(INDEX('Data SO'!$C$2:$C$1085,MATCH($J340,'Data SO'!$H$2:$H$1085,0)),INDEX('Data SCM'!$B$2:$B$698,MATCH($J340,'Data SCM'!$I$2:$I$698,0)))</f>
        <v>POLIBAG 90X120</v>
      </c>
      <c r="B340" s="3" t="str">
        <f>IFERROR(INDEX('Data SO'!$D$2:$D$1085,MATCH($J340,'Data SO'!$H$2:$H$1085,0)),K340)</f>
        <v>Pcs</v>
      </c>
      <c r="C340" s="9">
        <f>SUMIF('Data SO'!$H$2:$H$1085,$J340,'Data SO'!$F$2:$F$1085)</f>
        <v>90</v>
      </c>
      <c r="D340" s="9">
        <f>SUMIF('Data SCM'!$I$2:$I$698,$J340,'Data SCM'!$E$2:$E$698)*L340</f>
        <v>90</v>
      </c>
      <c r="E340" s="9">
        <f t="shared" si="15"/>
        <v>0</v>
      </c>
      <c r="F340" s="4">
        <f>SUMIF('Data SO'!$H$2:$H$1085,$J340,'Data SO'!$G$2:$G$1085)</f>
        <v>78300</v>
      </c>
      <c r="G340" s="4">
        <f>SUMIF('Data SCM'!$I$2:$I$698,$J340,'Data SCM'!$H$2:$H$698)</f>
        <v>78300</v>
      </c>
      <c r="H340" s="4">
        <f t="shared" si="16"/>
        <v>0</v>
      </c>
      <c r="I340" s="3" t="str">
        <f>IF(COUNTIF('Data SCM'!$I$2:$I$698,$J340)=0,"Hanya di SO",IF(COUNTIF('Data SO'!$H$2:$H$1085,$J340)=0,"Hanya di SCM",IF(AND(ABS(E340)&lt;0.01,ABS(H340)&lt;1),"Sama",IF(ABS(E340)&lt;0.01,"Selisih nominal",IF(ABS(H340)&lt;1,"Selisih qty","Selisih qty &amp; nominal")))))</f>
        <v>Sama</v>
      </c>
      <c r="J340" t="s">
        <v>364</v>
      </c>
      <c r="K340" t="str">
        <f>IFERROR(INDEX('Data SCM'!$D$2:$D$698,MATCH($J340,'Data SCM'!$I$2:$I$698,0)),"")</f>
        <v>PCS</v>
      </c>
      <c r="L340">
        <f t="shared" si="17"/>
        <v>1</v>
      </c>
    </row>
    <row r="341" spans="1:12" x14ac:dyDescent="0.25">
      <c r="A341" s="3" t="str">
        <f>IFERROR(INDEX('Data SO'!$C$2:$C$1085,MATCH($J341,'Data SO'!$H$2:$H$1085,0)),INDEX('Data SCM'!$B$2:$B$698,MATCH($J341,'Data SCM'!$I$2:$I$698,0)))</f>
        <v>PREMIX DUBAI CHEWY COOKIE</v>
      </c>
      <c r="B341" s="3" t="str">
        <f>IFERROR(INDEX('Data SO'!$D$2:$D$1085,MATCH($J341,'Data SO'!$H$2:$H$1085,0)),K341)</f>
        <v>Pcs</v>
      </c>
      <c r="C341" s="9">
        <f>SUMIF('Data SO'!$H$2:$H$1085,$J341,'Data SO'!$F$2:$F$1085)</f>
        <v>15</v>
      </c>
      <c r="D341" s="9">
        <f>SUMIF('Data SCM'!$I$2:$I$698,$J341,'Data SCM'!$E$2:$E$698)*L341</f>
        <v>15</v>
      </c>
      <c r="E341" s="9">
        <f t="shared" si="15"/>
        <v>0</v>
      </c>
      <c r="F341" s="4">
        <f>SUMIF('Data SO'!$H$2:$H$1085,$J341,'Data SO'!$G$2:$G$1085)</f>
        <v>537270</v>
      </c>
      <c r="G341" s="4">
        <f>SUMIF('Data SCM'!$I$2:$I$698,$J341,'Data SCM'!$H$2:$H$698)</f>
        <v>537270</v>
      </c>
      <c r="H341" s="4">
        <f t="shared" si="16"/>
        <v>0</v>
      </c>
      <c r="I341" s="3" t="str">
        <f>IF(COUNTIF('Data SCM'!$I$2:$I$698,$J341)=0,"Hanya di SO",IF(COUNTIF('Data SO'!$H$2:$H$1085,$J341)=0,"Hanya di SCM",IF(AND(ABS(E341)&lt;0.01,ABS(H341)&lt;1),"Sama",IF(ABS(E341)&lt;0.01,"Selisih nominal",IF(ABS(H341)&lt;1,"Selisih qty","Selisih qty &amp; nominal")))))</f>
        <v>Sama</v>
      </c>
      <c r="J341" t="s">
        <v>365</v>
      </c>
      <c r="K341" t="str">
        <f>IFERROR(INDEX('Data SCM'!$D$2:$D$698,MATCH($J341,'Data SCM'!$I$2:$I$698,0)),"")</f>
        <v>PCS</v>
      </c>
      <c r="L341">
        <f t="shared" si="17"/>
        <v>1</v>
      </c>
    </row>
    <row r="342" spans="1:12" x14ac:dyDescent="0.25">
      <c r="A342" s="3" t="str">
        <f>IFERROR(INDEX('Data SO'!$C$2:$C$1085,MATCH($J342,'Data SO'!$H$2:$H$1085,0)),INDEX('Data SCM'!$B$2:$B$698,MATCH($J342,'Data SCM'!$I$2:$I$698,0)))</f>
        <v>PREMIX FILLING COKLAT RIMBO</v>
      </c>
      <c r="B342" s="3" t="str">
        <f>IFERROR(INDEX('Data SO'!$D$2:$D$1085,MATCH($J342,'Data SO'!$H$2:$H$1085,0)),K342)</f>
        <v>kg</v>
      </c>
      <c r="C342" s="9">
        <f>SUMIF('Data SO'!$H$2:$H$1085,$J342,'Data SO'!$F$2:$F$1085)</f>
        <v>19.95</v>
      </c>
      <c r="D342" s="9">
        <f>SUMIF('Data SCM'!$I$2:$I$698,$J342,'Data SCM'!$E$2:$E$698)*L342</f>
        <v>19.95</v>
      </c>
      <c r="E342" s="9">
        <f t="shared" si="15"/>
        <v>0</v>
      </c>
      <c r="F342" s="4">
        <f>SUMIF('Data SO'!$H$2:$H$1085,$J342,'Data SO'!$G$2:$G$1085)</f>
        <v>508625.25</v>
      </c>
      <c r="G342" s="4">
        <f>SUMIF('Data SCM'!$I$2:$I$698,$J342,'Data SCM'!$H$2:$H$698)</f>
        <v>508625.25</v>
      </c>
      <c r="H342" s="4">
        <f t="shared" si="16"/>
        <v>0</v>
      </c>
      <c r="I342" s="3" t="str">
        <f>IF(COUNTIF('Data SCM'!$I$2:$I$698,$J342)=0,"Hanya di SO",IF(COUNTIF('Data SO'!$H$2:$H$1085,$J342)=0,"Hanya di SCM",IF(AND(ABS(E342)&lt;0.01,ABS(H342)&lt;1),"Sama",IF(ABS(E342)&lt;0.01,"Selisih nominal",IF(ABS(H342)&lt;1,"Selisih qty","Selisih qty &amp; nominal")))))</f>
        <v>Sama</v>
      </c>
      <c r="J342" t="s">
        <v>366</v>
      </c>
      <c r="K342" t="str">
        <f>IFERROR(INDEX('Data SCM'!$D$2:$D$698,MATCH($J342,'Data SCM'!$I$2:$I$698,0)),"")</f>
        <v>KG</v>
      </c>
      <c r="L342">
        <f t="shared" si="17"/>
        <v>1</v>
      </c>
    </row>
    <row r="343" spans="1:12" x14ac:dyDescent="0.25">
      <c r="A343" s="3" t="str">
        <f>IFERROR(INDEX('Data SO'!$C$2:$C$1085,MATCH($J343,'Data SO'!$H$2:$H$1085,0)),INDEX('Data SCM'!$B$2:$B$698,MATCH($J343,'Data SCM'!$I$2:$I$698,0)))</f>
        <v>PREMIX GULA BOLLEN</v>
      </c>
      <c r="B343" s="3" t="str">
        <f>IFERROR(INDEX('Data SO'!$D$2:$D$1085,MATCH($J343,'Data SO'!$H$2:$H$1085,0)),K343)</f>
        <v>Pcs</v>
      </c>
      <c r="C343" s="9">
        <f>SUMIF('Data SO'!$H$2:$H$1085,$J343,'Data SO'!$F$2:$F$1085)</f>
        <v>120</v>
      </c>
      <c r="D343" s="9">
        <f>SUMIF('Data SCM'!$I$2:$I$698,$J343,'Data SCM'!$E$2:$E$698)*L343</f>
        <v>120</v>
      </c>
      <c r="E343" s="9">
        <f t="shared" si="15"/>
        <v>0</v>
      </c>
      <c r="F343" s="4">
        <f>SUMIF('Data SO'!$H$2:$H$1085,$J343,'Data SO'!$G$2:$G$1085)</f>
        <v>868080</v>
      </c>
      <c r="G343" s="4">
        <f>SUMIF('Data SCM'!$I$2:$I$698,$J343,'Data SCM'!$H$2:$H$698)</f>
        <v>868080</v>
      </c>
      <c r="H343" s="4">
        <f t="shared" si="16"/>
        <v>0</v>
      </c>
      <c r="I343" s="3" t="str">
        <f>IF(COUNTIF('Data SCM'!$I$2:$I$698,$J343)=0,"Hanya di SO",IF(COUNTIF('Data SO'!$H$2:$H$1085,$J343)=0,"Hanya di SCM",IF(AND(ABS(E343)&lt;0.01,ABS(H343)&lt;1),"Sama",IF(ABS(E343)&lt;0.01,"Selisih nominal",IF(ABS(H343)&lt;1,"Selisih qty","Selisih qty &amp; nominal")))))</f>
        <v>Sama</v>
      </c>
      <c r="J343" t="s">
        <v>367</v>
      </c>
      <c r="K343" t="str">
        <f>IFERROR(INDEX('Data SCM'!$D$2:$D$698,MATCH($J343,'Data SCM'!$I$2:$I$698,0)),"")</f>
        <v>PCS</v>
      </c>
      <c r="L343">
        <f t="shared" si="17"/>
        <v>1</v>
      </c>
    </row>
    <row r="344" spans="1:12" x14ac:dyDescent="0.25">
      <c r="A344" s="3" t="str">
        <f>IFERROR(INDEX('Data SO'!$C$2:$C$1085,MATCH($J344,'Data SO'!$H$2:$H$1085,0)),INDEX('Data SCM'!$B$2:$B$698,MATCH($J344,'Data SCM'!$I$2:$I$698,0)))</f>
        <v>PREMIX GULA BOLU PISANG</v>
      </c>
      <c r="B344" s="3" t="str">
        <f>IFERROR(INDEX('Data SO'!$D$2:$D$1085,MATCH($J344,'Data SO'!$H$2:$H$1085,0)),K344)</f>
        <v>Pcs</v>
      </c>
      <c r="C344" s="9">
        <f>SUMIF('Data SO'!$H$2:$H$1085,$J344,'Data SO'!$F$2:$F$1085)</f>
        <v>88</v>
      </c>
      <c r="D344" s="9">
        <f>SUMIF('Data SCM'!$I$2:$I$698,$J344,'Data SCM'!$E$2:$E$698)*L344</f>
        <v>88</v>
      </c>
      <c r="E344" s="9">
        <f t="shared" si="15"/>
        <v>0</v>
      </c>
      <c r="F344" s="4">
        <f>SUMIF('Data SO'!$H$2:$H$1085,$J344,'Data SO'!$G$2:$G$1085)</f>
        <v>2692712</v>
      </c>
      <c r="G344" s="4">
        <f>SUMIF('Data SCM'!$I$2:$I$698,$J344,'Data SCM'!$H$2:$H$698)</f>
        <v>2692712</v>
      </c>
      <c r="H344" s="4">
        <f t="shared" si="16"/>
        <v>0</v>
      </c>
      <c r="I344" s="3" t="str">
        <f>IF(COUNTIF('Data SCM'!$I$2:$I$698,$J344)=0,"Hanya di SO",IF(COUNTIF('Data SO'!$H$2:$H$1085,$J344)=0,"Hanya di SCM",IF(AND(ABS(E344)&lt;0.01,ABS(H344)&lt;1),"Sama",IF(ABS(E344)&lt;0.01,"Selisih nominal",IF(ABS(H344)&lt;1,"Selisih qty","Selisih qty &amp; nominal")))))</f>
        <v>Sama</v>
      </c>
      <c r="J344" t="s">
        <v>368</v>
      </c>
      <c r="K344" t="str">
        <f>IFERROR(INDEX('Data SCM'!$D$2:$D$698,MATCH($J344,'Data SCM'!$I$2:$I$698,0)),"")</f>
        <v>PCS</v>
      </c>
      <c r="L344">
        <f t="shared" si="17"/>
        <v>1</v>
      </c>
    </row>
    <row r="345" spans="1:12" x14ac:dyDescent="0.25">
      <c r="A345" s="3" t="str">
        <f>IFERROR(INDEX('Data SO'!$C$2:$C$1085,MATCH($J345,'Data SO'!$H$2:$H$1085,0)),INDEX('Data SCM'!$B$2:$B$698,MATCH($J345,'Data SCM'!$I$2:$I$698,0)))</f>
        <v>PREMIX GULA DANISH COKLAT BELEPOTAN</v>
      </c>
      <c r="B345" s="3" t="str">
        <f>IFERROR(INDEX('Data SO'!$D$2:$D$1085,MATCH($J345,'Data SO'!$H$2:$H$1085,0)),K345)</f>
        <v>Pcs</v>
      </c>
      <c r="C345" s="9">
        <f>SUMIF('Data SO'!$H$2:$H$1085,$J345,'Data SO'!$F$2:$F$1085)</f>
        <v>30</v>
      </c>
      <c r="D345" s="9">
        <f>SUMIF('Data SCM'!$I$2:$I$698,$J345,'Data SCM'!$E$2:$E$698)*L345</f>
        <v>30</v>
      </c>
      <c r="E345" s="9">
        <f t="shared" si="15"/>
        <v>0</v>
      </c>
      <c r="F345" s="4">
        <f>SUMIF('Data SO'!$H$2:$H$1085,$J345,'Data SO'!$G$2:$G$1085)</f>
        <v>293220</v>
      </c>
      <c r="G345" s="4">
        <f>SUMIF('Data SCM'!$I$2:$I$698,$J345,'Data SCM'!$H$2:$H$698)</f>
        <v>293220</v>
      </c>
      <c r="H345" s="4">
        <f t="shared" si="16"/>
        <v>0</v>
      </c>
      <c r="I345" s="3" t="str">
        <f>IF(COUNTIF('Data SCM'!$I$2:$I$698,$J345)=0,"Hanya di SO",IF(COUNTIF('Data SO'!$H$2:$H$1085,$J345)=0,"Hanya di SCM",IF(AND(ABS(E345)&lt;0.01,ABS(H345)&lt;1),"Sama",IF(ABS(E345)&lt;0.01,"Selisih nominal",IF(ABS(H345)&lt;1,"Selisih qty","Selisih qty &amp; nominal")))))</f>
        <v>Sama</v>
      </c>
      <c r="J345" t="s">
        <v>369</v>
      </c>
      <c r="K345" t="str">
        <f>IFERROR(INDEX('Data SCM'!$D$2:$D$698,MATCH($J345,'Data SCM'!$I$2:$I$698,0)),"")</f>
        <v>PCS</v>
      </c>
      <c r="L345">
        <f t="shared" si="17"/>
        <v>1</v>
      </c>
    </row>
    <row r="346" spans="1:12" x14ac:dyDescent="0.25">
      <c r="A346" s="3" t="str">
        <f>IFERROR(INDEX('Data SO'!$C$2:$C$1085,MATCH($J346,'Data SO'!$H$2:$H$1085,0)),INDEX('Data SCM'!$B$2:$B$698,MATCH($J346,'Data SCM'!$I$2:$I$698,0)))</f>
        <v>PREMIX GULA LAPIS TALAS</v>
      </c>
      <c r="B346" s="3" t="str">
        <f>IFERROR(INDEX('Data SO'!$D$2:$D$1085,MATCH($J346,'Data SO'!$H$2:$H$1085,0)),K346)</f>
        <v>Pcs</v>
      </c>
      <c r="C346" s="9">
        <f>SUMIF('Data SO'!$H$2:$H$1085,$J346,'Data SO'!$F$2:$F$1085)</f>
        <v>136</v>
      </c>
      <c r="D346" s="9">
        <f>SUMIF('Data SCM'!$I$2:$I$698,$J346,'Data SCM'!$E$2:$E$698)*L346</f>
        <v>136</v>
      </c>
      <c r="E346" s="9">
        <f t="shared" si="15"/>
        <v>0</v>
      </c>
      <c r="F346" s="4">
        <f>SUMIF('Data SO'!$H$2:$H$1085,$J346,'Data SO'!$G$2:$G$1085)</f>
        <v>2333624</v>
      </c>
      <c r="G346" s="4">
        <f>SUMIF('Data SCM'!$I$2:$I$698,$J346,'Data SCM'!$H$2:$H$698)</f>
        <v>2333624</v>
      </c>
      <c r="H346" s="4">
        <f t="shared" si="16"/>
        <v>0</v>
      </c>
      <c r="I346" s="3" t="str">
        <f>IF(COUNTIF('Data SCM'!$I$2:$I$698,$J346)=0,"Hanya di SO",IF(COUNTIF('Data SO'!$H$2:$H$1085,$J346)=0,"Hanya di SCM",IF(AND(ABS(E346)&lt;0.01,ABS(H346)&lt;1),"Sama",IF(ABS(E346)&lt;0.01,"Selisih nominal",IF(ABS(H346)&lt;1,"Selisih qty","Selisih qty &amp; nominal")))))</f>
        <v>Sama</v>
      </c>
      <c r="J346" t="s">
        <v>370</v>
      </c>
      <c r="K346" t="str">
        <f>IFERROR(INDEX('Data SCM'!$D$2:$D$698,MATCH($J346,'Data SCM'!$I$2:$I$698,0)),"")</f>
        <v>PCS</v>
      </c>
      <c r="L346">
        <f t="shared" si="17"/>
        <v>1</v>
      </c>
    </row>
    <row r="347" spans="1:12" x14ac:dyDescent="0.25">
      <c r="A347" s="3" t="str">
        <f>IFERROR(INDEX('Data SO'!$C$2:$C$1085,MATCH($J347,'Data SO'!$H$2:$H$1085,0)),INDEX('Data SCM'!$B$2:$B$698,MATCH($J347,'Data SCM'!$I$2:$I$698,0)))</f>
        <v>PREMIX GULA ROTI MANIS</v>
      </c>
      <c r="B347" s="3" t="str">
        <f>IFERROR(INDEX('Data SO'!$D$2:$D$1085,MATCH($J347,'Data SO'!$H$2:$H$1085,0)),K347)</f>
        <v>Pcs</v>
      </c>
      <c r="C347" s="9">
        <f>SUMIF('Data SO'!$H$2:$H$1085,$J347,'Data SO'!$F$2:$F$1085)</f>
        <v>42</v>
      </c>
      <c r="D347" s="9">
        <f>SUMIF('Data SCM'!$I$2:$I$698,$J347,'Data SCM'!$E$2:$E$698)*L347</f>
        <v>42</v>
      </c>
      <c r="E347" s="9">
        <f t="shared" si="15"/>
        <v>0</v>
      </c>
      <c r="F347" s="4">
        <f>SUMIF('Data SO'!$H$2:$H$1085,$J347,'Data SO'!$G$2:$G$1085)</f>
        <v>414918</v>
      </c>
      <c r="G347" s="4">
        <f>SUMIF('Data SCM'!$I$2:$I$698,$J347,'Data SCM'!$H$2:$H$698)</f>
        <v>414918</v>
      </c>
      <c r="H347" s="4">
        <f t="shared" si="16"/>
        <v>0</v>
      </c>
      <c r="I347" s="3" t="str">
        <f>IF(COUNTIF('Data SCM'!$I$2:$I$698,$J347)=0,"Hanya di SO",IF(COUNTIF('Data SO'!$H$2:$H$1085,$J347)=0,"Hanya di SCM",IF(AND(ABS(E347)&lt;0.01,ABS(H347)&lt;1),"Sama",IF(ABS(E347)&lt;0.01,"Selisih nominal",IF(ABS(H347)&lt;1,"Selisih qty","Selisih qty &amp; nominal")))))</f>
        <v>Sama</v>
      </c>
      <c r="J347" t="s">
        <v>371</v>
      </c>
      <c r="K347" t="str">
        <f>IFERROR(INDEX('Data SCM'!$D$2:$D$698,MATCH($J347,'Data SCM'!$I$2:$I$698,0)),"")</f>
        <v>PCS</v>
      </c>
      <c r="L347">
        <f t="shared" si="17"/>
        <v>1</v>
      </c>
    </row>
    <row r="348" spans="1:12" x14ac:dyDescent="0.25">
      <c r="A348" s="3" t="str">
        <f>IFERROR(INDEX('Data SO'!$C$2:$C$1085,MATCH($J348,'Data SO'!$H$2:$H$1085,0)),INDEX('Data SCM'!$B$2:$B$698,MATCH($J348,'Data SCM'!$I$2:$I$698,0)))</f>
        <v>PREMIX GULA ROTI TAWAR</v>
      </c>
      <c r="B348" s="3" t="str">
        <f>IFERROR(INDEX('Data SO'!$D$2:$D$1085,MATCH($J348,'Data SO'!$H$2:$H$1085,0)),K348)</f>
        <v>Pcs</v>
      </c>
      <c r="C348" s="9">
        <f>SUMIF('Data SO'!$H$2:$H$1085,$J348,'Data SO'!$F$2:$F$1085)</f>
        <v>54</v>
      </c>
      <c r="D348" s="9">
        <f>SUMIF('Data SCM'!$I$2:$I$698,$J348,'Data SCM'!$E$2:$E$698)*L348</f>
        <v>54</v>
      </c>
      <c r="E348" s="9">
        <f t="shared" si="15"/>
        <v>0</v>
      </c>
      <c r="F348" s="4">
        <f>SUMIF('Data SO'!$H$2:$H$1085,$J348,'Data SO'!$G$2:$G$1085)</f>
        <v>390636</v>
      </c>
      <c r="G348" s="4">
        <f>SUMIF('Data SCM'!$I$2:$I$698,$J348,'Data SCM'!$H$2:$H$698)</f>
        <v>390636</v>
      </c>
      <c r="H348" s="4">
        <f t="shared" si="16"/>
        <v>0</v>
      </c>
      <c r="I348" s="3" t="str">
        <f>IF(COUNTIF('Data SCM'!$I$2:$I$698,$J348)=0,"Hanya di SO",IF(COUNTIF('Data SO'!$H$2:$H$1085,$J348)=0,"Hanya di SCM",IF(AND(ABS(E348)&lt;0.01,ABS(H348)&lt;1),"Sama",IF(ABS(E348)&lt;0.01,"Selisih nominal",IF(ABS(H348)&lt;1,"Selisih qty","Selisih qty &amp; nominal")))))</f>
        <v>Sama</v>
      </c>
      <c r="J348" t="s">
        <v>372</v>
      </c>
      <c r="K348" t="str">
        <f>IFERROR(INDEX('Data SCM'!$D$2:$D$698,MATCH($J348,'Data SCM'!$I$2:$I$698,0)),"")</f>
        <v>PCS</v>
      </c>
      <c r="L348">
        <f t="shared" si="17"/>
        <v>1</v>
      </c>
    </row>
    <row r="349" spans="1:12" x14ac:dyDescent="0.25">
      <c r="A349" s="3" t="str">
        <f>IFERROR(INDEX('Data SO'!$C$2:$C$1085,MATCH($J349,'Data SO'!$H$2:$H$1085,0)),INDEX('Data SCM'!$B$2:$B$698,MATCH($J349,'Data SCM'!$I$2:$I$698,0)))</f>
        <v>PREMIX GULA ROTI TAWAR EKONOMIS</v>
      </c>
      <c r="B349" s="3" t="str">
        <f>IFERROR(INDEX('Data SO'!$D$2:$D$1085,MATCH($J349,'Data SO'!$H$2:$H$1085,0)),K349)</f>
        <v>Pcs</v>
      </c>
      <c r="C349" s="9">
        <f>SUMIF('Data SO'!$H$2:$H$1085,$J349,'Data SO'!$F$2:$F$1085)</f>
        <v>129</v>
      </c>
      <c r="D349" s="9">
        <f>SUMIF('Data SCM'!$I$2:$I$698,$J349,'Data SCM'!$E$2:$E$698)*L349</f>
        <v>129</v>
      </c>
      <c r="E349" s="9">
        <f t="shared" si="15"/>
        <v>0</v>
      </c>
      <c r="F349" s="4">
        <f>SUMIF('Data SO'!$H$2:$H$1085,$J349,'Data SO'!$G$2:$G$1085)</f>
        <v>657384</v>
      </c>
      <c r="G349" s="4">
        <f>SUMIF('Data SCM'!$I$2:$I$698,$J349,'Data SCM'!$H$2:$H$698)</f>
        <v>657384</v>
      </c>
      <c r="H349" s="4">
        <f t="shared" si="16"/>
        <v>0</v>
      </c>
      <c r="I349" s="3" t="str">
        <f>IF(COUNTIF('Data SCM'!$I$2:$I$698,$J349)=0,"Hanya di SO",IF(COUNTIF('Data SO'!$H$2:$H$1085,$J349)=0,"Hanya di SCM",IF(AND(ABS(E349)&lt;0.01,ABS(H349)&lt;1),"Sama",IF(ABS(E349)&lt;0.01,"Selisih nominal",IF(ABS(H349)&lt;1,"Selisih qty","Selisih qty &amp; nominal")))))</f>
        <v>Sama</v>
      </c>
      <c r="J349" t="s">
        <v>373</v>
      </c>
      <c r="K349" t="str">
        <f>IFERROR(INDEX('Data SCM'!$D$2:$D$698,MATCH($J349,'Data SCM'!$I$2:$I$698,0)),"")</f>
        <v>PCS</v>
      </c>
      <c r="L349">
        <f t="shared" si="17"/>
        <v>1</v>
      </c>
    </row>
    <row r="350" spans="1:12" x14ac:dyDescent="0.25">
      <c r="A350" s="3" t="str">
        <f>IFERROR(INDEX('Data SO'!$C$2:$C$1085,MATCH($J350,'Data SO'!$H$2:$H$1085,0)),INDEX('Data SCM'!$B$2:$B$698,MATCH($J350,'Data SCM'!$I$2:$I$698,0)))</f>
        <v>PREMIX GULA SUS</v>
      </c>
      <c r="B350" s="3" t="str">
        <f>IFERROR(INDEX('Data SO'!$D$2:$D$1085,MATCH($J350,'Data SO'!$H$2:$H$1085,0)),K350)</f>
        <v>Pcs</v>
      </c>
      <c r="C350" s="9">
        <f>SUMIF('Data SO'!$H$2:$H$1085,$J350,'Data SO'!$F$2:$F$1085)</f>
        <v>41</v>
      </c>
      <c r="D350" s="9">
        <f>SUMIF('Data SCM'!$I$2:$I$698,$J350,'Data SCM'!$E$2:$E$698)*L350</f>
        <v>41</v>
      </c>
      <c r="E350" s="9">
        <f t="shared" si="15"/>
        <v>0</v>
      </c>
      <c r="F350" s="4">
        <f>SUMIF('Data SO'!$H$2:$H$1085,$J350,'Data SO'!$G$2:$G$1085)</f>
        <v>70766</v>
      </c>
      <c r="G350" s="4">
        <f>SUMIF('Data SCM'!$I$2:$I$698,$J350,'Data SCM'!$H$2:$H$698)</f>
        <v>70766</v>
      </c>
      <c r="H350" s="4">
        <f t="shared" si="16"/>
        <v>0</v>
      </c>
      <c r="I350" s="3" t="str">
        <f>IF(COUNTIF('Data SCM'!$I$2:$I$698,$J350)=0,"Hanya di SO",IF(COUNTIF('Data SO'!$H$2:$H$1085,$J350)=0,"Hanya di SCM",IF(AND(ABS(E350)&lt;0.01,ABS(H350)&lt;1),"Sama",IF(ABS(E350)&lt;0.01,"Selisih nominal",IF(ABS(H350)&lt;1,"Selisih qty","Selisih qty &amp; nominal")))))</f>
        <v>Sama</v>
      </c>
      <c r="J350" t="s">
        <v>374</v>
      </c>
      <c r="K350" t="str">
        <f>IFERROR(INDEX('Data SCM'!$D$2:$D$698,MATCH($J350,'Data SCM'!$I$2:$I$698,0)),"")</f>
        <v>PCS</v>
      </c>
      <c r="L350">
        <f t="shared" si="17"/>
        <v>1</v>
      </c>
    </row>
    <row r="351" spans="1:12" x14ac:dyDescent="0.25">
      <c r="A351" s="3" t="str">
        <f>IFERROR(INDEX('Data SO'!$C$2:$C$1085,MATCH($J351,'Data SO'!$H$2:$H$1085,0)),INDEX('Data SCM'!$B$2:$B$698,MATCH($J351,'Data SCM'!$I$2:$I$698,0)))</f>
        <v>PREMIX GULA TART</v>
      </c>
      <c r="B351" s="3" t="str">
        <f>IFERROR(INDEX('Data SO'!$D$2:$D$1085,MATCH($J351,'Data SO'!$H$2:$H$1085,0)),K351)</f>
        <v>Pcs</v>
      </c>
      <c r="C351" s="9">
        <f>SUMIF('Data SO'!$H$2:$H$1085,$J351,'Data SO'!$F$2:$F$1085)</f>
        <v>156</v>
      </c>
      <c r="D351" s="9">
        <f>SUMIF('Data SCM'!$I$2:$I$698,$J351,'Data SCM'!$E$2:$E$698)*L351</f>
        <v>156</v>
      </c>
      <c r="E351" s="9">
        <f t="shared" si="15"/>
        <v>0</v>
      </c>
      <c r="F351" s="4">
        <f>SUMIF('Data SO'!$H$2:$H$1085,$J351,'Data SO'!$G$2:$G$1085)</f>
        <v>2558868</v>
      </c>
      <c r="G351" s="4">
        <f>SUMIF('Data SCM'!$I$2:$I$698,$J351,'Data SCM'!$H$2:$H$698)</f>
        <v>2558868</v>
      </c>
      <c r="H351" s="4">
        <f t="shared" si="16"/>
        <v>0</v>
      </c>
      <c r="I351" s="3" t="str">
        <f>IF(COUNTIF('Data SCM'!$I$2:$I$698,$J351)=0,"Hanya di SO",IF(COUNTIF('Data SO'!$H$2:$H$1085,$J351)=0,"Hanya di SCM",IF(AND(ABS(E351)&lt;0.01,ABS(H351)&lt;1),"Sama",IF(ABS(E351)&lt;0.01,"Selisih nominal",IF(ABS(H351)&lt;1,"Selisih qty","Selisih qty &amp; nominal")))))</f>
        <v>Sama</v>
      </c>
      <c r="J351" t="s">
        <v>375</v>
      </c>
      <c r="K351" t="str">
        <f>IFERROR(INDEX('Data SCM'!$D$2:$D$698,MATCH($J351,'Data SCM'!$I$2:$I$698,0)),"")</f>
        <v>PCS</v>
      </c>
      <c r="L351">
        <f t="shared" si="17"/>
        <v>1</v>
      </c>
    </row>
    <row r="352" spans="1:12" x14ac:dyDescent="0.25">
      <c r="A352" s="3" t="str">
        <f>IFERROR(INDEX('Data SO'!$C$2:$C$1085,MATCH($J352,'Data SO'!$H$2:$H$1085,0)),INDEX('Data SCM'!$B$2:$B$698,MATCH($J352,'Data SCM'!$I$2:$I$698,0)))</f>
        <v>PREMIX SCM AMERICAN BROWNIES</v>
      </c>
      <c r="B352" s="3" t="str">
        <f>IFERROR(INDEX('Data SO'!$D$2:$D$1085,MATCH($J352,'Data SO'!$H$2:$H$1085,0)),K352)</f>
        <v>Pcs</v>
      </c>
      <c r="C352" s="9">
        <f>SUMIF('Data SO'!$H$2:$H$1085,$J352,'Data SO'!$F$2:$F$1085)</f>
        <v>7</v>
      </c>
      <c r="D352" s="9">
        <f>SUMIF('Data SCM'!$I$2:$I$698,$J352,'Data SCM'!$E$2:$E$698)*L352</f>
        <v>7</v>
      </c>
      <c r="E352" s="9">
        <f t="shared" si="15"/>
        <v>0</v>
      </c>
      <c r="F352" s="4">
        <f>SUMIF('Data SO'!$H$2:$H$1085,$J352,'Data SO'!$G$2:$G$1085)</f>
        <v>532756</v>
      </c>
      <c r="G352" s="4">
        <f>SUMIF('Data SCM'!$I$2:$I$698,$J352,'Data SCM'!$H$2:$H$698)</f>
        <v>532756</v>
      </c>
      <c r="H352" s="4">
        <f t="shared" si="16"/>
        <v>0</v>
      </c>
      <c r="I352" s="3" t="str">
        <f>IF(COUNTIF('Data SCM'!$I$2:$I$698,$J352)=0,"Hanya di SO",IF(COUNTIF('Data SO'!$H$2:$H$1085,$J352)=0,"Hanya di SCM",IF(AND(ABS(E352)&lt;0.01,ABS(H352)&lt;1),"Sama",IF(ABS(E352)&lt;0.01,"Selisih nominal",IF(ABS(H352)&lt;1,"Selisih qty","Selisih qty &amp; nominal")))))</f>
        <v>Sama</v>
      </c>
      <c r="J352" t="s">
        <v>376</v>
      </c>
      <c r="K352" t="str">
        <f>IFERROR(INDEX('Data SCM'!$D$2:$D$698,MATCH($J352,'Data SCM'!$I$2:$I$698,0)),"")</f>
        <v>PCS</v>
      </c>
      <c r="L352">
        <f t="shared" si="17"/>
        <v>1</v>
      </c>
    </row>
    <row r="353" spans="1:12" x14ac:dyDescent="0.25">
      <c r="A353" s="3" t="str">
        <f>IFERROR(INDEX('Data SO'!$C$2:$C$1085,MATCH($J353,'Data SO'!$H$2:$H$1085,0)),INDEX('Data SCM'!$B$2:$B$698,MATCH($J353,'Data SCM'!$I$2:$I$698,0)))</f>
        <v>PREMIX SCM BOLLEN</v>
      </c>
      <c r="B353" s="3" t="str">
        <f>IFERROR(INDEX('Data SO'!$D$2:$D$1085,MATCH($J353,'Data SO'!$H$2:$H$1085,0)),K353)</f>
        <v>Pcs</v>
      </c>
      <c r="C353" s="9">
        <f>SUMIF('Data SO'!$H$2:$H$1085,$J353,'Data SO'!$F$2:$F$1085)</f>
        <v>120</v>
      </c>
      <c r="D353" s="9">
        <f>SUMIF('Data SCM'!$I$2:$I$698,$J353,'Data SCM'!$E$2:$E$698)*L353</f>
        <v>120</v>
      </c>
      <c r="E353" s="9">
        <f t="shared" si="15"/>
        <v>0</v>
      </c>
      <c r="F353" s="4">
        <f>SUMIF('Data SO'!$H$2:$H$1085,$J353,'Data SO'!$G$2:$G$1085)</f>
        <v>2801640</v>
      </c>
      <c r="G353" s="4">
        <f>SUMIF('Data SCM'!$I$2:$I$698,$J353,'Data SCM'!$H$2:$H$698)</f>
        <v>2801640</v>
      </c>
      <c r="H353" s="4">
        <f t="shared" si="16"/>
        <v>0</v>
      </c>
      <c r="I353" s="3" t="str">
        <f>IF(COUNTIF('Data SCM'!$I$2:$I$698,$J353)=0,"Hanya di SO",IF(COUNTIF('Data SO'!$H$2:$H$1085,$J353)=0,"Hanya di SCM",IF(AND(ABS(E353)&lt;0.01,ABS(H353)&lt;1),"Sama",IF(ABS(E353)&lt;0.01,"Selisih nominal",IF(ABS(H353)&lt;1,"Selisih qty","Selisih qty &amp; nominal")))))</f>
        <v>Sama</v>
      </c>
      <c r="J353" t="s">
        <v>377</v>
      </c>
      <c r="K353" t="str">
        <f>IFERROR(INDEX('Data SCM'!$D$2:$D$698,MATCH($J353,'Data SCM'!$I$2:$I$698,0)),"")</f>
        <v>PCS</v>
      </c>
      <c r="L353">
        <f t="shared" si="17"/>
        <v>1</v>
      </c>
    </row>
    <row r="354" spans="1:12" x14ac:dyDescent="0.25">
      <c r="A354" s="3" t="str">
        <f>IFERROR(INDEX('Data SO'!$C$2:$C$1085,MATCH($J354,'Data SO'!$H$2:$H$1085,0)),INDEX('Data SCM'!$B$2:$B$698,MATCH($J354,'Data SCM'!$I$2:$I$698,0)))</f>
        <v>PREMIX SCM BOLU PISANG</v>
      </c>
      <c r="B354" s="3" t="str">
        <f>IFERROR(INDEX('Data SO'!$D$2:$D$1085,MATCH($J354,'Data SO'!$H$2:$H$1085,0)),K354)</f>
        <v>Pcs</v>
      </c>
      <c r="C354" s="9">
        <f>SUMIF('Data SO'!$H$2:$H$1085,$J354,'Data SO'!$F$2:$F$1085)</f>
        <v>88</v>
      </c>
      <c r="D354" s="9">
        <f>SUMIF('Data SCM'!$I$2:$I$698,$J354,'Data SCM'!$E$2:$E$698)*L354</f>
        <v>88</v>
      </c>
      <c r="E354" s="9">
        <f t="shared" si="15"/>
        <v>0</v>
      </c>
      <c r="F354" s="4">
        <f>SUMIF('Data SO'!$H$2:$H$1085,$J354,'Data SO'!$G$2:$G$1085)</f>
        <v>3124704</v>
      </c>
      <c r="G354" s="4">
        <f>SUMIF('Data SCM'!$I$2:$I$698,$J354,'Data SCM'!$H$2:$H$698)</f>
        <v>3124704</v>
      </c>
      <c r="H354" s="4">
        <f t="shared" si="16"/>
        <v>0</v>
      </c>
      <c r="I354" s="3" t="str">
        <f>IF(COUNTIF('Data SCM'!$I$2:$I$698,$J354)=0,"Hanya di SO",IF(COUNTIF('Data SO'!$H$2:$H$1085,$J354)=0,"Hanya di SCM",IF(AND(ABS(E354)&lt;0.01,ABS(H354)&lt;1),"Sama",IF(ABS(E354)&lt;0.01,"Selisih nominal",IF(ABS(H354)&lt;1,"Selisih qty","Selisih qty &amp; nominal")))))</f>
        <v>Sama</v>
      </c>
      <c r="J354" t="s">
        <v>378</v>
      </c>
      <c r="K354" t="str">
        <f>IFERROR(INDEX('Data SCM'!$D$2:$D$698,MATCH($J354,'Data SCM'!$I$2:$I$698,0)),"")</f>
        <v>PCS</v>
      </c>
      <c r="L354">
        <f t="shared" si="17"/>
        <v>1</v>
      </c>
    </row>
    <row r="355" spans="1:12" x14ac:dyDescent="0.25">
      <c r="A355" s="3" t="str">
        <f>IFERROR(INDEX('Data SO'!$C$2:$C$1085,MATCH($J355,'Data SO'!$H$2:$H$1085,0)),INDEX('Data SCM'!$B$2:$B$698,MATCH($J355,'Data SCM'!$I$2:$I$698,0)))</f>
        <v>PREMIX SCM BUTTER SUGAR</v>
      </c>
      <c r="B355" s="3" t="str">
        <f>IFERROR(INDEX('Data SO'!$D$2:$D$1085,MATCH($J355,'Data SO'!$H$2:$H$1085,0)),K355)</f>
        <v>Pcs</v>
      </c>
      <c r="C355" s="9">
        <f>SUMIF('Data SO'!$H$2:$H$1085,$J355,'Data SO'!$F$2:$F$1085)</f>
        <v>4</v>
      </c>
      <c r="D355" s="9">
        <f>SUMIF('Data SCM'!$I$2:$I$698,$J355,'Data SCM'!$E$2:$E$698)*L355</f>
        <v>4</v>
      </c>
      <c r="E355" s="9">
        <f t="shared" si="15"/>
        <v>0</v>
      </c>
      <c r="F355" s="4">
        <f>SUMIF('Data SO'!$H$2:$H$1085,$J355,'Data SO'!$G$2:$G$1085)</f>
        <v>509208</v>
      </c>
      <c r="G355" s="4">
        <f>SUMIF('Data SCM'!$I$2:$I$698,$J355,'Data SCM'!$H$2:$H$698)</f>
        <v>509208</v>
      </c>
      <c r="H355" s="4">
        <f t="shared" si="16"/>
        <v>0</v>
      </c>
      <c r="I355" s="3" t="str">
        <f>IF(COUNTIF('Data SCM'!$I$2:$I$698,$J355)=0,"Hanya di SO",IF(COUNTIF('Data SO'!$H$2:$H$1085,$J355)=0,"Hanya di SCM",IF(AND(ABS(E355)&lt;0.01,ABS(H355)&lt;1),"Sama",IF(ABS(E355)&lt;0.01,"Selisih nominal",IF(ABS(H355)&lt;1,"Selisih qty","Selisih qty &amp; nominal")))))</f>
        <v>Sama</v>
      </c>
      <c r="J355" t="s">
        <v>379</v>
      </c>
      <c r="K355" t="str">
        <f>IFERROR(INDEX('Data SCM'!$D$2:$D$698,MATCH($J355,'Data SCM'!$I$2:$I$698,0)),"")</f>
        <v>PCS</v>
      </c>
      <c r="L355">
        <f t="shared" si="17"/>
        <v>1</v>
      </c>
    </row>
    <row r="356" spans="1:12" x14ac:dyDescent="0.25">
      <c r="A356" s="3" t="str">
        <f>IFERROR(INDEX('Data SO'!$C$2:$C$1085,MATCH($J356,'Data SO'!$H$2:$H$1085,0)),INDEX('Data SCM'!$B$2:$B$698,MATCH($J356,'Data SCM'!$I$2:$I$698,0)))</f>
        <v>PREMIX SCM CHOCOROLL</v>
      </c>
      <c r="B356" s="3" t="str">
        <f>IFERROR(INDEX('Data SO'!$D$2:$D$1085,MATCH($J356,'Data SO'!$H$2:$H$1085,0)),K356)</f>
        <v>Pcs</v>
      </c>
      <c r="C356" s="9">
        <f>SUMIF('Data SO'!$H$2:$H$1085,$J356,'Data SO'!$F$2:$F$1085)</f>
        <v>5</v>
      </c>
      <c r="D356" s="9">
        <f>SUMIF('Data SCM'!$I$2:$I$698,$J356,'Data SCM'!$E$2:$E$698)*L356</f>
        <v>5</v>
      </c>
      <c r="E356" s="9">
        <f t="shared" si="15"/>
        <v>0</v>
      </c>
      <c r="F356" s="4">
        <f>SUMIF('Data SO'!$H$2:$H$1085,$J356,'Data SO'!$G$2:$G$1085)</f>
        <v>108180</v>
      </c>
      <c r="G356" s="4">
        <f>SUMIF('Data SCM'!$I$2:$I$698,$J356,'Data SCM'!$H$2:$H$698)</f>
        <v>108180</v>
      </c>
      <c r="H356" s="4">
        <f t="shared" si="16"/>
        <v>0</v>
      </c>
      <c r="I356" s="3" t="str">
        <f>IF(COUNTIF('Data SCM'!$I$2:$I$698,$J356)=0,"Hanya di SO",IF(COUNTIF('Data SO'!$H$2:$H$1085,$J356)=0,"Hanya di SCM",IF(AND(ABS(E356)&lt;0.01,ABS(H356)&lt;1),"Sama",IF(ABS(E356)&lt;0.01,"Selisih nominal",IF(ABS(H356)&lt;1,"Selisih qty","Selisih qty &amp; nominal")))))</f>
        <v>Sama</v>
      </c>
      <c r="J356" t="s">
        <v>380</v>
      </c>
      <c r="K356" t="str">
        <f>IFERROR(INDEX('Data SCM'!$D$2:$D$698,MATCH($J356,'Data SCM'!$I$2:$I$698,0)),"")</f>
        <v>PCS</v>
      </c>
      <c r="L356">
        <f t="shared" si="17"/>
        <v>1</v>
      </c>
    </row>
    <row r="357" spans="1:12" x14ac:dyDescent="0.25">
      <c r="A357" s="3" t="str">
        <f>IFERROR(INDEX('Data SO'!$C$2:$C$1085,MATCH($J357,'Data SO'!$H$2:$H$1085,0)),INDEX('Data SCM'!$B$2:$B$698,MATCH($J357,'Data SCM'!$I$2:$I$698,0)))</f>
        <v>PREMIX SCM DANISH COKLAT BELEPOTAN</v>
      </c>
      <c r="B357" s="3" t="str">
        <f>IFERROR(INDEX('Data SO'!$D$2:$D$1085,MATCH($J357,'Data SO'!$H$2:$H$1085,0)),K357)</f>
        <v>Pcs</v>
      </c>
      <c r="C357" s="9">
        <f>SUMIF('Data SO'!$H$2:$H$1085,$J357,'Data SO'!$F$2:$F$1085)</f>
        <v>30</v>
      </c>
      <c r="D357" s="9">
        <f>SUMIF('Data SCM'!$I$2:$I$698,$J357,'Data SCM'!$E$2:$E$698)*L357</f>
        <v>30</v>
      </c>
      <c r="E357" s="9">
        <f t="shared" si="15"/>
        <v>0</v>
      </c>
      <c r="F357" s="4">
        <f>SUMIF('Data SO'!$H$2:$H$1085,$J357,'Data SO'!$G$2:$G$1085)</f>
        <v>1281630</v>
      </c>
      <c r="G357" s="4">
        <f>SUMIF('Data SCM'!$I$2:$I$698,$J357,'Data SCM'!$H$2:$H$698)</f>
        <v>1281630</v>
      </c>
      <c r="H357" s="4">
        <f t="shared" si="16"/>
        <v>0</v>
      </c>
      <c r="I357" s="3" t="str">
        <f>IF(COUNTIF('Data SCM'!$I$2:$I$698,$J357)=0,"Hanya di SO",IF(COUNTIF('Data SO'!$H$2:$H$1085,$J357)=0,"Hanya di SCM",IF(AND(ABS(E357)&lt;0.01,ABS(H357)&lt;1),"Sama",IF(ABS(E357)&lt;0.01,"Selisih nominal",IF(ABS(H357)&lt;1,"Selisih qty","Selisih qty &amp; nominal")))))</f>
        <v>Sama</v>
      </c>
      <c r="J357" t="s">
        <v>381</v>
      </c>
      <c r="K357" t="str">
        <f>IFERROR(INDEX('Data SCM'!$D$2:$D$698,MATCH($J357,'Data SCM'!$I$2:$I$698,0)),"")</f>
        <v>PCS</v>
      </c>
      <c r="L357">
        <f t="shared" si="17"/>
        <v>1</v>
      </c>
    </row>
    <row r="358" spans="1:12" x14ac:dyDescent="0.25">
      <c r="A358" s="3" t="str">
        <f>IFERROR(INDEX('Data SO'!$C$2:$C$1085,MATCH($J358,'Data SO'!$H$2:$H$1085,0)),INDEX('Data SCM'!$B$2:$B$698,MATCH($J358,'Data SCM'!$I$2:$I$698,0)))</f>
        <v>PREMIX SCM JAPPANESE CAKE</v>
      </c>
      <c r="B358" s="3" t="str">
        <f>IFERROR(INDEX('Data SO'!$D$2:$D$1085,MATCH($J358,'Data SO'!$H$2:$H$1085,0)),K358)</f>
        <v>Pcs</v>
      </c>
      <c r="C358" s="9">
        <f>SUMIF('Data SO'!$H$2:$H$1085,$J358,'Data SO'!$F$2:$F$1085)</f>
        <v>12</v>
      </c>
      <c r="D358" s="9">
        <f>SUMIF('Data SCM'!$I$2:$I$698,$J358,'Data SCM'!$E$2:$E$698)*L358</f>
        <v>12</v>
      </c>
      <c r="E358" s="9">
        <f t="shared" si="15"/>
        <v>0</v>
      </c>
      <c r="F358" s="4">
        <f>SUMIF('Data SO'!$H$2:$H$1085,$J358,'Data SO'!$G$2:$G$1085)</f>
        <v>871500</v>
      </c>
      <c r="G358" s="4">
        <f>SUMIF('Data SCM'!$I$2:$I$698,$J358,'Data SCM'!$H$2:$H$698)</f>
        <v>871500</v>
      </c>
      <c r="H358" s="4">
        <f t="shared" si="16"/>
        <v>0</v>
      </c>
      <c r="I358" s="3" t="str">
        <f>IF(COUNTIF('Data SCM'!$I$2:$I$698,$J358)=0,"Hanya di SO",IF(COUNTIF('Data SO'!$H$2:$H$1085,$J358)=0,"Hanya di SCM",IF(AND(ABS(E358)&lt;0.01,ABS(H358)&lt;1),"Sama",IF(ABS(E358)&lt;0.01,"Selisih nominal",IF(ABS(H358)&lt;1,"Selisih qty","Selisih qty &amp; nominal")))))</f>
        <v>Sama</v>
      </c>
      <c r="J358" t="s">
        <v>382</v>
      </c>
      <c r="K358" t="str">
        <f>IFERROR(INDEX('Data SCM'!$D$2:$D$698,MATCH($J358,'Data SCM'!$I$2:$I$698,0)),"")</f>
        <v>PCS</v>
      </c>
      <c r="L358">
        <f t="shared" si="17"/>
        <v>1</v>
      </c>
    </row>
    <row r="359" spans="1:12" x14ac:dyDescent="0.25">
      <c r="A359" s="3" t="str">
        <f>IFERROR(INDEX('Data SO'!$C$2:$C$1085,MATCH($J359,'Data SO'!$H$2:$H$1085,0)),INDEX('Data SCM'!$B$2:$B$698,MATCH($J359,'Data SCM'!$I$2:$I$698,0)))</f>
        <v>PREMIX SCM LAPIS TALAS</v>
      </c>
      <c r="B359" s="3" t="str">
        <f>IFERROR(INDEX('Data SO'!$D$2:$D$1085,MATCH($J359,'Data SO'!$H$2:$H$1085,0)),K359)</f>
        <v>Pcs</v>
      </c>
      <c r="C359" s="9">
        <f>SUMIF('Data SO'!$H$2:$H$1085,$J359,'Data SO'!$F$2:$F$1085)</f>
        <v>136</v>
      </c>
      <c r="D359" s="9">
        <f>SUMIF('Data SCM'!$I$2:$I$698,$J359,'Data SCM'!$E$2:$E$698)*L359</f>
        <v>136</v>
      </c>
      <c r="E359" s="9">
        <f t="shared" si="15"/>
        <v>0</v>
      </c>
      <c r="F359" s="4">
        <f>SUMIF('Data SO'!$H$2:$H$1085,$J359,'Data SO'!$G$2:$G$1085)</f>
        <v>2667096</v>
      </c>
      <c r="G359" s="4">
        <f>SUMIF('Data SCM'!$I$2:$I$698,$J359,'Data SCM'!$H$2:$H$698)</f>
        <v>2667096</v>
      </c>
      <c r="H359" s="4">
        <f t="shared" si="16"/>
        <v>0</v>
      </c>
      <c r="I359" s="3" t="str">
        <f>IF(COUNTIF('Data SCM'!$I$2:$I$698,$J359)=0,"Hanya di SO",IF(COUNTIF('Data SO'!$H$2:$H$1085,$J359)=0,"Hanya di SCM",IF(AND(ABS(E359)&lt;0.01,ABS(H359)&lt;1),"Sama",IF(ABS(E359)&lt;0.01,"Selisih nominal",IF(ABS(H359)&lt;1,"Selisih qty","Selisih qty &amp; nominal")))))</f>
        <v>Sama</v>
      </c>
      <c r="J359" t="s">
        <v>383</v>
      </c>
      <c r="K359" t="str">
        <f>IFERROR(INDEX('Data SCM'!$D$2:$D$698,MATCH($J359,'Data SCM'!$I$2:$I$698,0)),"")</f>
        <v>PCS</v>
      </c>
      <c r="L359">
        <f t="shared" si="17"/>
        <v>1</v>
      </c>
    </row>
    <row r="360" spans="1:12" x14ac:dyDescent="0.25">
      <c r="A360" s="3" t="str">
        <f>IFERROR(INDEX('Data SO'!$C$2:$C$1085,MATCH($J360,'Data SO'!$H$2:$H$1085,0)),INDEX('Data SCM'!$B$2:$B$698,MATCH($J360,'Data SCM'!$I$2:$I$698,0)))</f>
        <v>PREMIX SCM MILKBATH</v>
      </c>
      <c r="B360" s="3" t="str">
        <f>IFERROR(INDEX('Data SO'!$D$2:$D$1085,MATCH($J360,'Data SO'!$H$2:$H$1085,0)),K360)</f>
        <v>Pcs</v>
      </c>
      <c r="C360" s="9">
        <f>SUMIF('Data SO'!$H$2:$H$1085,$J360,'Data SO'!$F$2:$F$1085)</f>
        <v>4</v>
      </c>
      <c r="D360" s="9">
        <f>SUMIF('Data SCM'!$I$2:$I$698,$J360,'Data SCM'!$E$2:$E$698)*L360</f>
        <v>4</v>
      </c>
      <c r="E360" s="9">
        <f t="shared" si="15"/>
        <v>0</v>
      </c>
      <c r="F360" s="4">
        <f>SUMIF('Data SO'!$H$2:$H$1085,$J360,'Data SO'!$G$2:$G$1085)</f>
        <v>54400</v>
      </c>
      <c r="G360" s="4">
        <f>SUMIF('Data SCM'!$I$2:$I$698,$J360,'Data SCM'!$H$2:$H$698)</f>
        <v>54400</v>
      </c>
      <c r="H360" s="4">
        <f t="shared" si="16"/>
        <v>0</v>
      </c>
      <c r="I360" s="3" t="str">
        <f>IF(COUNTIF('Data SCM'!$I$2:$I$698,$J360)=0,"Hanya di SO",IF(COUNTIF('Data SO'!$H$2:$H$1085,$J360)=0,"Hanya di SCM",IF(AND(ABS(E360)&lt;0.01,ABS(H360)&lt;1),"Sama",IF(ABS(E360)&lt;0.01,"Selisih nominal",IF(ABS(H360)&lt;1,"Selisih qty","Selisih qty &amp; nominal")))))</f>
        <v>Sama</v>
      </c>
      <c r="J360" t="s">
        <v>384</v>
      </c>
      <c r="K360" t="str">
        <f>IFERROR(INDEX('Data SCM'!$D$2:$D$698,MATCH($J360,'Data SCM'!$I$2:$I$698,0)),"")</f>
        <v>PCS</v>
      </c>
      <c r="L360">
        <f t="shared" si="17"/>
        <v>1</v>
      </c>
    </row>
    <row r="361" spans="1:12" x14ac:dyDescent="0.25">
      <c r="A361" s="3" t="str">
        <f>IFERROR(INDEX('Data SO'!$C$2:$C$1085,MATCH($J361,'Data SO'!$H$2:$H$1085,0)),INDEX('Data SCM'!$B$2:$B$698,MATCH($J361,'Data SCM'!$I$2:$I$698,0)))</f>
        <v>PREMIX SCM MOCHI</v>
      </c>
      <c r="B361" s="3" t="str">
        <f>IFERROR(INDEX('Data SO'!$D$2:$D$1085,MATCH($J361,'Data SO'!$H$2:$H$1085,0)),K361)</f>
        <v>pcs</v>
      </c>
      <c r="C361" s="9">
        <f>SUMIF('Data SO'!$H$2:$H$1085,$J361,'Data SO'!$F$2:$F$1085)</f>
        <v>6</v>
      </c>
      <c r="D361" s="9">
        <f>SUMIF('Data SCM'!$I$2:$I$698,$J361,'Data SCM'!$E$2:$E$698)*L361</f>
        <v>6</v>
      </c>
      <c r="E361" s="9">
        <f t="shared" si="15"/>
        <v>0</v>
      </c>
      <c r="F361" s="4">
        <f>SUMIF('Data SO'!$H$2:$H$1085,$J361,'Data SO'!$G$2:$G$1085)</f>
        <v>647532</v>
      </c>
      <c r="G361" s="4">
        <f>SUMIF('Data SCM'!$I$2:$I$698,$J361,'Data SCM'!$H$2:$H$698)</f>
        <v>647532</v>
      </c>
      <c r="H361" s="4">
        <f t="shared" si="16"/>
        <v>0</v>
      </c>
      <c r="I361" s="3" t="str">
        <f>IF(COUNTIF('Data SCM'!$I$2:$I$698,$J361)=0,"Hanya di SO",IF(COUNTIF('Data SO'!$H$2:$H$1085,$J361)=0,"Hanya di SCM",IF(AND(ABS(E361)&lt;0.01,ABS(H361)&lt;1),"Sama",IF(ABS(E361)&lt;0.01,"Selisih nominal",IF(ABS(H361)&lt;1,"Selisih qty","Selisih qty &amp; nominal")))))</f>
        <v>Sama</v>
      </c>
      <c r="J361" t="s">
        <v>385</v>
      </c>
      <c r="K361" t="str">
        <f>IFERROR(INDEX('Data SCM'!$D$2:$D$698,MATCH($J361,'Data SCM'!$I$2:$I$698,0)),"")</f>
        <v>PCS</v>
      </c>
      <c r="L361">
        <f t="shared" si="17"/>
        <v>1</v>
      </c>
    </row>
    <row r="362" spans="1:12" x14ac:dyDescent="0.25">
      <c r="A362" s="3" t="str">
        <f>IFERROR(INDEX('Data SO'!$C$2:$C$1085,MATCH($J362,'Data SO'!$H$2:$H$1085,0)),INDEX('Data SCM'!$B$2:$B$698,MATCH($J362,'Data SCM'!$I$2:$I$698,0)))</f>
        <v>PREMIX SCM ROLL CAKE</v>
      </c>
      <c r="B362" s="3" t="str">
        <f>IFERROR(INDEX('Data SO'!$D$2:$D$1085,MATCH($J362,'Data SO'!$H$2:$H$1085,0)),K362)</f>
        <v>Pcs</v>
      </c>
      <c r="C362" s="9">
        <f>SUMIF('Data SO'!$H$2:$H$1085,$J362,'Data SO'!$F$2:$F$1085)</f>
        <v>2</v>
      </c>
      <c r="D362" s="9">
        <f>SUMIF('Data SCM'!$I$2:$I$698,$J362,'Data SCM'!$E$2:$E$698)*L362</f>
        <v>2</v>
      </c>
      <c r="E362" s="9">
        <f t="shared" si="15"/>
        <v>0</v>
      </c>
      <c r="F362" s="4">
        <f>SUMIF('Data SO'!$H$2:$H$1085,$J362,'Data SO'!$G$2:$G$1085)</f>
        <v>44572</v>
      </c>
      <c r="G362" s="4">
        <f>SUMIF('Data SCM'!$I$2:$I$698,$J362,'Data SCM'!$H$2:$H$698)</f>
        <v>44572</v>
      </c>
      <c r="H362" s="4">
        <f t="shared" si="16"/>
        <v>0</v>
      </c>
      <c r="I362" s="3" t="str">
        <f>IF(COUNTIF('Data SCM'!$I$2:$I$698,$J362)=0,"Hanya di SO",IF(COUNTIF('Data SO'!$H$2:$H$1085,$J362)=0,"Hanya di SCM",IF(AND(ABS(E362)&lt;0.01,ABS(H362)&lt;1),"Sama",IF(ABS(E362)&lt;0.01,"Selisih nominal",IF(ABS(H362)&lt;1,"Selisih qty","Selisih qty &amp; nominal")))))</f>
        <v>Sama</v>
      </c>
      <c r="J362" t="s">
        <v>386</v>
      </c>
      <c r="K362" t="str">
        <f>IFERROR(INDEX('Data SCM'!$D$2:$D$698,MATCH($J362,'Data SCM'!$I$2:$I$698,0)),"")</f>
        <v>PCS</v>
      </c>
      <c r="L362">
        <f t="shared" si="17"/>
        <v>1</v>
      </c>
    </row>
    <row r="363" spans="1:12" x14ac:dyDescent="0.25">
      <c r="A363" s="3" t="str">
        <f>IFERROR(INDEX('Data SO'!$C$2:$C$1085,MATCH($J363,'Data SO'!$H$2:$H$1085,0)),INDEX('Data SCM'!$B$2:$B$698,MATCH($J363,'Data SCM'!$I$2:$I$698,0)))</f>
        <v>PREMIX SCM ROTI MANIS</v>
      </c>
      <c r="B363" s="3" t="str">
        <f>IFERROR(INDEX('Data SO'!$D$2:$D$1085,MATCH($J363,'Data SO'!$H$2:$H$1085,0)),K363)</f>
        <v>Pcs</v>
      </c>
      <c r="C363" s="9">
        <f>SUMIF('Data SO'!$H$2:$H$1085,$J363,'Data SO'!$F$2:$F$1085)</f>
        <v>42</v>
      </c>
      <c r="D363" s="9">
        <f>SUMIF('Data SCM'!$I$2:$I$698,$J363,'Data SCM'!$E$2:$E$698)*L363</f>
        <v>42</v>
      </c>
      <c r="E363" s="9">
        <f t="shared" si="15"/>
        <v>0</v>
      </c>
      <c r="F363" s="4">
        <f>SUMIF('Data SO'!$H$2:$H$1085,$J363,'Data SO'!$G$2:$G$1085)</f>
        <v>1876224</v>
      </c>
      <c r="G363" s="4">
        <f>SUMIF('Data SCM'!$I$2:$I$698,$J363,'Data SCM'!$H$2:$H$698)</f>
        <v>1876224</v>
      </c>
      <c r="H363" s="4">
        <f t="shared" si="16"/>
        <v>0</v>
      </c>
      <c r="I363" s="3" t="str">
        <f>IF(COUNTIF('Data SCM'!$I$2:$I$698,$J363)=0,"Hanya di SO",IF(COUNTIF('Data SO'!$H$2:$H$1085,$J363)=0,"Hanya di SCM",IF(AND(ABS(E363)&lt;0.01,ABS(H363)&lt;1),"Sama",IF(ABS(E363)&lt;0.01,"Selisih nominal",IF(ABS(H363)&lt;1,"Selisih qty","Selisih qty &amp; nominal")))))</f>
        <v>Sama</v>
      </c>
      <c r="J363" t="s">
        <v>387</v>
      </c>
      <c r="K363" t="str">
        <f>IFERROR(INDEX('Data SCM'!$D$2:$D$698,MATCH($J363,'Data SCM'!$I$2:$I$698,0)),"")</f>
        <v>PCS</v>
      </c>
      <c r="L363">
        <f t="shared" si="17"/>
        <v>1</v>
      </c>
    </row>
    <row r="364" spans="1:12" x14ac:dyDescent="0.25">
      <c r="A364" s="3" t="str">
        <f>IFERROR(INDEX('Data SO'!$C$2:$C$1085,MATCH($J364,'Data SO'!$H$2:$H$1085,0)),INDEX('Data SCM'!$B$2:$B$698,MATCH($J364,'Data SCM'!$I$2:$I$698,0)))</f>
        <v>PREMIX SCM ROTI TAWAR</v>
      </c>
      <c r="B364" s="3" t="str">
        <f>IFERROR(INDEX('Data SO'!$D$2:$D$1085,MATCH($J364,'Data SO'!$H$2:$H$1085,0)),K364)</f>
        <v>Pcs</v>
      </c>
      <c r="C364" s="9">
        <f>SUMIF('Data SO'!$H$2:$H$1085,$J364,'Data SO'!$F$2:$F$1085)</f>
        <v>54</v>
      </c>
      <c r="D364" s="9">
        <f>SUMIF('Data SCM'!$I$2:$I$698,$J364,'Data SCM'!$E$2:$E$698)*L364</f>
        <v>54</v>
      </c>
      <c r="E364" s="9">
        <f t="shared" si="15"/>
        <v>0</v>
      </c>
      <c r="F364" s="4">
        <f>SUMIF('Data SO'!$H$2:$H$1085,$J364,'Data SO'!$G$2:$G$1085)</f>
        <v>3264462</v>
      </c>
      <c r="G364" s="4">
        <f>SUMIF('Data SCM'!$I$2:$I$698,$J364,'Data SCM'!$H$2:$H$698)</f>
        <v>3264462</v>
      </c>
      <c r="H364" s="4">
        <f t="shared" si="16"/>
        <v>0</v>
      </c>
      <c r="I364" s="3" t="str">
        <f>IF(COUNTIF('Data SCM'!$I$2:$I$698,$J364)=0,"Hanya di SO",IF(COUNTIF('Data SO'!$H$2:$H$1085,$J364)=0,"Hanya di SCM",IF(AND(ABS(E364)&lt;0.01,ABS(H364)&lt;1),"Sama",IF(ABS(E364)&lt;0.01,"Selisih nominal",IF(ABS(H364)&lt;1,"Selisih qty","Selisih qty &amp; nominal")))))</f>
        <v>Sama</v>
      </c>
      <c r="J364" t="s">
        <v>388</v>
      </c>
      <c r="K364" t="str">
        <f>IFERROR(INDEX('Data SCM'!$D$2:$D$698,MATCH($J364,'Data SCM'!$I$2:$I$698,0)),"")</f>
        <v>PCS</v>
      </c>
      <c r="L364">
        <f t="shared" si="17"/>
        <v>1</v>
      </c>
    </row>
    <row r="365" spans="1:12" x14ac:dyDescent="0.25">
      <c r="A365" s="3" t="str">
        <f>IFERROR(INDEX('Data SO'!$C$2:$C$1085,MATCH($J365,'Data SO'!$H$2:$H$1085,0)),INDEX('Data SCM'!$B$2:$B$698,MATCH($J365,'Data SCM'!$I$2:$I$698,0)))</f>
        <v>PREMIX SCM ROTI TAWAR EKONOMIS</v>
      </c>
      <c r="B365" s="3" t="str">
        <f>IFERROR(INDEX('Data SO'!$D$2:$D$1085,MATCH($J365,'Data SO'!$H$2:$H$1085,0)),K365)</f>
        <v>pcs</v>
      </c>
      <c r="C365" s="9">
        <f>SUMIF('Data SO'!$H$2:$H$1085,$J365,'Data SO'!$F$2:$F$1085)</f>
        <v>129</v>
      </c>
      <c r="D365" s="9">
        <f>SUMIF('Data SCM'!$I$2:$I$698,$J365,'Data SCM'!$E$2:$E$698)*L365</f>
        <v>129</v>
      </c>
      <c r="E365" s="9">
        <f t="shared" si="15"/>
        <v>0</v>
      </c>
      <c r="F365" s="4">
        <f>SUMIF('Data SO'!$H$2:$H$1085,$J365,'Data SO'!$G$2:$G$1085)</f>
        <v>3583362</v>
      </c>
      <c r="G365" s="4">
        <f>SUMIF('Data SCM'!$I$2:$I$698,$J365,'Data SCM'!$H$2:$H$698)</f>
        <v>3583362</v>
      </c>
      <c r="H365" s="4">
        <f t="shared" si="16"/>
        <v>0</v>
      </c>
      <c r="I365" s="3" t="str">
        <f>IF(COUNTIF('Data SCM'!$I$2:$I$698,$J365)=0,"Hanya di SO",IF(COUNTIF('Data SO'!$H$2:$H$1085,$J365)=0,"Hanya di SCM",IF(AND(ABS(E365)&lt;0.01,ABS(H365)&lt;1),"Sama",IF(ABS(E365)&lt;0.01,"Selisih nominal",IF(ABS(H365)&lt;1,"Selisih qty","Selisih qty &amp; nominal")))))</f>
        <v>Sama</v>
      </c>
      <c r="J365" t="s">
        <v>389</v>
      </c>
      <c r="K365" t="str">
        <f>IFERROR(INDEX('Data SCM'!$D$2:$D$698,MATCH($J365,'Data SCM'!$I$2:$I$698,0)),"")</f>
        <v>PCS</v>
      </c>
      <c r="L365">
        <f t="shared" si="17"/>
        <v>1</v>
      </c>
    </row>
    <row r="366" spans="1:12" x14ac:dyDescent="0.25">
      <c r="A366" s="3" t="str">
        <f>IFERROR(INDEX('Data SO'!$C$2:$C$1085,MATCH($J366,'Data SO'!$H$2:$H$1085,0)),INDEX('Data SCM'!$B$2:$B$698,MATCH($J366,'Data SCM'!$I$2:$I$698,0)))</f>
        <v>PREMIX SCM SPONGE CAKE COKLAT</v>
      </c>
      <c r="B366" s="3" t="str">
        <f>IFERROR(INDEX('Data SO'!$D$2:$D$1085,MATCH($J366,'Data SO'!$H$2:$H$1085,0)),K366)</f>
        <v>Pcs</v>
      </c>
      <c r="C366" s="9">
        <f>SUMIF('Data SO'!$H$2:$H$1085,$J366,'Data SO'!$F$2:$F$1085)</f>
        <v>15</v>
      </c>
      <c r="D366" s="9">
        <f>SUMIF('Data SCM'!$I$2:$I$698,$J366,'Data SCM'!$E$2:$E$698)*L366</f>
        <v>15</v>
      </c>
      <c r="E366" s="9">
        <f t="shared" si="15"/>
        <v>0</v>
      </c>
      <c r="F366" s="4">
        <f>SUMIF('Data SO'!$H$2:$H$1085,$J366,'Data SO'!$G$2:$G$1085)</f>
        <v>3784515</v>
      </c>
      <c r="G366" s="4">
        <f>SUMIF('Data SCM'!$I$2:$I$698,$J366,'Data SCM'!$H$2:$H$698)</f>
        <v>3784515</v>
      </c>
      <c r="H366" s="4">
        <f t="shared" si="16"/>
        <v>0</v>
      </c>
      <c r="I366" s="3" t="str">
        <f>IF(COUNTIF('Data SCM'!$I$2:$I$698,$J366)=0,"Hanya di SO",IF(COUNTIF('Data SO'!$H$2:$H$1085,$J366)=0,"Hanya di SCM",IF(AND(ABS(E366)&lt;0.01,ABS(H366)&lt;1),"Sama",IF(ABS(E366)&lt;0.01,"Selisih nominal",IF(ABS(H366)&lt;1,"Selisih qty","Selisih qty &amp; nominal")))))</f>
        <v>Sama</v>
      </c>
      <c r="J366" t="s">
        <v>390</v>
      </c>
      <c r="K366" t="str">
        <f>IFERROR(INDEX('Data SCM'!$D$2:$D$698,MATCH($J366,'Data SCM'!$I$2:$I$698,0)),"")</f>
        <v>PCS</v>
      </c>
      <c r="L366">
        <f t="shared" si="17"/>
        <v>1</v>
      </c>
    </row>
    <row r="367" spans="1:12" x14ac:dyDescent="0.25">
      <c r="A367" s="3" t="str">
        <f>IFERROR(INDEX('Data SO'!$C$2:$C$1085,MATCH($J367,'Data SO'!$H$2:$H$1085,0)),INDEX('Data SCM'!$B$2:$B$698,MATCH($J367,'Data SCM'!$I$2:$I$698,0)))</f>
        <v>PREMIX SCM SUS</v>
      </c>
      <c r="B367" s="3" t="str">
        <f>IFERROR(INDEX('Data SO'!$D$2:$D$1085,MATCH($J367,'Data SO'!$H$2:$H$1085,0)),K367)</f>
        <v>pcs</v>
      </c>
      <c r="C367" s="9">
        <f>SUMIF('Data SO'!$H$2:$H$1085,$J367,'Data SO'!$F$2:$F$1085)</f>
        <v>21</v>
      </c>
      <c r="D367" s="9">
        <f>SUMIF('Data SCM'!$I$2:$I$698,$J367,'Data SCM'!$E$2:$E$698)*L367</f>
        <v>21</v>
      </c>
      <c r="E367" s="9">
        <f t="shared" si="15"/>
        <v>0</v>
      </c>
      <c r="F367" s="4">
        <f>SUMIF('Data SO'!$H$2:$H$1085,$J367,'Data SO'!$G$2:$G$1085)</f>
        <v>352086</v>
      </c>
      <c r="G367" s="4">
        <f>SUMIF('Data SCM'!$I$2:$I$698,$J367,'Data SCM'!$H$2:$H$698)</f>
        <v>352086</v>
      </c>
      <c r="H367" s="4">
        <f t="shared" si="16"/>
        <v>0</v>
      </c>
      <c r="I367" s="3" t="str">
        <f>IF(COUNTIF('Data SCM'!$I$2:$I$698,$J367)=0,"Hanya di SO",IF(COUNTIF('Data SO'!$H$2:$H$1085,$J367)=0,"Hanya di SCM",IF(AND(ABS(E367)&lt;0.01,ABS(H367)&lt;1),"Sama",IF(ABS(E367)&lt;0.01,"Selisih nominal",IF(ABS(H367)&lt;1,"Selisih qty","Selisih qty &amp; nominal")))))</f>
        <v>Sama</v>
      </c>
      <c r="J367" t="s">
        <v>391</v>
      </c>
      <c r="K367" t="str">
        <f>IFERROR(INDEX('Data SCM'!$D$2:$D$698,MATCH($J367,'Data SCM'!$I$2:$I$698,0)),"")</f>
        <v>PCS</v>
      </c>
      <c r="L367">
        <f t="shared" si="17"/>
        <v>1</v>
      </c>
    </row>
    <row r="368" spans="1:12" x14ac:dyDescent="0.25">
      <c r="A368" s="3" t="str">
        <f>IFERROR(INDEX('Data SO'!$C$2:$C$1085,MATCH($J368,'Data SO'!$H$2:$H$1085,0)),INDEX('Data SCM'!$B$2:$B$698,MATCH($J368,'Data SCM'!$I$2:$I$698,0)))</f>
        <v>PREMIX SCM TART</v>
      </c>
      <c r="B368" s="3" t="str">
        <f>IFERROR(INDEX('Data SO'!$D$2:$D$1085,MATCH($J368,'Data SO'!$H$2:$H$1085,0)),K368)</f>
        <v>Pcs</v>
      </c>
      <c r="C368" s="9">
        <f>SUMIF('Data SO'!$H$2:$H$1085,$J368,'Data SO'!$F$2:$F$1085)</f>
        <v>156</v>
      </c>
      <c r="D368" s="9">
        <f>SUMIF('Data SCM'!$I$2:$I$698,$J368,'Data SCM'!$E$2:$E$698)*L368</f>
        <v>156</v>
      </c>
      <c r="E368" s="9">
        <f t="shared" si="15"/>
        <v>0</v>
      </c>
      <c r="F368" s="4">
        <f>SUMIF('Data SO'!$H$2:$H$1085,$J368,'Data SO'!$G$2:$G$1085)</f>
        <v>2459496</v>
      </c>
      <c r="G368" s="4">
        <f>SUMIF('Data SCM'!$I$2:$I$698,$J368,'Data SCM'!$H$2:$H$698)</f>
        <v>2459496</v>
      </c>
      <c r="H368" s="4">
        <f t="shared" si="16"/>
        <v>0</v>
      </c>
      <c r="I368" s="3" t="str">
        <f>IF(COUNTIF('Data SCM'!$I$2:$I$698,$J368)=0,"Hanya di SO",IF(COUNTIF('Data SO'!$H$2:$H$1085,$J368)=0,"Hanya di SCM",IF(AND(ABS(E368)&lt;0.01,ABS(H368)&lt;1),"Sama",IF(ABS(E368)&lt;0.01,"Selisih nominal",IF(ABS(H368)&lt;1,"Selisih qty","Selisih qty &amp; nominal")))))</f>
        <v>Sama</v>
      </c>
      <c r="J368" t="s">
        <v>392</v>
      </c>
      <c r="K368" t="str">
        <f>IFERROR(INDEX('Data SCM'!$D$2:$D$698,MATCH($J368,'Data SCM'!$I$2:$I$698,0)),"")</f>
        <v>PCS</v>
      </c>
      <c r="L368">
        <f t="shared" si="17"/>
        <v>1</v>
      </c>
    </row>
    <row r="369" spans="1:12" x14ac:dyDescent="0.25">
      <c r="A369" s="3" t="str">
        <f>IFERROR(INDEX('Data SO'!$C$2:$C$1085,MATCH($J369,'Data SO'!$H$2:$H$1085,0)),INDEX('Data SCM'!$B$2:$B$698,MATCH($J369,'Data SCM'!$I$2:$I$698,0)))</f>
        <v>PREMIX SCM VLA SUS</v>
      </c>
      <c r="B369" s="3" t="str">
        <f>IFERROR(INDEX('Data SO'!$D$2:$D$1085,MATCH($J369,'Data SO'!$H$2:$H$1085,0)),K369)</f>
        <v>Pcs</v>
      </c>
      <c r="C369" s="9">
        <f>SUMIF('Data SO'!$H$2:$H$1085,$J369,'Data SO'!$F$2:$F$1085)</f>
        <v>40</v>
      </c>
      <c r="D369" s="9">
        <f>SUMIF('Data SCM'!$I$2:$I$698,$J369,'Data SCM'!$E$2:$E$698)*L369</f>
        <v>40</v>
      </c>
      <c r="E369" s="9">
        <f t="shared" si="15"/>
        <v>0</v>
      </c>
      <c r="F369" s="4">
        <f>SUMIF('Data SO'!$H$2:$H$1085,$J369,'Data SO'!$G$2:$G$1085)</f>
        <v>127880</v>
      </c>
      <c r="G369" s="4">
        <f>SUMIF('Data SCM'!$I$2:$I$698,$J369,'Data SCM'!$H$2:$H$698)</f>
        <v>127880</v>
      </c>
      <c r="H369" s="4">
        <f t="shared" si="16"/>
        <v>0</v>
      </c>
      <c r="I369" s="3" t="str">
        <f>IF(COUNTIF('Data SCM'!$I$2:$I$698,$J369)=0,"Hanya di SO",IF(COUNTIF('Data SO'!$H$2:$H$1085,$J369)=0,"Hanya di SCM",IF(AND(ABS(E369)&lt;0.01,ABS(H369)&lt;1),"Sama",IF(ABS(E369)&lt;0.01,"Selisih nominal",IF(ABS(H369)&lt;1,"Selisih qty","Selisih qty &amp; nominal")))))</f>
        <v>Sama</v>
      </c>
      <c r="J369" t="s">
        <v>393</v>
      </c>
      <c r="K369" t="str">
        <f>IFERROR(INDEX('Data SCM'!$D$2:$D$698,MATCH($J369,'Data SCM'!$I$2:$I$698,0)),"")</f>
        <v>PCS</v>
      </c>
      <c r="L369">
        <f t="shared" si="17"/>
        <v>1</v>
      </c>
    </row>
    <row r="370" spans="1:12" x14ac:dyDescent="0.25">
      <c r="A370" s="3" t="str">
        <f>IFERROR(INDEX('Data SO'!$C$2:$C$1085,MATCH($J370,'Data SO'!$H$2:$H$1085,0)),INDEX('Data SCM'!$B$2:$B$698,MATCH($J370,'Data SCM'!$I$2:$I$698,0)))</f>
        <v>Palmia Supercake @1X15Kg</v>
      </c>
      <c r="B370" s="3" t="str">
        <f>IFERROR(INDEX('Data SO'!$D$2:$D$1085,MATCH($J370,'Data SO'!$H$2:$H$1085,0)),K370)</f>
        <v>kg</v>
      </c>
      <c r="C370" s="9">
        <f>SUMIF('Data SO'!$H$2:$H$1085,$J370,'Data SO'!$F$2:$F$1085)</f>
        <v>465</v>
      </c>
      <c r="D370" s="9">
        <f>SUMIF('Data SCM'!$I$2:$I$698,$J370,'Data SCM'!$E$2:$E$698)*L370</f>
        <v>465</v>
      </c>
      <c r="E370" s="9">
        <f t="shared" si="15"/>
        <v>0</v>
      </c>
      <c r="F370" s="4">
        <f>SUMIF('Data SO'!$H$2:$H$1085,$J370,'Data SO'!$G$2:$G$1085)</f>
        <v>12666600</v>
      </c>
      <c r="G370" s="4">
        <f>SUMIF('Data SCM'!$I$2:$I$698,$J370,'Data SCM'!$H$2:$H$698)</f>
        <v>12666600</v>
      </c>
      <c r="H370" s="4">
        <f t="shared" si="16"/>
        <v>0</v>
      </c>
      <c r="I370" s="3" t="str">
        <f>IF(COUNTIF('Data SCM'!$I$2:$I$698,$J370)=0,"Hanya di SO",IF(COUNTIF('Data SO'!$H$2:$H$1085,$J370)=0,"Hanya di SCM",IF(AND(ABS(E370)&lt;0.01,ABS(H370)&lt;1),"Sama",IF(ABS(E370)&lt;0.01,"Selisih nominal",IF(ABS(H370)&lt;1,"Selisih qty","Selisih qty &amp; nominal")))))</f>
        <v>Sama</v>
      </c>
      <c r="J370" t="s">
        <v>394</v>
      </c>
      <c r="K370" t="str">
        <f>IFERROR(INDEX('Data SCM'!$D$2:$D$698,MATCH($J370,'Data SCM'!$I$2:$I$698,0)),"")</f>
        <v>KG</v>
      </c>
      <c r="L370">
        <f t="shared" si="17"/>
        <v>1</v>
      </c>
    </row>
    <row r="371" spans="1:12" x14ac:dyDescent="0.25">
      <c r="A371" s="3" t="str">
        <f>IFERROR(INDEX('Data SO'!$C$2:$C$1085,MATCH($J371,'Data SO'!$H$2:$H$1085,0)),INDEX('Data SCM'!$B$2:$B$698,MATCH($J371,'Data SCM'!$I$2:$I$698,0)))</f>
        <v>Paper Bowl 500Ml + Tutup</v>
      </c>
      <c r="B371" s="3" t="str">
        <f>IFERROR(INDEX('Data SO'!$D$2:$D$1085,MATCH($J371,'Data SO'!$H$2:$H$1085,0)),K371)</f>
        <v>pcs</v>
      </c>
      <c r="C371" s="9">
        <f>SUMIF('Data SO'!$H$2:$H$1085,$J371,'Data SO'!$F$2:$F$1085)</f>
        <v>375</v>
      </c>
      <c r="D371" s="9">
        <f>SUMIF('Data SCM'!$I$2:$I$698,$J371,'Data SCM'!$E$2:$E$698)*L371</f>
        <v>375</v>
      </c>
      <c r="E371" s="9">
        <f t="shared" si="15"/>
        <v>0</v>
      </c>
      <c r="F371" s="4">
        <f>SUMIF('Data SO'!$H$2:$H$1085,$J371,'Data SO'!$G$2:$G$1085)</f>
        <v>375000</v>
      </c>
      <c r="G371" s="4">
        <f>SUMIF('Data SCM'!$I$2:$I$698,$J371,'Data SCM'!$H$2:$H$698)</f>
        <v>375000</v>
      </c>
      <c r="H371" s="4">
        <f t="shared" si="16"/>
        <v>0</v>
      </c>
      <c r="I371" s="3" t="str">
        <f>IF(COUNTIF('Data SCM'!$I$2:$I$698,$J371)=0,"Hanya di SO",IF(COUNTIF('Data SO'!$H$2:$H$1085,$J371)=0,"Hanya di SCM",IF(AND(ABS(E371)&lt;0.01,ABS(H371)&lt;1),"Sama",IF(ABS(E371)&lt;0.01,"Selisih nominal",IF(ABS(H371)&lt;1,"Selisih qty","Selisih qty &amp; nominal")))))</f>
        <v>Sama</v>
      </c>
      <c r="J371" t="s">
        <v>395</v>
      </c>
      <c r="K371" t="str">
        <f>IFERROR(INDEX('Data SCM'!$D$2:$D$698,MATCH($J371,'Data SCM'!$I$2:$I$698,0)),"")</f>
        <v>PCS</v>
      </c>
      <c r="L371">
        <f t="shared" si="17"/>
        <v>1</v>
      </c>
    </row>
    <row r="372" spans="1:12" x14ac:dyDescent="0.25">
      <c r="A372" s="3" t="str">
        <f>IFERROR(INDEX('Data SO'!$C$2:$C$1085,MATCH($J372,'Data SO'!$H$2:$H$1085,0)),INDEX('Data SCM'!$B$2:$B$698,MATCH($J372,'Data SCM'!$I$2:$I$698,0)))</f>
        <v>Paper Case 3018 (Oval) @200</v>
      </c>
      <c r="B372" s="3" t="str">
        <f>IFERROR(INDEX('Data SO'!$D$2:$D$1085,MATCH($J372,'Data SO'!$H$2:$H$1085,0)),K372)</f>
        <v>Pcs</v>
      </c>
      <c r="C372" s="9">
        <f>SUMIF('Data SO'!$H$2:$H$1085,$J372,'Data SO'!$F$2:$F$1085)</f>
        <v>600</v>
      </c>
      <c r="D372" s="9">
        <f>SUMIF('Data SCM'!$I$2:$I$698,$J372,'Data SCM'!$E$2:$E$698)*L372</f>
        <v>600</v>
      </c>
      <c r="E372" s="9">
        <f t="shared" si="15"/>
        <v>0</v>
      </c>
      <c r="F372" s="4">
        <f>SUMIF('Data SO'!$H$2:$H$1085,$J372,'Data SO'!$G$2:$G$1085)</f>
        <v>222000</v>
      </c>
      <c r="G372" s="4">
        <f>SUMIF('Data SCM'!$I$2:$I$698,$J372,'Data SCM'!$H$2:$H$698)</f>
        <v>222000</v>
      </c>
      <c r="H372" s="4">
        <f t="shared" si="16"/>
        <v>0</v>
      </c>
      <c r="I372" s="3" t="str">
        <f>IF(COUNTIF('Data SCM'!$I$2:$I$698,$J372)=0,"Hanya di SO",IF(COUNTIF('Data SO'!$H$2:$H$1085,$J372)=0,"Hanya di SCM",IF(AND(ABS(E372)&lt;0.01,ABS(H372)&lt;1),"Sama",IF(ABS(E372)&lt;0.01,"Selisih nominal",IF(ABS(H372)&lt;1,"Selisih qty","Selisih qty &amp; nominal")))))</f>
        <v>Sama</v>
      </c>
      <c r="J372" t="s">
        <v>396</v>
      </c>
      <c r="K372" t="str">
        <f>IFERROR(INDEX('Data SCM'!$D$2:$D$698,MATCH($J372,'Data SCM'!$I$2:$I$698,0)),"")</f>
        <v>PCS</v>
      </c>
      <c r="L372">
        <f t="shared" si="17"/>
        <v>1</v>
      </c>
    </row>
    <row r="373" spans="1:12" x14ac:dyDescent="0.25">
      <c r="A373" s="3" t="str">
        <f>IFERROR(INDEX('Data SO'!$C$2:$C$1085,MATCH($J373,'Data SO'!$H$2:$H$1085,0)),INDEX('Data SCM'!$B$2:$B$698,MATCH($J373,'Data SCM'!$I$2:$I$698,0)))</f>
        <v>Paperbag Brown Kraft 150Gr 24X15X29</v>
      </c>
      <c r="B373" s="3" t="str">
        <f>IFERROR(INDEX('Data SO'!$D$2:$D$1085,MATCH($J373,'Data SO'!$H$2:$H$1085,0)),K373)</f>
        <v>pcs</v>
      </c>
      <c r="C373" s="9">
        <f>SUMIF('Data SO'!$H$2:$H$1085,$J373,'Data SO'!$F$2:$F$1085)</f>
        <v>1225</v>
      </c>
      <c r="D373" s="9">
        <f>SUMIF('Data SCM'!$I$2:$I$698,$J373,'Data SCM'!$E$2:$E$698)*L373</f>
        <v>1225</v>
      </c>
      <c r="E373" s="9">
        <f t="shared" si="15"/>
        <v>0</v>
      </c>
      <c r="F373" s="4">
        <f>SUMIF('Data SO'!$H$2:$H$1085,$J373,'Data SO'!$G$2:$G$1085)</f>
        <v>3583125</v>
      </c>
      <c r="G373" s="4">
        <f>SUMIF('Data SCM'!$I$2:$I$698,$J373,'Data SCM'!$H$2:$H$698)</f>
        <v>3583125</v>
      </c>
      <c r="H373" s="4">
        <f t="shared" si="16"/>
        <v>0</v>
      </c>
      <c r="I373" s="3" t="str">
        <f>IF(COUNTIF('Data SCM'!$I$2:$I$698,$J373)=0,"Hanya di SO",IF(COUNTIF('Data SO'!$H$2:$H$1085,$J373)=0,"Hanya di SCM",IF(AND(ABS(E373)&lt;0.01,ABS(H373)&lt;1),"Sama",IF(ABS(E373)&lt;0.01,"Selisih nominal",IF(ABS(H373)&lt;1,"Selisih qty","Selisih qty &amp; nominal")))))</f>
        <v>Sama</v>
      </c>
      <c r="J373" t="s">
        <v>397</v>
      </c>
      <c r="K373" t="str">
        <f>IFERROR(INDEX('Data SCM'!$D$2:$D$698,MATCH($J373,'Data SCM'!$I$2:$I$698,0)),"")</f>
        <v>PCS</v>
      </c>
      <c r="L373">
        <f t="shared" si="17"/>
        <v>1</v>
      </c>
    </row>
    <row r="374" spans="1:12" x14ac:dyDescent="0.25">
      <c r="A374" s="3" t="str">
        <f>IFERROR(INDEX('Data SO'!$C$2:$C$1085,MATCH($J374,'Data SO'!$H$2:$H$1085,0)),INDEX('Data SCM'!$B$2:$B$698,MATCH($J374,'Data SCM'!$I$2:$I$698,0)))</f>
        <v>Paperbag Brown Kraft 200Gr 24X25X25</v>
      </c>
      <c r="B374" s="3" t="str">
        <f>IFERROR(INDEX('Data SO'!$D$2:$D$1085,MATCH($J374,'Data SO'!$H$2:$H$1085,0)),K374)</f>
        <v>pcs</v>
      </c>
      <c r="C374" s="9">
        <f>SUMIF('Data SO'!$H$2:$H$1085,$J374,'Data SO'!$F$2:$F$1085)</f>
        <v>675</v>
      </c>
      <c r="D374" s="9">
        <f>SUMIF('Data SCM'!$I$2:$I$698,$J374,'Data SCM'!$E$2:$E$698)*L374</f>
        <v>675</v>
      </c>
      <c r="E374" s="9">
        <f t="shared" si="15"/>
        <v>0</v>
      </c>
      <c r="F374" s="4">
        <f>SUMIF('Data SO'!$H$2:$H$1085,$J374,'Data SO'!$G$2:$G$1085)</f>
        <v>2443500</v>
      </c>
      <c r="G374" s="4">
        <f>SUMIF('Data SCM'!$I$2:$I$698,$J374,'Data SCM'!$H$2:$H$698)</f>
        <v>2443500</v>
      </c>
      <c r="H374" s="4">
        <f t="shared" si="16"/>
        <v>0</v>
      </c>
      <c r="I374" s="3" t="str">
        <f>IF(COUNTIF('Data SCM'!$I$2:$I$698,$J374)=0,"Hanya di SO",IF(COUNTIF('Data SO'!$H$2:$H$1085,$J374)=0,"Hanya di SCM",IF(AND(ABS(E374)&lt;0.01,ABS(H374)&lt;1),"Sama",IF(ABS(E374)&lt;0.01,"Selisih nominal",IF(ABS(H374)&lt;1,"Selisih qty","Selisih qty &amp; nominal")))))</f>
        <v>Sama</v>
      </c>
      <c r="J374" t="s">
        <v>398</v>
      </c>
      <c r="K374" t="str">
        <f>IFERROR(INDEX('Data SCM'!$D$2:$D$698,MATCH($J374,'Data SCM'!$I$2:$I$698,0)),"")</f>
        <v>PCS</v>
      </c>
      <c r="L374">
        <f t="shared" si="17"/>
        <v>1</v>
      </c>
    </row>
    <row r="375" spans="1:12" x14ac:dyDescent="0.25">
      <c r="A375" s="3" t="str">
        <f>IFERROR(INDEX('Data SO'!$C$2:$C$1085,MATCH($J375,'Data SO'!$H$2:$H$1085,0)),INDEX('Data SCM'!$B$2:$B$698,MATCH($J375,'Data SCM'!$I$2:$I$698,0)))</f>
        <v>Paperbag Brown Samson 85Gr 18X11,5X28</v>
      </c>
      <c r="B375" s="3" t="str">
        <f>IFERROR(INDEX('Data SO'!$D$2:$D$1085,MATCH($J375,'Data SO'!$H$2:$H$1085,0)),K375)</f>
        <v>pcs</v>
      </c>
      <c r="C375" s="9">
        <f>SUMIF('Data SO'!$H$2:$H$1085,$J375,'Data SO'!$F$2:$F$1085)</f>
        <v>1043</v>
      </c>
      <c r="D375" s="9">
        <f>SUMIF('Data SCM'!$I$2:$I$698,$J375,'Data SCM'!$E$2:$E$698)*L375</f>
        <v>1043</v>
      </c>
      <c r="E375" s="9">
        <f t="shared" si="15"/>
        <v>0</v>
      </c>
      <c r="F375" s="4">
        <f>SUMIF('Data SO'!$H$2:$H$1085,$J375,'Data SO'!$G$2:$G$1085)</f>
        <v>2033850</v>
      </c>
      <c r="G375" s="4">
        <f>SUMIF('Data SCM'!$I$2:$I$698,$J375,'Data SCM'!$H$2:$H$698)</f>
        <v>2033850</v>
      </c>
      <c r="H375" s="4">
        <f t="shared" si="16"/>
        <v>0</v>
      </c>
      <c r="I375" s="3" t="str">
        <f>IF(COUNTIF('Data SCM'!$I$2:$I$698,$J375)=0,"Hanya di SO",IF(COUNTIF('Data SO'!$H$2:$H$1085,$J375)=0,"Hanya di SCM",IF(AND(ABS(E375)&lt;0.01,ABS(H375)&lt;1),"Sama",IF(ABS(E375)&lt;0.01,"Selisih nominal",IF(ABS(H375)&lt;1,"Selisih qty","Selisih qty &amp; nominal")))))</f>
        <v>Sama</v>
      </c>
      <c r="J375" t="s">
        <v>399</v>
      </c>
      <c r="K375" t="str">
        <f>IFERROR(INDEX('Data SCM'!$D$2:$D$698,MATCH($J375,'Data SCM'!$I$2:$I$698,0)),"")</f>
        <v>PCS</v>
      </c>
      <c r="L375">
        <f t="shared" si="17"/>
        <v>1</v>
      </c>
    </row>
    <row r="376" spans="1:12" x14ac:dyDescent="0.25">
      <c r="A376" s="3" t="str">
        <f>IFERROR(INDEX('Data SO'!$C$2:$C$1085,MATCH($J376,'Data SO'!$H$2:$H$1085,0)),INDEX('Data SCM'!$B$2:$B$698,MATCH($J376,'Data SCM'!$I$2:$I$698,0)))</f>
        <v>Paperbag For France</v>
      </c>
      <c r="B376" s="3" t="str">
        <f>IFERROR(INDEX('Data SO'!$D$2:$D$1085,MATCH($J376,'Data SO'!$H$2:$H$1085,0)),K376)</f>
        <v>pcs</v>
      </c>
      <c r="C376" s="9">
        <f>SUMIF('Data SO'!$H$2:$H$1085,$J376,'Data SO'!$F$2:$F$1085)</f>
        <v>2300</v>
      </c>
      <c r="D376" s="9">
        <f>SUMIF('Data SCM'!$I$2:$I$698,$J376,'Data SCM'!$E$2:$E$698)*L376</f>
        <v>2300</v>
      </c>
      <c r="E376" s="9">
        <f t="shared" si="15"/>
        <v>0</v>
      </c>
      <c r="F376" s="4">
        <f>SUMIF('Data SO'!$H$2:$H$1085,$J376,'Data SO'!$G$2:$G$1085)</f>
        <v>2530000</v>
      </c>
      <c r="G376" s="4">
        <f>SUMIF('Data SCM'!$I$2:$I$698,$J376,'Data SCM'!$H$2:$H$698)</f>
        <v>2530000</v>
      </c>
      <c r="H376" s="4">
        <f t="shared" si="16"/>
        <v>0</v>
      </c>
      <c r="I376" s="3" t="str">
        <f>IF(COUNTIF('Data SCM'!$I$2:$I$698,$J376)=0,"Hanya di SO",IF(COUNTIF('Data SO'!$H$2:$H$1085,$J376)=0,"Hanya di SCM",IF(AND(ABS(E376)&lt;0.01,ABS(H376)&lt;1),"Sama",IF(ABS(E376)&lt;0.01,"Selisih nominal",IF(ABS(H376)&lt;1,"Selisih qty","Selisih qty &amp; nominal")))))</f>
        <v>Sama</v>
      </c>
      <c r="J376" t="s">
        <v>400</v>
      </c>
      <c r="K376" t="str">
        <f>IFERROR(INDEX('Data SCM'!$D$2:$D$698,MATCH($J376,'Data SCM'!$I$2:$I$698,0)),"")</f>
        <v>PCS</v>
      </c>
      <c r="L376">
        <f t="shared" si="17"/>
        <v>1</v>
      </c>
    </row>
    <row r="377" spans="1:12" x14ac:dyDescent="0.25">
      <c r="A377" s="3" t="str">
        <f>IFERROR(INDEX('Data SO'!$C$2:$C$1085,MATCH($J377,'Data SO'!$H$2:$H$1085,0)),INDEX('Data SCM'!$B$2:$B$698,MATCH($J377,'Data SCM'!$I$2:$I$698,0)))</f>
        <v>Papercase 3051 Dark Green (Muffin)@50 Pak</v>
      </c>
      <c r="B377" s="3" t="str">
        <f>IFERROR(INDEX('Data SO'!$D$2:$D$1085,MATCH($J377,'Data SO'!$H$2:$H$1085,0)),K377)</f>
        <v>Pcs</v>
      </c>
      <c r="C377" s="9">
        <f>SUMIF('Data SO'!$H$2:$H$1085,$J377,'Data SO'!$F$2:$F$1085)</f>
        <v>14850</v>
      </c>
      <c r="D377" s="9">
        <f>SUMIF('Data SCM'!$I$2:$I$698,$J377,'Data SCM'!$E$2:$E$698)*L377</f>
        <v>14850</v>
      </c>
      <c r="E377" s="9">
        <f t="shared" si="15"/>
        <v>0</v>
      </c>
      <c r="F377" s="4">
        <f>SUMIF('Data SO'!$H$2:$H$1085,$J377,'Data SO'!$G$2:$G$1085)</f>
        <v>5197500</v>
      </c>
      <c r="G377" s="4">
        <f>SUMIF('Data SCM'!$I$2:$I$698,$J377,'Data SCM'!$H$2:$H$698)</f>
        <v>5197500</v>
      </c>
      <c r="H377" s="4">
        <f t="shared" si="16"/>
        <v>0</v>
      </c>
      <c r="I377" s="3" t="str">
        <f>IF(COUNTIF('Data SCM'!$I$2:$I$698,$J377)=0,"Hanya di SO",IF(COUNTIF('Data SO'!$H$2:$H$1085,$J377)=0,"Hanya di SCM",IF(AND(ABS(E377)&lt;0.01,ABS(H377)&lt;1),"Sama",IF(ABS(E377)&lt;0.01,"Selisih nominal",IF(ABS(H377)&lt;1,"Selisih qty","Selisih qty &amp; nominal")))))</f>
        <v>Sama</v>
      </c>
      <c r="J377" t="s">
        <v>401</v>
      </c>
      <c r="K377" t="str">
        <f>IFERROR(INDEX('Data SCM'!$D$2:$D$698,MATCH($J377,'Data SCM'!$I$2:$I$698,0)),"")</f>
        <v>PCS</v>
      </c>
      <c r="L377">
        <f t="shared" si="17"/>
        <v>1</v>
      </c>
    </row>
    <row r="378" spans="1:12" x14ac:dyDescent="0.25">
      <c r="A378" s="3" t="str">
        <f>IFERROR(INDEX('Data SO'!$C$2:$C$1085,MATCH($J378,'Data SO'!$H$2:$H$1085,0)),INDEX('Data SCM'!$B$2:$B$698,MATCH($J378,'Data SCM'!$I$2:$I$698,0)))</f>
        <v>Papercase 3312 Hexa-N18 (Moulten) @100</v>
      </c>
      <c r="B378" s="3" t="str">
        <f>IFERROR(INDEX('Data SO'!$D$2:$D$1085,MATCH($J378,'Data SO'!$H$2:$H$1085,0)),K378)</f>
        <v>Pcs</v>
      </c>
      <c r="C378" s="9">
        <f>SUMIF('Data SO'!$H$2:$H$1085,$J378,'Data SO'!$F$2:$F$1085)</f>
        <v>5800</v>
      </c>
      <c r="D378" s="9">
        <f>SUMIF('Data SCM'!$I$2:$I$698,$J378,'Data SCM'!$E$2:$E$698)*L378</f>
        <v>5800</v>
      </c>
      <c r="E378" s="9">
        <f t="shared" si="15"/>
        <v>0</v>
      </c>
      <c r="F378" s="4">
        <f>SUMIF('Data SO'!$H$2:$H$1085,$J378,'Data SO'!$G$2:$G$1085)</f>
        <v>2726000</v>
      </c>
      <c r="G378" s="4">
        <f>SUMIF('Data SCM'!$I$2:$I$698,$J378,'Data SCM'!$H$2:$H$698)</f>
        <v>2726000</v>
      </c>
      <c r="H378" s="4">
        <f t="shared" si="16"/>
        <v>0</v>
      </c>
      <c r="I378" s="3" t="str">
        <f>IF(COUNTIF('Data SCM'!$I$2:$I$698,$J378)=0,"Hanya di SO",IF(COUNTIF('Data SO'!$H$2:$H$1085,$J378)=0,"Hanya di SCM",IF(AND(ABS(E378)&lt;0.01,ABS(H378)&lt;1),"Sama",IF(ABS(E378)&lt;0.01,"Selisih nominal",IF(ABS(H378)&lt;1,"Selisih qty","Selisih qty &amp; nominal")))))</f>
        <v>Sama</v>
      </c>
      <c r="J378" t="s">
        <v>402</v>
      </c>
      <c r="K378" t="str">
        <f>IFERROR(INDEX('Data SCM'!$D$2:$D$698,MATCH($J378,'Data SCM'!$I$2:$I$698,0)),"")</f>
        <v>PCS</v>
      </c>
      <c r="L378">
        <f t="shared" si="17"/>
        <v>1</v>
      </c>
    </row>
    <row r="379" spans="1:12" x14ac:dyDescent="0.25">
      <c r="A379" s="3" t="str">
        <f>IFERROR(INDEX('Data SO'!$C$2:$C$1085,MATCH($J379,'Data SO'!$H$2:$H$1085,0)),INDEX('Data SCM'!$B$2:$B$698,MATCH($J379,'Data SCM'!$I$2:$I$698,0)))</f>
        <v>Paprika Hijau</v>
      </c>
      <c r="B379" s="3" t="str">
        <f>IFERROR(INDEX('Data SO'!$D$2:$D$1085,MATCH($J379,'Data SO'!$H$2:$H$1085,0)),K379)</f>
        <v>kg</v>
      </c>
      <c r="C379" s="9">
        <f>SUMIF('Data SO'!$H$2:$H$1085,$J379,'Data SO'!$F$2:$F$1085)</f>
        <v>15.2</v>
      </c>
      <c r="D379" s="9">
        <f>SUMIF('Data SCM'!$I$2:$I$698,$J379,'Data SCM'!$E$2:$E$698)*L379</f>
        <v>15.2</v>
      </c>
      <c r="E379" s="9">
        <f t="shared" si="15"/>
        <v>0</v>
      </c>
      <c r="F379" s="4">
        <f>SUMIF('Data SO'!$H$2:$H$1085,$J379,'Data SO'!$G$2:$G$1085)</f>
        <v>1520000</v>
      </c>
      <c r="G379" s="4">
        <f>SUMIF('Data SCM'!$I$2:$I$698,$J379,'Data SCM'!$H$2:$H$698)</f>
        <v>1520000</v>
      </c>
      <c r="H379" s="4">
        <f t="shared" si="16"/>
        <v>0</v>
      </c>
      <c r="I379" s="3" t="str">
        <f>IF(COUNTIF('Data SCM'!$I$2:$I$698,$J379)=0,"Hanya di SO",IF(COUNTIF('Data SO'!$H$2:$H$1085,$J379)=0,"Hanya di SCM",IF(AND(ABS(E379)&lt;0.01,ABS(H379)&lt;1),"Sama",IF(ABS(E379)&lt;0.01,"Selisih nominal",IF(ABS(H379)&lt;1,"Selisih qty","Selisih qty &amp; nominal")))))</f>
        <v>Sama</v>
      </c>
      <c r="J379" t="s">
        <v>403</v>
      </c>
      <c r="K379" t="str">
        <f>IFERROR(INDEX('Data SCM'!$D$2:$D$698,MATCH($J379,'Data SCM'!$I$2:$I$698,0)),"")</f>
        <v>KG</v>
      </c>
      <c r="L379">
        <f t="shared" si="17"/>
        <v>1</v>
      </c>
    </row>
    <row r="380" spans="1:12" x14ac:dyDescent="0.25">
      <c r="A380" s="3" t="str">
        <f>IFERROR(INDEX('Data SO'!$C$2:$C$1085,MATCH($J380,'Data SO'!$H$2:$H$1085,0)),INDEX('Data SCM'!$B$2:$B$698,MATCH($J380,'Data SCM'!$I$2:$I$698,0)))</f>
        <v>Paprika Merah</v>
      </c>
      <c r="B380" s="3" t="str">
        <f>IFERROR(INDEX('Data SO'!$D$2:$D$1085,MATCH($J380,'Data SO'!$H$2:$H$1085,0)),K380)</f>
        <v>kg</v>
      </c>
      <c r="C380" s="9">
        <f>SUMIF('Data SO'!$H$2:$H$1085,$J380,'Data SO'!$F$2:$F$1085)</f>
        <v>15.5</v>
      </c>
      <c r="D380" s="9">
        <f>SUMIF('Data SCM'!$I$2:$I$698,$J380,'Data SCM'!$E$2:$E$698)*L380</f>
        <v>15.5</v>
      </c>
      <c r="E380" s="9">
        <f t="shared" si="15"/>
        <v>0</v>
      </c>
      <c r="F380" s="4">
        <f>SUMIF('Data SO'!$H$2:$H$1085,$J380,'Data SO'!$G$2:$G$1085)</f>
        <v>2325000</v>
      </c>
      <c r="G380" s="4">
        <f>SUMIF('Data SCM'!$I$2:$I$698,$J380,'Data SCM'!$H$2:$H$698)</f>
        <v>2325000</v>
      </c>
      <c r="H380" s="4">
        <f t="shared" si="16"/>
        <v>0</v>
      </c>
      <c r="I380" s="3" t="str">
        <f>IF(COUNTIF('Data SCM'!$I$2:$I$698,$J380)=0,"Hanya di SO",IF(COUNTIF('Data SO'!$H$2:$H$1085,$J380)=0,"Hanya di SCM",IF(AND(ABS(E380)&lt;0.01,ABS(H380)&lt;1),"Sama",IF(ABS(E380)&lt;0.01,"Selisih nominal",IF(ABS(H380)&lt;1,"Selisih qty","Selisih qty &amp; nominal")))))</f>
        <v>Sama</v>
      </c>
      <c r="J380" t="s">
        <v>404</v>
      </c>
      <c r="K380" t="str">
        <f>IFERROR(INDEX('Data SCM'!$D$2:$D$698,MATCH($J380,'Data SCM'!$I$2:$I$698,0)),"")</f>
        <v>KG</v>
      </c>
      <c r="L380">
        <f t="shared" si="17"/>
        <v>1</v>
      </c>
    </row>
    <row r="381" spans="1:12" x14ac:dyDescent="0.25">
      <c r="A381" s="3" t="str">
        <f>IFERROR(INDEX('Data SO'!$C$2:$C$1085,MATCH($J381,'Data SO'!$H$2:$H$1085,0)),INDEX('Data SCM'!$B$2:$B$698,MATCH($J381,'Data SCM'!$I$2:$I$698,0)))</f>
        <v>Pasta Greentea Toefico</v>
      </c>
      <c r="B381" s="3" t="str">
        <f>IFERROR(INDEX('Data SO'!$D$2:$D$1085,MATCH($J381,'Data SO'!$H$2:$H$1085,0)),K381)</f>
        <v>kg</v>
      </c>
      <c r="C381" s="9">
        <f>SUMIF('Data SO'!$H$2:$H$1085,$J381,'Data SO'!$F$2:$F$1085)</f>
        <v>1</v>
      </c>
      <c r="D381" s="9">
        <f>SUMIF('Data SCM'!$I$2:$I$698,$J381,'Data SCM'!$E$2:$E$698)*L381</f>
        <v>1</v>
      </c>
      <c r="E381" s="9">
        <f t="shared" si="15"/>
        <v>0</v>
      </c>
      <c r="F381" s="4">
        <f>SUMIF('Data SO'!$H$2:$H$1085,$J381,'Data SO'!$G$2:$G$1085)</f>
        <v>277500</v>
      </c>
      <c r="G381" s="4">
        <f>SUMIF('Data SCM'!$I$2:$I$698,$J381,'Data SCM'!$H$2:$H$698)</f>
        <v>277500</v>
      </c>
      <c r="H381" s="4">
        <f t="shared" si="16"/>
        <v>0</v>
      </c>
      <c r="I381" s="3" t="str">
        <f>IF(COUNTIF('Data SCM'!$I$2:$I$698,$J381)=0,"Hanya di SO",IF(COUNTIF('Data SO'!$H$2:$H$1085,$J381)=0,"Hanya di SCM",IF(AND(ABS(E381)&lt;0.01,ABS(H381)&lt;1),"Sama",IF(ABS(E381)&lt;0.01,"Selisih nominal",IF(ABS(H381)&lt;1,"Selisih qty","Selisih qty &amp; nominal")))))</f>
        <v>Sama</v>
      </c>
      <c r="J381" t="s">
        <v>405</v>
      </c>
      <c r="K381" t="str">
        <f>IFERROR(INDEX('Data SCM'!$D$2:$D$698,MATCH($J381,'Data SCM'!$I$2:$I$698,0)),"")</f>
        <v>KG</v>
      </c>
      <c r="L381">
        <f t="shared" si="17"/>
        <v>1</v>
      </c>
    </row>
    <row r="382" spans="1:12" x14ac:dyDescent="0.25">
      <c r="A382" s="3" t="str">
        <f>IFERROR(INDEX('Data SO'!$C$2:$C$1085,MATCH($J382,'Data SO'!$H$2:$H$1085,0)),INDEX('Data SCM'!$B$2:$B$698,MATCH($J382,'Data SCM'!$I$2:$I$698,0)))</f>
        <v>Pasta Pandan Cap Kupu-Kupu @6X12X60Ml</v>
      </c>
      <c r="B382" s="3" t="str">
        <f>IFERROR(INDEX('Data SO'!$D$2:$D$1085,MATCH($J382,'Data SO'!$H$2:$H$1085,0)),K382)</f>
        <v>pcs</v>
      </c>
      <c r="C382" s="9">
        <f>SUMIF('Data SO'!$H$2:$H$1085,$J382,'Data SO'!$F$2:$F$1085)</f>
        <v>25</v>
      </c>
      <c r="D382" s="9">
        <f>SUMIF('Data SCM'!$I$2:$I$698,$J382,'Data SCM'!$E$2:$E$698)*L382</f>
        <v>25</v>
      </c>
      <c r="E382" s="9">
        <f t="shared" si="15"/>
        <v>0</v>
      </c>
      <c r="F382" s="4">
        <f>SUMIF('Data SO'!$H$2:$H$1085,$J382,'Data SO'!$G$2:$G$1085)</f>
        <v>182729.125</v>
      </c>
      <c r="G382" s="4">
        <f>SUMIF('Data SCM'!$I$2:$I$698,$J382,'Data SCM'!$H$2:$H$698)</f>
        <v>182729.125</v>
      </c>
      <c r="H382" s="4">
        <f t="shared" si="16"/>
        <v>0</v>
      </c>
      <c r="I382" s="3" t="str">
        <f>IF(COUNTIF('Data SCM'!$I$2:$I$698,$J382)=0,"Hanya di SO",IF(COUNTIF('Data SO'!$H$2:$H$1085,$J382)=0,"Hanya di SCM",IF(AND(ABS(E382)&lt;0.01,ABS(H382)&lt;1),"Sama",IF(ABS(E382)&lt;0.01,"Selisih nominal",IF(ABS(H382)&lt;1,"Selisih qty","Selisih qty &amp; nominal")))))</f>
        <v>Sama</v>
      </c>
      <c r="J382" t="s">
        <v>406</v>
      </c>
      <c r="K382" t="str">
        <f>IFERROR(INDEX('Data SCM'!$D$2:$D$698,MATCH($J382,'Data SCM'!$I$2:$I$698,0)),"")</f>
        <v>PCS</v>
      </c>
      <c r="L382">
        <f t="shared" si="17"/>
        <v>1</v>
      </c>
    </row>
    <row r="383" spans="1:12" x14ac:dyDescent="0.25">
      <c r="A383" s="3" t="str">
        <f>IFERROR(INDEX('Data SO'!$C$2:$C$1085,MATCH($J383,'Data SO'!$H$2:$H$1085,0)),INDEX('Data SCM'!$B$2:$B$698,MATCH($J383,'Data SCM'!$I$2:$I$698,0)))</f>
        <v>Pasta Taro Brehmen</v>
      </c>
      <c r="B383" s="3" t="str">
        <f>IFERROR(INDEX('Data SO'!$D$2:$D$1085,MATCH($J383,'Data SO'!$H$2:$H$1085,0)),K383)</f>
        <v>kg</v>
      </c>
      <c r="C383" s="9">
        <f>SUMIF('Data SO'!$H$2:$H$1085,$J383,'Data SO'!$F$2:$F$1085)</f>
        <v>160</v>
      </c>
      <c r="D383" s="9">
        <f>SUMIF('Data SCM'!$I$2:$I$698,$J383,'Data SCM'!$E$2:$E$698)*L383</f>
        <v>160</v>
      </c>
      <c r="E383" s="9">
        <f t="shared" si="15"/>
        <v>0</v>
      </c>
      <c r="F383" s="4">
        <f>SUMIF('Data SO'!$H$2:$H$1085,$J383,'Data SO'!$G$2:$G$1085)</f>
        <v>20800000</v>
      </c>
      <c r="G383" s="4">
        <f>SUMIF('Data SCM'!$I$2:$I$698,$J383,'Data SCM'!$H$2:$H$698)</f>
        <v>20800000</v>
      </c>
      <c r="H383" s="4">
        <f t="shared" si="16"/>
        <v>0</v>
      </c>
      <c r="I383" s="3" t="str">
        <f>IF(COUNTIF('Data SCM'!$I$2:$I$698,$J383)=0,"Hanya di SO",IF(COUNTIF('Data SO'!$H$2:$H$1085,$J383)=0,"Hanya di SCM",IF(AND(ABS(E383)&lt;0.01,ABS(H383)&lt;1),"Sama",IF(ABS(E383)&lt;0.01,"Selisih nominal",IF(ABS(H383)&lt;1,"Selisih qty","Selisih qty &amp; nominal")))))</f>
        <v>Sama</v>
      </c>
      <c r="J383" t="s">
        <v>407</v>
      </c>
      <c r="K383" t="str">
        <f>IFERROR(INDEX('Data SCM'!$D$2:$D$698,MATCH($J383,'Data SCM'!$I$2:$I$698,0)),"")</f>
        <v>KG</v>
      </c>
      <c r="L383">
        <f t="shared" si="17"/>
        <v>1</v>
      </c>
    </row>
    <row r="384" spans="1:12" x14ac:dyDescent="0.25">
      <c r="A384" s="3" t="str">
        <f>IFERROR(INDEX('Data SO'!$C$2:$C$1085,MATCH($J384,'Data SO'!$H$2:$H$1085,0)),INDEX('Data SCM'!$B$2:$B$698,MATCH($J384,'Data SCM'!$I$2:$I$698,0)))</f>
        <v>Piring kue Silver @1x300x10 pcs</v>
      </c>
      <c r="B384" s="3" t="str">
        <f>IFERROR(INDEX('Data SO'!$D$2:$D$1085,MATCH($J384,'Data SO'!$H$2:$H$1085,0)),K384)</f>
        <v>Pcs</v>
      </c>
      <c r="C384" s="9">
        <f>SUMIF('Data SO'!$H$2:$H$1085,$J384,'Data SO'!$F$2:$F$1085)</f>
        <v>4536</v>
      </c>
      <c r="D384" s="9">
        <f>SUMIF('Data SCM'!$I$2:$I$698,$J384,'Data SCM'!$E$2:$E$698)*L384</f>
        <v>4536</v>
      </c>
      <c r="E384" s="9">
        <f t="shared" si="15"/>
        <v>0</v>
      </c>
      <c r="F384" s="4">
        <f>SUMIF('Data SO'!$H$2:$H$1085,$J384,'Data SO'!$G$2:$G$1085)</f>
        <v>453600</v>
      </c>
      <c r="G384" s="4">
        <f>SUMIF('Data SCM'!$I$2:$I$698,$J384,'Data SCM'!$H$2:$H$698)</f>
        <v>453600</v>
      </c>
      <c r="H384" s="4">
        <f t="shared" si="16"/>
        <v>0</v>
      </c>
      <c r="I384" s="3" t="str">
        <f>IF(COUNTIF('Data SCM'!$I$2:$I$698,$J384)=0,"Hanya di SO",IF(COUNTIF('Data SO'!$H$2:$H$1085,$J384)=0,"Hanya di SCM",IF(AND(ABS(E384)&lt;0.01,ABS(H384)&lt;1),"Sama",IF(ABS(E384)&lt;0.01,"Selisih nominal",IF(ABS(H384)&lt;1,"Selisih qty","Selisih qty &amp; nominal")))))</f>
        <v>Sama</v>
      </c>
      <c r="J384" t="s">
        <v>408</v>
      </c>
      <c r="K384" t="str">
        <f>IFERROR(INDEX('Data SCM'!$D$2:$D$698,MATCH($J384,'Data SCM'!$I$2:$I$698,0)),"")</f>
        <v>PCS</v>
      </c>
      <c r="L384">
        <f t="shared" si="17"/>
        <v>1</v>
      </c>
    </row>
    <row r="385" spans="1:12" x14ac:dyDescent="0.25">
      <c r="A385" s="3" t="str">
        <f>IFERROR(INDEX('Data SO'!$C$2:$C$1085,MATCH($J385,'Data SO'!$H$2:$H$1085,0)),INDEX('Data SCM'!$B$2:$B$698,MATCH($J385,'Data SCM'!$I$2:$I$698,0)))</f>
        <v>Piring kue emas @1x250x10 pcs</v>
      </c>
      <c r="B385" s="3" t="str">
        <f>IFERROR(INDEX('Data SO'!$D$2:$D$1085,MATCH($J385,'Data SO'!$H$2:$H$1085,0)),K385)</f>
        <v>Pcs</v>
      </c>
      <c r="C385" s="9">
        <f>SUMIF('Data SO'!$H$2:$H$1085,$J385,'Data SO'!$F$2:$F$1085)</f>
        <v>2200</v>
      </c>
      <c r="D385" s="9">
        <f>SUMIF('Data SCM'!$I$2:$I$698,$J385,'Data SCM'!$E$2:$E$698)*L385</f>
        <v>2200</v>
      </c>
      <c r="E385" s="9">
        <f t="shared" si="15"/>
        <v>0</v>
      </c>
      <c r="F385" s="4">
        <f>SUMIF('Data SO'!$H$2:$H$1085,$J385,'Data SO'!$G$2:$G$1085)</f>
        <v>198000</v>
      </c>
      <c r="G385" s="4">
        <f>SUMIF('Data SCM'!$I$2:$I$698,$J385,'Data SCM'!$H$2:$H$698)</f>
        <v>198000</v>
      </c>
      <c r="H385" s="4">
        <f t="shared" si="16"/>
        <v>0</v>
      </c>
      <c r="I385" s="3" t="str">
        <f>IF(COUNTIF('Data SCM'!$I$2:$I$698,$J385)=0,"Hanya di SO",IF(COUNTIF('Data SO'!$H$2:$H$1085,$J385)=0,"Hanya di SCM",IF(AND(ABS(E385)&lt;0.01,ABS(H385)&lt;1),"Sama",IF(ABS(E385)&lt;0.01,"Selisih nominal",IF(ABS(H385)&lt;1,"Selisih qty","Selisih qty &amp; nominal")))))</f>
        <v>Sama</v>
      </c>
      <c r="J385" t="s">
        <v>409</v>
      </c>
      <c r="K385" t="str">
        <f>IFERROR(INDEX('Data SCM'!$D$2:$D$698,MATCH($J385,'Data SCM'!$I$2:$I$698,0)),"")</f>
        <v>PCS</v>
      </c>
      <c r="L385">
        <f t="shared" si="17"/>
        <v>1</v>
      </c>
    </row>
    <row r="386" spans="1:12" x14ac:dyDescent="0.25">
      <c r="A386" s="3" t="str">
        <f>IFERROR(INDEX('Data SO'!$C$2:$C$1085,MATCH($J386,'Data SO'!$H$2:$H$1085,0)),INDEX('Data SCM'!$B$2:$B$698,MATCH($J386,'Data SCM'!$I$2:$I$698,0)))</f>
        <v>Pisang Raja Matang</v>
      </c>
      <c r="B386" s="3" t="str">
        <f>IFERROR(INDEX('Data SO'!$D$2:$D$1085,MATCH($J386,'Data SO'!$H$2:$H$1085,0)),K386)</f>
        <v>kg</v>
      </c>
      <c r="C386" s="9">
        <f>SUMIF('Data SO'!$H$2:$H$1085,$J386,'Data SO'!$F$2:$F$1085)</f>
        <v>130.6</v>
      </c>
      <c r="D386" s="9">
        <f>SUMIF('Data SCM'!$I$2:$I$698,$J386,'Data SCM'!$E$2:$E$698)*L386</f>
        <v>130.6</v>
      </c>
      <c r="E386" s="9">
        <f t="shared" ref="E386:E449" si="18">D386-C386</f>
        <v>0</v>
      </c>
      <c r="F386" s="4">
        <f>SUMIF('Data SO'!$H$2:$H$1085,$J386,'Data SO'!$G$2:$G$1085)</f>
        <v>1371300</v>
      </c>
      <c r="G386" s="4">
        <f>SUMIF('Data SCM'!$I$2:$I$698,$J386,'Data SCM'!$H$2:$H$698)</f>
        <v>1371300</v>
      </c>
      <c r="H386" s="4">
        <f t="shared" ref="H386:H449" si="19">G386-F386</f>
        <v>0</v>
      </c>
      <c r="I386" s="3" t="str">
        <f>IF(COUNTIF('Data SCM'!$I$2:$I$698,$J386)=0,"Hanya di SO",IF(COUNTIF('Data SO'!$H$2:$H$1085,$J386)=0,"Hanya di SCM",IF(AND(ABS(E386)&lt;0.01,ABS(H386)&lt;1),"Sama",IF(ABS(E386)&lt;0.01,"Selisih nominal",IF(ABS(H386)&lt;1,"Selisih qty","Selisih qty &amp; nominal")))))</f>
        <v>Sama</v>
      </c>
      <c r="J386" t="s">
        <v>410</v>
      </c>
      <c r="K386" t="str">
        <f>IFERROR(INDEX('Data SCM'!$D$2:$D$698,MATCH($J386,'Data SCM'!$I$2:$I$698,0)),"")</f>
        <v>KG</v>
      </c>
      <c r="L386">
        <f t="shared" ref="L386:L449" si="20">IF(OR(AND(K386="GR",LOWER(B386)="kg"),AND(K386="ML",LOWER(B386)="liter")),0.001,1)</f>
        <v>1</v>
      </c>
    </row>
    <row r="387" spans="1:12" x14ac:dyDescent="0.25">
      <c r="A387" s="3" t="str">
        <f>IFERROR(INDEX('Data SO'!$C$2:$C$1085,MATCH($J387,'Data SO'!$H$2:$H$1085,0)),INDEX('Data SCM'!$B$2:$B$698,MATCH($J387,'Data SCM'!$I$2:$I$698,0)))</f>
        <v>Pisau Kue Plastik Besar</v>
      </c>
      <c r="B387" s="3" t="str">
        <f>IFERROR(INDEX('Data SO'!$D$2:$D$1085,MATCH($J387,'Data SO'!$H$2:$H$1085,0)),K387)</f>
        <v>Pcs</v>
      </c>
      <c r="C387" s="9">
        <f>SUMIF('Data SO'!$H$2:$H$1085,$J387,'Data SO'!$F$2:$F$1085)</f>
        <v>7500</v>
      </c>
      <c r="D387" s="9">
        <f>SUMIF('Data SCM'!$I$2:$I$698,$J387,'Data SCM'!$E$2:$E$698)*L387</f>
        <v>7500</v>
      </c>
      <c r="E387" s="9">
        <f t="shared" si="18"/>
        <v>0</v>
      </c>
      <c r="F387" s="4">
        <f>SUMIF('Data SO'!$H$2:$H$1085,$J387,'Data SO'!$G$2:$G$1085)</f>
        <v>3750000</v>
      </c>
      <c r="G387" s="4">
        <f>SUMIF('Data SCM'!$I$2:$I$698,$J387,'Data SCM'!$H$2:$H$698)</f>
        <v>3750000</v>
      </c>
      <c r="H387" s="4">
        <f t="shared" si="19"/>
        <v>0</v>
      </c>
      <c r="I387" s="3" t="str">
        <f>IF(COUNTIF('Data SCM'!$I$2:$I$698,$J387)=0,"Hanya di SO",IF(COUNTIF('Data SO'!$H$2:$H$1085,$J387)=0,"Hanya di SCM",IF(AND(ABS(E387)&lt;0.01,ABS(H387)&lt;1),"Sama",IF(ABS(E387)&lt;0.01,"Selisih nominal",IF(ABS(H387)&lt;1,"Selisih qty","Selisih qty &amp; nominal")))))</f>
        <v>Sama</v>
      </c>
      <c r="J387" t="s">
        <v>411</v>
      </c>
      <c r="K387" t="str">
        <f>IFERROR(INDEX('Data SCM'!$D$2:$D$698,MATCH($J387,'Data SCM'!$I$2:$I$698,0)),"")</f>
        <v>PCS</v>
      </c>
      <c r="L387">
        <f t="shared" si="20"/>
        <v>1</v>
      </c>
    </row>
    <row r="388" spans="1:12" x14ac:dyDescent="0.25">
      <c r="A388" s="3" t="str">
        <f>IFERROR(INDEX('Data SO'!$C$2:$C$1085,MATCH($J388,'Data SO'!$H$2:$H$1085,0)),INDEX('Data SCM'!$B$2:$B$698,MATCH($J388,'Data SCM'!$I$2:$I$698,0)))</f>
        <v>Plastik Opp 10X30</v>
      </c>
      <c r="B388" s="3" t="str">
        <f>IFERROR(INDEX('Data SO'!$D$2:$D$1085,MATCH($J388,'Data SO'!$H$2:$H$1085,0)),K388)</f>
        <v>Pcs</v>
      </c>
      <c r="C388" s="9">
        <f>SUMIF('Data SO'!$H$2:$H$1085,$J388,'Data SO'!$F$2:$F$1085)</f>
        <v>1600</v>
      </c>
      <c r="D388" s="9">
        <f>SUMIF('Data SCM'!$I$2:$I$698,$J388,'Data SCM'!$E$2:$E$698)*L388</f>
        <v>1600</v>
      </c>
      <c r="E388" s="9">
        <f t="shared" si="18"/>
        <v>0</v>
      </c>
      <c r="F388" s="4">
        <f>SUMIF('Data SO'!$H$2:$H$1085,$J388,'Data SO'!$G$2:$G$1085)</f>
        <v>304000</v>
      </c>
      <c r="G388" s="4">
        <f>SUMIF('Data SCM'!$I$2:$I$698,$J388,'Data SCM'!$H$2:$H$698)</f>
        <v>304000</v>
      </c>
      <c r="H388" s="4">
        <f t="shared" si="19"/>
        <v>0</v>
      </c>
      <c r="I388" s="3" t="str">
        <f>IF(COUNTIF('Data SCM'!$I$2:$I$698,$J388)=0,"Hanya di SO",IF(COUNTIF('Data SO'!$H$2:$H$1085,$J388)=0,"Hanya di SCM",IF(AND(ABS(E388)&lt;0.01,ABS(H388)&lt;1),"Sama",IF(ABS(E388)&lt;0.01,"Selisih nominal",IF(ABS(H388)&lt;1,"Selisih qty","Selisih qty &amp; nominal")))))</f>
        <v>Sama</v>
      </c>
      <c r="J388" t="s">
        <v>412</v>
      </c>
      <c r="K388" t="str">
        <f>IFERROR(INDEX('Data SCM'!$D$2:$D$698,MATCH($J388,'Data SCM'!$I$2:$I$698,0)),"")</f>
        <v>PCS</v>
      </c>
      <c r="L388">
        <f t="shared" si="20"/>
        <v>1</v>
      </c>
    </row>
    <row r="389" spans="1:12" x14ac:dyDescent="0.25">
      <c r="A389" s="3" t="str">
        <f>IFERROR(INDEX('Data SO'!$C$2:$C$1085,MATCH($J389,'Data SO'!$H$2:$H$1085,0)),INDEX('Data SCM'!$B$2:$B$698,MATCH($J389,'Data SCM'!$I$2:$I$698,0)))</f>
        <v>Plastik Pe 12X30 (Cap Bawang)</v>
      </c>
      <c r="B389" s="3" t="str">
        <f>IFERROR(INDEX('Data SO'!$D$2:$D$1085,MATCH($J389,'Data SO'!$H$2:$H$1085,0)),K389)</f>
        <v>kg</v>
      </c>
      <c r="C389" s="9">
        <f>SUMIF('Data SO'!$H$2:$H$1085,$J389,'Data SO'!$F$2:$F$1085)</f>
        <v>75</v>
      </c>
      <c r="D389" s="9">
        <f>SUMIF('Data SCM'!$I$2:$I$698,$J389,'Data SCM'!$E$2:$E$698)*L389</f>
        <v>75</v>
      </c>
      <c r="E389" s="9">
        <f t="shared" si="18"/>
        <v>0</v>
      </c>
      <c r="F389" s="4">
        <f>SUMIF('Data SO'!$H$2:$H$1085,$J389,'Data SO'!$G$2:$G$1085)</f>
        <v>3210000</v>
      </c>
      <c r="G389" s="4">
        <f>SUMIF('Data SCM'!$I$2:$I$698,$J389,'Data SCM'!$H$2:$H$698)</f>
        <v>3210000</v>
      </c>
      <c r="H389" s="4">
        <f t="shared" si="19"/>
        <v>0</v>
      </c>
      <c r="I389" s="3" t="str">
        <f>IF(COUNTIF('Data SCM'!$I$2:$I$698,$J389)=0,"Hanya di SO",IF(COUNTIF('Data SO'!$H$2:$H$1085,$J389)=0,"Hanya di SCM",IF(AND(ABS(E389)&lt;0.01,ABS(H389)&lt;1),"Sama",IF(ABS(E389)&lt;0.01,"Selisih nominal",IF(ABS(H389)&lt;1,"Selisih qty","Selisih qty &amp; nominal")))))</f>
        <v>Sama</v>
      </c>
      <c r="J389" t="s">
        <v>413</v>
      </c>
      <c r="K389" t="str">
        <f>IFERROR(INDEX('Data SCM'!$D$2:$D$698,MATCH($J389,'Data SCM'!$I$2:$I$698,0)),"")</f>
        <v>KG</v>
      </c>
      <c r="L389">
        <f t="shared" si="20"/>
        <v>1</v>
      </c>
    </row>
    <row r="390" spans="1:12" x14ac:dyDescent="0.25">
      <c r="A390" s="3" t="str">
        <f>IFERROR(INDEX('Data SO'!$C$2:$C$1085,MATCH($J390,'Data SO'!$H$2:$H$1085,0)),INDEX('Data SCM'!$B$2:$B$698,MATCH($J390,'Data SCM'!$I$2:$I$698,0)))</f>
        <v>Plastik Pe 14X35 (Cap Bawang)</v>
      </c>
      <c r="B390" s="3" t="str">
        <f>IFERROR(INDEX('Data SO'!$D$2:$D$1085,MATCH($J390,'Data SO'!$H$2:$H$1085,0)),K390)</f>
        <v>kg</v>
      </c>
      <c r="C390" s="9">
        <f>SUMIF('Data SO'!$H$2:$H$1085,$J390,'Data SO'!$F$2:$F$1085)</f>
        <v>161</v>
      </c>
      <c r="D390" s="9">
        <f>SUMIF('Data SCM'!$I$2:$I$698,$J390,'Data SCM'!$E$2:$E$698)*L390</f>
        <v>161</v>
      </c>
      <c r="E390" s="9">
        <f t="shared" si="18"/>
        <v>0</v>
      </c>
      <c r="F390" s="4">
        <f>SUMIF('Data SO'!$H$2:$H$1085,$J390,'Data SO'!$G$2:$G$1085)</f>
        <v>6890800</v>
      </c>
      <c r="G390" s="4">
        <f>SUMIF('Data SCM'!$I$2:$I$698,$J390,'Data SCM'!$H$2:$H$698)</f>
        <v>6890800</v>
      </c>
      <c r="H390" s="4">
        <f t="shared" si="19"/>
        <v>0</v>
      </c>
      <c r="I390" s="3" t="str">
        <f>IF(COUNTIF('Data SCM'!$I$2:$I$698,$J390)=0,"Hanya di SO",IF(COUNTIF('Data SO'!$H$2:$H$1085,$J390)=0,"Hanya di SCM",IF(AND(ABS(E390)&lt;0.01,ABS(H390)&lt;1),"Sama",IF(ABS(E390)&lt;0.01,"Selisih nominal",IF(ABS(H390)&lt;1,"Selisih qty","Selisih qty &amp; nominal")))))</f>
        <v>Sama</v>
      </c>
      <c r="J390" t="s">
        <v>414</v>
      </c>
      <c r="K390" t="str">
        <f>IFERROR(INDEX('Data SCM'!$D$2:$D$698,MATCH($J390,'Data SCM'!$I$2:$I$698,0)),"")</f>
        <v>KG</v>
      </c>
      <c r="L390">
        <f t="shared" si="20"/>
        <v>1</v>
      </c>
    </row>
    <row r="391" spans="1:12" x14ac:dyDescent="0.25">
      <c r="A391" s="3" t="str">
        <f>IFERROR(INDEX('Data SO'!$C$2:$C$1085,MATCH($J391,'Data SO'!$H$2:$H$1085,0)),INDEX('Data SCM'!$B$2:$B$698,MATCH($J391,'Data SCM'!$I$2:$I$698,0)))</f>
        <v>Plastik Pe 20X40 (Cap Bawang)</v>
      </c>
      <c r="B391" s="3" t="str">
        <f>IFERROR(INDEX('Data SO'!$D$2:$D$1085,MATCH($J391,'Data SO'!$H$2:$H$1085,0)),K391)</f>
        <v>kg</v>
      </c>
      <c r="C391" s="9">
        <f>SUMIF('Data SO'!$H$2:$H$1085,$J391,'Data SO'!$F$2:$F$1085)</f>
        <v>49</v>
      </c>
      <c r="D391" s="9">
        <f>SUMIF('Data SCM'!$I$2:$I$698,$J391,'Data SCM'!$E$2:$E$698)*L391</f>
        <v>49</v>
      </c>
      <c r="E391" s="9">
        <f t="shared" si="18"/>
        <v>0</v>
      </c>
      <c r="F391" s="4">
        <f>SUMIF('Data SO'!$H$2:$H$1085,$J391,'Data SO'!$G$2:$G$1085)</f>
        <v>2097200</v>
      </c>
      <c r="G391" s="4">
        <f>SUMIF('Data SCM'!$I$2:$I$698,$J391,'Data SCM'!$H$2:$H$698)</f>
        <v>2097200</v>
      </c>
      <c r="H391" s="4">
        <f t="shared" si="19"/>
        <v>0</v>
      </c>
      <c r="I391" s="3" t="str">
        <f>IF(COUNTIF('Data SCM'!$I$2:$I$698,$J391)=0,"Hanya di SO",IF(COUNTIF('Data SO'!$H$2:$H$1085,$J391)=0,"Hanya di SCM",IF(AND(ABS(E391)&lt;0.01,ABS(H391)&lt;1),"Sama",IF(ABS(E391)&lt;0.01,"Selisih nominal",IF(ABS(H391)&lt;1,"Selisih qty","Selisih qty &amp; nominal")))))</f>
        <v>Sama</v>
      </c>
      <c r="J391" t="s">
        <v>415</v>
      </c>
      <c r="K391" t="str">
        <f>IFERROR(INDEX('Data SCM'!$D$2:$D$698,MATCH($J391,'Data SCM'!$I$2:$I$698,0)),"")</f>
        <v>KG</v>
      </c>
      <c r="L391">
        <f t="shared" si="20"/>
        <v>1</v>
      </c>
    </row>
    <row r="392" spans="1:12" x14ac:dyDescent="0.25">
      <c r="A392" s="3" t="str">
        <f>IFERROR(INDEX('Data SO'!$C$2:$C$1085,MATCH($J392,'Data SO'!$H$2:$H$1085,0)),INDEX('Data SCM'!$B$2:$B$698,MATCH($J392,'Data SCM'!$I$2:$I$698,0)))</f>
        <v>Plastik Pe 3,8X25 (Cap Bawang)</v>
      </c>
      <c r="B392" s="3" t="str">
        <f>IFERROR(INDEX('Data SO'!$D$2:$D$1085,MATCH($J392,'Data SO'!$H$2:$H$1085,0)),K392)</f>
        <v>kg</v>
      </c>
      <c r="C392" s="9">
        <f>SUMIF('Data SO'!$H$2:$H$1085,$J392,'Data SO'!$F$2:$F$1085)</f>
        <v>44</v>
      </c>
      <c r="D392" s="9">
        <f>SUMIF('Data SCM'!$I$2:$I$698,$J392,'Data SCM'!$E$2:$E$698)*L392</f>
        <v>44</v>
      </c>
      <c r="E392" s="9">
        <f t="shared" si="18"/>
        <v>0</v>
      </c>
      <c r="F392" s="4">
        <f>SUMIF('Data SO'!$H$2:$H$1085,$J392,'Data SO'!$G$2:$G$1085)</f>
        <v>1210000</v>
      </c>
      <c r="G392" s="4">
        <f>SUMIF('Data SCM'!$I$2:$I$698,$J392,'Data SCM'!$H$2:$H$698)</f>
        <v>1210000</v>
      </c>
      <c r="H392" s="4">
        <f t="shared" si="19"/>
        <v>0</v>
      </c>
      <c r="I392" s="3" t="str">
        <f>IF(COUNTIF('Data SCM'!$I$2:$I$698,$J392)=0,"Hanya di SO",IF(COUNTIF('Data SO'!$H$2:$H$1085,$J392)=0,"Hanya di SCM",IF(AND(ABS(E392)&lt;0.01,ABS(H392)&lt;1),"Sama",IF(ABS(E392)&lt;0.01,"Selisih nominal",IF(ABS(H392)&lt;1,"Selisih qty","Selisih qty &amp; nominal")))))</f>
        <v>Sama</v>
      </c>
      <c r="J392" t="s">
        <v>416</v>
      </c>
      <c r="K392" t="str">
        <f>IFERROR(INDEX('Data SCM'!$D$2:$D$698,MATCH($J392,'Data SCM'!$I$2:$I$698,0)),"")</f>
        <v>KG</v>
      </c>
      <c r="L392">
        <f t="shared" si="20"/>
        <v>1</v>
      </c>
    </row>
    <row r="393" spans="1:12" x14ac:dyDescent="0.25">
      <c r="A393" s="3" t="str">
        <f>IFERROR(INDEX('Data SO'!$C$2:$C$1085,MATCH($J393,'Data SO'!$H$2:$H$1085,0)),INDEX('Data SCM'!$B$2:$B$698,MATCH($J393,'Data SCM'!$I$2:$I$698,0)))</f>
        <v>Plastik Roti Tawar Vol 22</v>
      </c>
      <c r="B393" s="3" t="str">
        <f>IFERROR(INDEX('Data SO'!$D$2:$D$1085,MATCH($J393,'Data SO'!$H$2:$H$1085,0)),K393)</f>
        <v>Pcs</v>
      </c>
      <c r="C393" s="9">
        <f>SUMIF('Data SO'!$H$2:$H$1085,$J393,'Data SO'!$F$2:$F$1085)</f>
        <v>90000</v>
      </c>
      <c r="D393" s="9">
        <f>SUMIF('Data SCM'!$I$2:$I$698,$J393,'Data SCM'!$E$2:$E$698)*L393</f>
        <v>90000</v>
      </c>
      <c r="E393" s="9">
        <f t="shared" si="18"/>
        <v>0</v>
      </c>
      <c r="F393" s="4">
        <f>SUMIF('Data SO'!$H$2:$H$1085,$J393,'Data SO'!$G$2:$G$1085)</f>
        <v>102060000</v>
      </c>
      <c r="G393" s="4">
        <f>SUMIF('Data SCM'!$I$2:$I$698,$J393,'Data SCM'!$H$2:$H$698)</f>
        <v>102060000</v>
      </c>
      <c r="H393" s="4">
        <f t="shared" si="19"/>
        <v>0</v>
      </c>
      <c r="I393" s="3" t="str">
        <f>IF(COUNTIF('Data SCM'!$I$2:$I$698,$J393)=0,"Hanya di SO",IF(COUNTIF('Data SO'!$H$2:$H$1085,$J393)=0,"Hanya di SCM",IF(AND(ABS(E393)&lt;0.01,ABS(H393)&lt;1),"Sama",IF(ABS(E393)&lt;0.01,"Selisih nominal",IF(ABS(H393)&lt;1,"Selisih qty","Selisih qty &amp; nominal")))))</f>
        <v>Sama</v>
      </c>
      <c r="J393" t="s">
        <v>417</v>
      </c>
      <c r="K393" t="str">
        <f>IFERROR(INDEX('Data SCM'!$D$2:$D$698,MATCH($J393,'Data SCM'!$I$2:$I$698,0)),"")</f>
        <v>PCS</v>
      </c>
      <c r="L393">
        <f t="shared" si="20"/>
        <v>1</v>
      </c>
    </row>
    <row r="394" spans="1:12" x14ac:dyDescent="0.25">
      <c r="A394" s="3" t="str">
        <f>IFERROR(INDEX('Data SO'!$C$2:$C$1085,MATCH($J394,'Data SO'!$H$2:$H$1085,0)),INDEX('Data SCM'!$B$2:$B$698,MATCH($J394,'Data SCM'!$I$2:$I$698,0)))</f>
        <v>Plastik Segitiga Besar</v>
      </c>
      <c r="B394" s="3" t="str">
        <f>IFERROR(INDEX('Data SO'!$D$2:$D$1085,MATCH($J394,'Data SO'!$H$2:$H$1085,0)),K394)</f>
        <v>Pack</v>
      </c>
      <c r="C394" s="9">
        <f>SUMIF('Data SO'!$H$2:$H$1085,$J394,'Data SO'!$F$2:$F$1085)</f>
        <v>307</v>
      </c>
      <c r="D394" s="9">
        <f>SUMIF('Data SCM'!$I$2:$I$698,$J394,'Data SCM'!$E$2:$E$698)*L394</f>
        <v>307</v>
      </c>
      <c r="E394" s="9">
        <f t="shared" si="18"/>
        <v>0</v>
      </c>
      <c r="F394" s="4">
        <f>SUMIF('Data SO'!$H$2:$H$1085,$J394,'Data SO'!$G$2:$G$1085)</f>
        <v>4912000</v>
      </c>
      <c r="G394" s="4">
        <f>SUMIF('Data SCM'!$I$2:$I$698,$J394,'Data SCM'!$H$2:$H$698)</f>
        <v>4912000</v>
      </c>
      <c r="H394" s="4">
        <f t="shared" si="19"/>
        <v>0</v>
      </c>
      <c r="I394" s="3" t="str">
        <f>IF(COUNTIF('Data SCM'!$I$2:$I$698,$J394)=0,"Hanya di SO",IF(COUNTIF('Data SO'!$H$2:$H$1085,$J394)=0,"Hanya di SCM",IF(AND(ABS(E394)&lt;0.01,ABS(H394)&lt;1),"Sama",IF(ABS(E394)&lt;0.01,"Selisih nominal",IF(ABS(H394)&lt;1,"Selisih qty","Selisih qty &amp; nominal")))))</f>
        <v>Sama</v>
      </c>
      <c r="J394" t="s">
        <v>418</v>
      </c>
      <c r="K394" t="str">
        <f>IFERROR(INDEX('Data SCM'!$D$2:$D$698,MATCH($J394,'Data SCM'!$I$2:$I$698,0)),"")</f>
        <v>PACK</v>
      </c>
      <c r="L394">
        <f t="shared" si="20"/>
        <v>1</v>
      </c>
    </row>
    <row r="395" spans="1:12" x14ac:dyDescent="0.25">
      <c r="A395" s="3" t="str">
        <f>IFERROR(INDEX('Data SO'!$C$2:$C$1085,MATCH($J395,'Data SO'!$H$2:$H$1085,0)),INDEX('Data SCM'!$B$2:$B$698,MATCH($J395,'Data SCM'!$I$2:$I$698,0)))</f>
        <v>Potasium Sorbat @25Kg</v>
      </c>
      <c r="B395" s="3" t="str">
        <f>IFERROR(INDEX('Data SO'!$D$2:$D$1085,MATCH($J395,'Data SO'!$H$2:$H$1085,0)),K395)</f>
        <v>kg</v>
      </c>
      <c r="C395" s="9">
        <f>SUMIF('Data SO'!$H$2:$H$1085,$J395,'Data SO'!$F$2:$F$1085)</f>
        <v>25</v>
      </c>
      <c r="D395" s="9">
        <f>SUMIF('Data SCM'!$I$2:$I$698,$J395,'Data SCM'!$E$2:$E$698)*L395</f>
        <v>25</v>
      </c>
      <c r="E395" s="9">
        <f t="shared" si="18"/>
        <v>0</v>
      </c>
      <c r="F395" s="4">
        <f>SUMIF('Data SO'!$H$2:$H$1085,$J395,'Data SO'!$G$2:$G$1085)</f>
        <v>1500000</v>
      </c>
      <c r="G395" s="4">
        <f>SUMIF('Data SCM'!$I$2:$I$698,$J395,'Data SCM'!$H$2:$H$698)</f>
        <v>1500000</v>
      </c>
      <c r="H395" s="4">
        <f t="shared" si="19"/>
        <v>0</v>
      </c>
      <c r="I395" s="3" t="str">
        <f>IF(COUNTIF('Data SCM'!$I$2:$I$698,$J395)=0,"Hanya di SO",IF(COUNTIF('Data SO'!$H$2:$H$1085,$J395)=0,"Hanya di SCM",IF(AND(ABS(E395)&lt;0.01,ABS(H395)&lt;1),"Sama",IF(ABS(E395)&lt;0.01,"Selisih nominal",IF(ABS(H395)&lt;1,"Selisih qty","Selisih qty &amp; nominal")))))</f>
        <v>Sama</v>
      </c>
      <c r="J395" t="s">
        <v>419</v>
      </c>
      <c r="K395" t="str">
        <f>IFERROR(INDEX('Data SCM'!$D$2:$D$698,MATCH($J395,'Data SCM'!$I$2:$I$698,0)),"")</f>
        <v>KG</v>
      </c>
      <c r="L395">
        <f t="shared" si="20"/>
        <v>1</v>
      </c>
    </row>
    <row r="396" spans="1:12" x14ac:dyDescent="0.25">
      <c r="A396" s="3" t="str">
        <f>IFERROR(INDEX('Data SO'!$C$2:$C$1085,MATCH($J396,'Data SO'!$H$2:$H$1085,0)),INDEX('Data SCM'!$B$2:$B$698,MATCH($J396,'Data SCM'!$I$2:$I$698,0)))</f>
        <v>ROYAL EGG TART</v>
      </c>
      <c r="B396" s="3" t="str">
        <f>IFERROR(INDEX('Data SO'!$D$2:$D$1085,MATCH($J396,'Data SO'!$H$2:$H$1085,0)),K396)</f>
        <v>Pcs</v>
      </c>
      <c r="C396" s="9">
        <f>SUMIF('Data SO'!$H$2:$H$1085,$J396,'Data SO'!$F$2:$F$1085)</f>
        <v>12</v>
      </c>
      <c r="D396" s="9">
        <f>SUMIF('Data SCM'!$I$2:$I$698,$J396,'Data SCM'!$E$2:$E$698)*L396</f>
        <v>12</v>
      </c>
      <c r="E396" s="9">
        <f t="shared" si="18"/>
        <v>0</v>
      </c>
      <c r="F396" s="4">
        <f>SUMIF('Data SO'!$H$2:$H$1085,$J396,'Data SO'!$G$2:$G$1085)</f>
        <v>696000</v>
      </c>
      <c r="G396" s="4">
        <f>SUMIF('Data SCM'!$I$2:$I$698,$J396,'Data SCM'!$H$2:$H$698)</f>
        <v>696000</v>
      </c>
      <c r="H396" s="4">
        <f t="shared" si="19"/>
        <v>0</v>
      </c>
      <c r="I396" s="3" t="str">
        <f>IF(COUNTIF('Data SCM'!$I$2:$I$698,$J396)=0,"Hanya di SO",IF(COUNTIF('Data SO'!$H$2:$H$1085,$J396)=0,"Hanya di SCM",IF(AND(ABS(E396)&lt;0.01,ABS(H396)&lt;1),"Sama",IF(ABS(E396)&lt;0.01,"Selisih nominal",IF(ABS(H396)&lt;1,"Selisih qty","Selisih qty &amp; nominal")))))</f>
        <v>Sama</v>
      </c>
      <c r="J396" t="s">
        <v>420</v>
      </c>
      <c r="K396" t="str">
        <f>IFERROR(INDEX('Data SCM'!$D$2:$D$698,MATCH($J396,'Data SCM'!$I$2:$I$698,0)),"")</f>
        <v>PCS</v>
      </c>
      <c r="L396">
        <f t="shared" si="20"/>
        <v>1</v>
      </c>
    </row>
    <row r="397" spans="1:12" x14ac:dyDescent="0.25">
      <c r="A397" s="3" t="str">
        <f>IFERROR(INDEX('Data SO'!$C$2:$C$1085,MATCH($J397,'Data SO'!$H$2:$H$1085,0)),INDEX('Data SCM'!$B$2:$B$698,MATCH($J397,'Data SCM'!$I$2:$I$698,0)))</f>
        <v>ROYAL SUPER CREAM</v>
      </c>
      <c r="B397" s="3" t="str">
        <f>IFERROR(INDEX('Data SO'!$D$2:$D$1085,MATCH($J397,'Data SO'!$H$2:$H$1085,0)),K397)</f>
        <v>Pcs</v>
      </c>
      <c r="C397" s="9">
        <f>SUMIF('Data SO'!$H$2:$H$1085,$J397,'Data SO'!$F$2:$F$1085)</f>
        <v>180</v>
      </c>
      <c r="D397" s="9">
        <f>SUMIF('Data SCM'!$I$2:$I$698,$J397,'Data SCM'!$E$2:$E$698)*L397</f>
        <v>180</v>
      </c>
      <c r="E397" s="9">
        <f t="shared" si="18"/>
        <v>0</v>
      </c>
      <c r="F397" s="4">
        <f>SUMIF('Data SO'!$H$2:$H$1085,$J397,'Data SO'!$G$2:$G$1085)</f>
        <v>7380000</v>
      </c>
      <c r="G397" s="4">
        <f>SUMIF('Data SCM'!$I$2:$I$698,$J397,'Data SCM'!$H$2:$H$698)</f>
        <v>7380000</v>
      </c>
      <c r="H397" s="4">
        <f t="shared" si="19"/>
        <v>0</v>
      </c>
      <c r="I397" s="3" t="str">
        <f>IF(COUNTIF('Data SCM'!$I$2:$I$698,$J397)=0,"Hanya di SO",IF(COUNTIF('Data SO'!$H$2:$H$1085,$J397)=0,"Hanya di SCM",IF(AND(ABS(E397)&lt;0.01,ABS(H397)&lt;1),"Sama",IF(ABS(E397)&lt;0.01,"Selisih nominal",IF(ABS(H397)&lt;1,"Selisih qty","Selisih qty &amp; nominal")))))</f>
        <v>Sama</v>
      </c>
      <c r="J397" t="s">
        <v>421</v>
      </c>
      <c r="K397" t="str">
        <f>IFERROR(INDEX('Data SCM'!$D$2:$D$698,MATCH($J397,'Data SCM'!$I$2:$I$698,0)),"")</f>
        <v>PCS</v>
      </c>
      <c r="L397">
        <f t="shared" si="20"/>
        <v>1</v>
      </c>
    </row>
    <row r="398" spans="1:12" x14ac:dyDescent="0.25">
      <c r="A398" s="3" t="str">
        <f>IFERROR(INDEX('Data SO'!$C$2:$C$1085,MATCH($J398,'Data SO'!$H$2:$H$1085,0)),INDEX('Data SCM'!$B$2:$B$698,MATCH($J398,'Data SCM'!$I$2:$I$698,0)))</f>
        <v>SANTAN COCOMAXI 65 ML</v>
      </c>
      <c r="B398" s="3" t="str">
        <f>IFERROR(INDEX('Data SO'!$D$2:$D$1085,MATCH($J398,'Data SO'!$H$2:$H$1085,0)),K398)</f>
        <v>Pcs</v>
      </c>
      <c r="C398" s="9">
        <f>SUMIF('Data SO'!$H$2:$H$1085,$J398,'Data SO'!$F$2:$F$1085)</f>
        <v>6</v>
      </c>
      <c r="D398" s="9">
        <f>SUMIF('Data SCM'!$I$2:$I$698,$J398,'Data SCM'!$E$2:$E$698)*L398</f>
        <v>6</v>
      </c>
      <c r="E398" s="9">
        <f t="shared" si="18"/>
        <v>0</v>
      </c>
      <c r="F398" s="4">
        <f>SUMIF('Data SO'!$H$2:$H$1085,$J398,'Data SO'!$G$2:$G$1085)</f>
        <v>30000</v>
      </c>
      <c r="G398" s="4">
        <f>SUMIF('Data SCM'!$I$2:$I$698,$J398,'Data SCM'!$H$2:$H$698)</f>
        <v>30000</v>
      </c>
      <c r="H398" s="4">
        <f t="shared" si="19"/>
        <v>0</v>
      </c>
      <c r="I398" s="3" t="str">
        <f>IF(COUNTIF('Data SCM'!$I$2:$I$698,$J398)=0,"Hanya di SO",IF(COUNTIF('Data SO'!$H$2:$H$1085,$J398)=0,"Hanya di SCM",IF(AND(ABS(E398)&lt;0.01,ABS(H398)&lt;1),"Sama",IF(ABS(E398)&lt;0.01,"Selisih nominal",IF(ABS(H398)&lt;1,"Selisih qty","Selisih qty &amp; nominal")))))</f>
        <v>Sama</v>
      </c>
      <c r="J398" t="s">
        <v>422</v>
      </c>
      <c r="K398" t="str">
        <f>IFERROR(INDEX('Data SCM'!$D$2:$D$698,MATCH($J398,'Data SCM'!$I$2:$I$698,0)),"")</f>
        <v>PCS</v>
      </c>
      <c r="L398">
        <f t="shared" si="20"/>
        <v>1</v>
      </c>
    </row>
    <row r="399" spans="1:12" x14ac:dyDescent="0.25">
      <c r="A399" s="3" t="str">
        <f>IFERROR(INDEX('Data SO'!$C$2:$C$1085,MATCH($J399,'Data SO'!$H$2:$H$1085,0)),INDEX('Data SCM'!$B$2:$B$698,MATCH($J399,'Data SCM'!$I$2:$I$698,0)))</f>
        <v>SAUS TIRAM @ 1 LITER</v>
      </c>
      <c r="B399" s="3" t="str">
        <f>IFERROR(INDEX('Data SO'!$D$2:$D$1085,MATCH($J399,'Data SO'!$H$2:$H$1085,0)),K399)</f>
        <v>liter</v>
      </c>
      <c r="C399" s="9">
        <f>SUMIF('Data SO'!$H$2:$H$1085,$J399,'Data SO'!$F$2:$F$1085)</f>
        <v>1</v>
      </c>
      <c r="D399" s="9">
        <f>SUMIF('Data SCM'!$I$2:$I$698,$J399,'Data SCM'!$E$2:$E$698)*L399</f>
        <v>1</v>
      </c>
      <c r="E399" s="9">
        <f t="shared" si="18"/>
        <v>0</v>
      </c>
      <c r="F399" s="4">
        <f>SUMIF('Data SO'!$H$2:$H$1085,$J399,'Data SO'!$G$2:$G$1085)</f>
        <v>58000</v>
      </c>
      <c r="G399" s="4">
        <f>SUMIF('Data SCM'!$I$2:$I$698,$J399,'Data SCM'!$H$2:$H$698)</f>
        <v>58000</v>
      </c>
      <c r="H399" s="4">
        <f t="shared" si="19"/>
        <v>0</v>
      </c>
      <c r="I399" s="3" t="str">
        <f>IF(COUNTIF('Data SCM'!$I$2:$I$698,$J399)=0,"Hanya di SO",IF(COUNTIF('Data SO'!$H$2:$H$1085,$J399)=0,"Hanya di SCM",IF(AND(ABS(E399)&lt;0.01,ABS(H399)&lt;1),"Sama",IF(ABS(E399)&lt;0.01,"Selisih nominal",IF(ABS(H399)&lt;1,"Selisih qty","Selisih qty &amp; nominal")))))</f>
        <v>Sama</v>
      </c>
      <c r="J399" t="s">
        <v>423</v>
      </c>
      <c r="K399" t="str">
        <f>IFERROR(INDEX('Data SCM'!$D$2:$D$698,MATCH($J399,'Data SCM'!$I$2:$I$698,0)),"")</f>
        <v>ML</v>
      </c>
      <c r="L399">
        <f t="shared" si="20"/>
        <v>1E-3</v>
      </c>
    </row>
    <row r="400" spans="1:12" x14ac:dyDescent="0.25">
      <c r="A400" s="3" t="str">
        <f>IFERROR(INDEX('Data SO'!$C$2:$C$1085,MATCH($J400,'Data SO'!$H$2:$H$1085,0)),INDEX('Data SCM'!$B$2:$B$698,MATCH($J400,'Data SCM'!$I$2:$I$698,0)))</f>
        <v>SENDOK MILKBUN</v>
      </c>
      <c r="B400" s="3" t="str">
        <f>IFERROR(INDEX('Data SO'!$D$2:$D$1085,MATCH($J400,'Data SO'!$H$2:$H$1085,0)),K400)</f>
        <v>Pcs</v>
      </c>
      <c r="C400" s="9">
        <f>SUMIF('Data SO'!$H$2:$H$1085,$J400,'Data SO'!$F$2:$F$1085)</f>
        <v>6200</v>
      </c>
      <c r="D400" s="9">
        <f>SUMIF('Data SCM'!$I$2:$I$698,$J400,'Data SCM'!$E$2:$E$698)*L400</f>
        <v>6200</v>
      </c>
      <c r="E400" s="9">
        <f t="shared" si="18"/>
        <v>0</v>
      </c>
      <c r="F400" s="4">
        <f>SUMIF('Data SO'!$H$2:$H$1085,$J400,'Data SO'!$G$2:$G$1085)</f>
        <v>1041600</v>
      </c>
      <c r="G400" s="4">
        <f>SUMIF('Data SCM'!$I$2:$I$698,$J400,'Data SCM'!$H$2:$H$698)</f>
        <v>1041600</v>
      </c>
      <c r="H400" s="4">
        <f t="shared" si="19"/>
        <v>0</v>
      </c>
      <c r="I400" s="3" t="str">
        <f>IF(COUNTIF('Data SCM'!$I$2:$I$698,$J400)=0,"Hanya di SO",IF(COUNTIF('Data SO'!$H$2:$H$1085,$J400)=0,"Hanya di SCM",IF(AND(ABS(E400)&lt;0.01,ABS(H400)&lt;1),"Sama",IF(ABS(E400)&lt;0.01,"Selisih nominal",IF(ABS(H400)&lt;1,"Selisih qty","Selisih qty &amp; nominal")))))</f>
        <v>Sama</v>
      </c>
      <c r="J400" t="s">
        <v>424</v>
      </c>
      <c r="K400" t="str">
        <f>IFERROR(INDEX('Data SCM'!$D$2:$D$698,MATCH($J400,'Data SCM'!$I$2:$I$698,0)),"")</f>
        <v>PCS</v>
      </c>
      <c r="L400">
        <f t="shared" si="20"/>
        <v>1</v>
      </c>
    </row>
    <row r="401" spans="1:12" x14ac:dyDescent="0.25">
      <c r="A401" s="3" t="str">
        <f>IFERROR(INDEX('Data SO'!$C$2:$C$1085,MATCH($J401,'Data SO'!$H$2:$H$1085,0)),INDEX('Data SCM'!$B$2:$B$698,MATCH($J401,'Data SCM'!$I$2:$I$698,0)))</f>
        <v>SOLATIF</v>
      </c>
      <c r="B401" s="3" t="str">
        <f>IFERROR(INDEX('Data SO'!$D$2:$D$1085,MATCH($J401,'Data SO'!$H$2:$H$1085,0)),K401)</f>
        <v>Pcs</v>
      </c>
      <c r="C401" s="9">
        <f>SUMIF('Data SO'!$H$2:$H$1085,$J401,'Data SO'!$F$2:$F$1085)</f>
        <v>124</v>
      </c>
      <c r="D401" s="9">
        <f>SUMIF('Data SCM'!$I$2:$I$698,$J401,'Data SCM'!$E$2:$E$698)*L401</f>
        <v>124</v>
      </c>
      <c r="E401" s="9">
        <f t="shared" si="18"/>
        <v>0</v>
      </c>
      <c r="F401" s="4">
        <f>SUMIF('Data SO'!$H$2:$H$1085,$J401,'Data SO'!$G$2:$G$1085)</f>
        <v>1550000</v>
      </c>
      <c r="G401" s="4">
        <f>SUMIF('Data SCM'!$I$2:$I$698,$J401,'Data SCM'!$H$2:$H$698)</f>
        <v>1550000</v>
      </c>
      <c r="H401" s="4">
        <f t="shared" si="19"/>
        <v>0</v>
      </c>
      <c r="I401" s="3" t="str">
        <f>IF(COUNTIF('Data SCM'!$I$2:$I$698,$J401)=0,"Hanya di SO",IF(COUNTIF('Data SO'!$H$2:$H$1085,$J401)=0,"Hanya di SCM",IF(AND(ABS(E401)&lt;0.01,ABS(H401)&lt;1),"Sama",IF(ABS(E401)&lt;0.01,"Selisih nominal",IF(ABS(H401)&lt;1,"Selisih qty","Selisih qty &amp; nominal")))))</f>
        <v>Sama</v>
      </c>
      <c r="J401" t="s">
        <v>425</v>
      </c>
      <c r="K401" t="str">
        <f>IFERROR(INDEX('Data SCM'!$D$2:$D$698,MATCH($J401,'Data SCM'!$I$2:$I$698,0)),"")</f>
        <v>PCS</v>
      </c>
      <c r="L401">
        <f t="shared" si="20"/>
        <v>1</v>
      </c>
    </row>
    <row r="402" spans="1:12" x14ac:dyDescent="0.25">
      <c r="A402" s="3" t="str">
        <f>IFERROR(INDEX('Data SO'!$C$2:$C$1085,MATCH($J402,'Data SO'!$H$2:$H$1085,0)),INDEX('Data SCM'!$B$2:$B$698,MATCH($J402,'Data SCM'!$I$2:$I$698,0)))</f>
        <v>SOSIS SAPI MAWAR @ 500 GR</v>
      </c>
      <c r="B402" s="3" t="str">
        <f>IFERROR(INDEX('Data SO'!$D$2:$D$1085,MATCH($J402,'Data SO'!$H$2:$H$1085,0)),K402)</f>
        <v>gram</v>
      </c>
      <c r="C402" s="9">
        <f>SUMIF('Data SO'!$H$2:$H$1085,$J402,'Data SO'!$F$2:$F$1085)</f>
        <v>12500</v>
      </c>
      <c r="D402" s="9">
        <f>SUMIF('Data SCM'!$I$2:$I$698,$J402,'Data SCM'!$E$2:$E$698)*L402</f>
        <v>12500</v>
      </c>
      <c r="E402" s="9">
        <f t="shared" si="18"/>
        <v>0</v>
      </c>
      <c r="F402" s="4">
        <f>SUMIF('Data SO'!$H$2:$H$1085,$J402,'Data SO'!$G$2:$G$1085)</f>
        <v>400000</v>
      </c>
      <c r="G402" s="4">
        <f>SUMIF('Data SCM'!$I$2:$I$698,$J402,'Data SCM'!$H$2:$H$698)</f>
        <v>400000</v>
      </c>
      <c r="H402" s="4">
        <f t="shared" si="19"/>
        <v>0</v>
      </c>
      <c r="I402" s="3" t="str">
        <f>IF(COUNTIF('Data SCM'!$I$2:$I$698,$J402)=0,"Hanya di SO",IF(COUNTIF('Data SO'!$H$2:$H$1085,$J402)=0,"Hanya di SCM",IF(AND(ABS(E402)&lt;0.01,ABS(H402)&lt;1),"Sama",IF(ABS(E402)&lt;0.01,"Selisih nominal",IF(ABS(H402)&lt;1,"Selisih qty","Selisih qty &amp; nominal")))))</f>
        <v>Sama</v>
      </c>
      <c r="J402" t="s">
        <v>426</v>
      </c>
      <c r="K402" t="str">
        <f>IFERROR(INDEX('Data SCM'!$D$2:$D$698,MATCH($J402,'Data SCM'!$I$2:$I$698,0)),"")</f>
        <v>GR</v>
      </c>
      <c r="L402">
        <f t="shared" si="20"/>
        <v>1</v>
      </c>
    </row>
    <row r="403" spans="1:12" x14ac:dyDescent="0.25">
      <c r="A403" s="3" t="str">
        <f>IFERROR(INDEX('Data SO'!$C$2:$C$1085,MATCH($J403,'Data SO'!$H$2:$H$1085,0)),INDEX('Data SCM'!$B$2:$B$698,MATCH($J403,'Data SCM'!$I$2:$I$698,0)))</f>
        <v>SP BOLU GULUNG EKONOMIS</v>
      </c>
      <c r="B403" s="3" t="str">
        <f>IFERROR(INDEX('Data SO'!$D$2:$D$1085,MATCH($J403,'Data SO'!$H$2:$H$1085,0)),K403)</f>
        <v>Pcs</v>
      </c>
      <c r="C403" s="9">
        <f>SUMIF('Data SO'!$H$2:$H$1085,$J403,'Data SO'!$F$2:$F$1085)</f>
        <v>100</v>
      </c>
      <c r="D403" s="9">
        <f>SUMIF('Data SCM'!$I$2:$I$698,$J403,'Data SCM'!$E$2:$E$698)*L403</f>
        <v>100</v>
      </c>
      <c r="E403" s="9">
        <f t="shared" si="18"/>
        <v>0</v>
      </c>
      <c r="F403" s="4">
        <f>SUMIF('Data SO'!$H$2:$H$1085,$J403,'Data SO'!$G$2:$G$1085)</f>
        <v>958300</v>
      </c>
      <c r="G403" s="4">
        <f>SUMIF('Data SCM'!$I$2:$I$698,$J403,'Data SCM'!$H$2:$H$698)</f>
        <v>958300</v>
      </c>
      <c r="H403" s="4">
        <f t="shared" si="19"/>
        <v>0</v>
      </c>
      <c r="I403" s="3" t="str">
        <f>IF(COUNTIF('Data SCM'!$I$2:$I$698,$J403)=0,"Hanya di SO",IF(COUNTIF('Data SO'!$H$2:$H$1085,$J403)=0,"Hanya di SCM",IF(AND(ABS(E403)&lt;0.01,ABS(H403)&lt;1),"Sama",IF(ABS(E403)&lt;0.01,"Selisih nominal",IF(ABS(H403)&lt;1,"Selisih qty","Selisih qty &amp; nominal")))))</f>
        <v>Sama</v>
      </c>
      <c r="J403" t="s">
        <v>427</v>
      </c>
      <c r="K403" t="str">
        <f>IFERROR(INDEX('Data SCM'!$D$2:$D$698,MATCH($J403,'Data SCM'!$I$2:$I$698,0)),"")</f>
        <v>PCS</v>
      </c>
      <c r="L403">
        <f t="shared" si="20"/>
        <v>1</v>
      </c>
    </row>
    <row r="404" spans="1:12" x14ac:dyDescent="0.25">
      <c r="A404" s="3" t="str">
        <f>IFERROR(INDEX('Data SO'!$C$2:$C$1085,MATCH($J404,'Data SO'!$H$2:$H$1085,0)),INDEX('Data SCM'!$B$2:$B$698,MATCH($J404,'Data SCM'!$I$2:$I$698,0)))</f>
        <v>SP BOLU PISANG</v>
      </c>
      <c r="B404" s="3" t="str">
        <f>IFERROR(INDEX('Data SO'!$D$2:$D$1085,MATCH($J404,'Data SO'!$H$2:$H$1085,0)),K404)</f>
        <v>Pcs</v>
      </c>
      <c r="C404" s="9">
        <f>SUMIF('Data SO'!$H$2:$H$1085,$J404,'Data SO'!$F$2:$F$1085)</f>
        <v>176</v>
      </c>
      <c r="D404" s="9">
        <f>SUMIF('Data SCM'!$I$2:$I$698,$J404,'Data SCM'!$E$2:$E$698)*L404</f>
        <v>176</v>
      </c>
      <c r="E404" s="9">
        <f t="shared" si="18"/>
        <v>0</v>
      </c>
      <c r="F404" s="4">
        <f>SUMIF('Data SO'!$H$2:$H$1085,$J404,'Data SO'!$G$2:$G$1085)</f>
        <v>2520848</v>
      </c>
      <c r="G404" s="4">
        <f>SUMIF('Data SCM'!$I$2:$I$698,$J404,'Data SCM'!$H$2:$H$698)</f>
        <v>2520848</v>
      </c>
      <c r="H404" s="4">
        <f t="shared" si="19"/>
        <v>0</v>
      </c>
      <c r="I404" s="3" t="str">
        <f>IF(COUNTIF('Data SCM'!$I$2:$I$698,$J404)=0,"Hanya di SO",IF(COUNTIF('Data SO'!$H$2:$H$1085,$J404)=0,"Hanya di SCM",IF(AND(ABS(E404)&lt;0.01,ABS(H404)&lt;1),"Sama",IF(ABS(E404)&lt;0.01,"Selisih nominal",IF(ABS(H404)&lt;1,"Selisih qty","Selisih qty &amp; nominal")))))</f>
        <v>Sama</v>
      </c>
      <c r="J404" t="s">
        <v>428</v>
      </c>
      <c r="K404" t="str">
        <f>IFERROR(INDEX('Data SCM'!$D$2:$D$698,MATCH($J404,'Data SCM'!$I$2:$I$698,0)),"")</f>
        <v>PCS</v>
      </c>
      <c r="L404">
        <f t="shared" si="20"/>
        <v>1</v>
      </c>
    </row>
    <row r="405" spans="1:12" x14ac:dyDescent="0.25">
      <c r="A405" s="3" t="str">
        <f>IFERROR(INDEX('Data SO'!$C$2:$C$1085,MATCH($J405,'Data SO'!$H$2:$H$1085,0)),INDEX('Data SCM'!$B$2:$B$698,MATCH($J405,'Data SCM'!$I$2:$I$698,0)))</f>
        <v>SP BROWNIES</v>
      </c>
      <c r="B405" s="3" t="str">
        <f>IFERROR(INDEX('Data SO'!$D$2:$D$1085,MATCH($J405,'Data SO'!$H$2:$H$1085,0)),K405)</f>
        <v>Pcs</v>
      </c>
      <c r="C405" s="9">
        <f>SUMIF('Data SO'!$H$2:$H$1085,$J405,'Data SO'!$F$2:$F$1085)</f>
        <v>80</v>
      </c>
      <c r="D405" s="9">
        <f>SUMIF('Data SCM'!$I$2:$I$698,$J405,'Data SCM'!$E$2:$E$698)*L405</f>
        <v>80</v>
      </c>
      <c r="E405" s="9">
        <f t="shared" si="18"/>
        <v>0</v>
      </c>
      <c r="F405" s="4">
        <f>SUMIF('Data SO'!$H$2:$H$1085,$J405,'Data SO'!$G$2:$G$1085)</f>
        <v>529600</v>
      </c>
      <c r="G405" s="4">
        <f>SUMIF('Data SCM'!$I$2:$I$698,$J405,'Data SCM'!$H$2:$H$698)</f>
        <v>529600</v>
      </c>
      <c r="H405" s="4">
        <f t="shared" si="19"/>
        <v>0</v>
      </c>
      <c r="I405" s="3" t="str">
        <f>IF(COUNTIF('Data SCM'!$I$2:$I$698,$J405)=0,"Hanya di SO",IF(COUNTIF('Data SO'!$H$2:$H$1085,$J405)=0,"Hanya di SCM",IF(AND(ABS(E405)&lt;0.01,ABS(H405)&lt;1),"Sama",IF(ABS(E405)&lt;0.01,"Selisih nominal",IF(ABS(H405)&lt;1,"Selisih qty","Selisih qty &amp; nominal")))))</f>
        <v>Sama</v>
      </c>
      <c r="J405" t="s">
        <v>429</v>
      </c>
      <c r="K405" t="str">
        <f>IFERROR(INDEX('Data SCM'!$D$2:$D$698,MATCH($J405,'Data SCM'!$I$2:$I$698,0)),"")</f>
        <v>PCS</v>
      </c>
      <c r="L405">
        <f t="shared" si="20"/>
        <v>1</v>
      </c>
    </row>
    <row r="406" spans="1:12" x14ac:dyDescent="0.25">
      <c r="A406" s="3" t="str">
        <f>IFERROR(INDEX('Data SO'!$C$2:$C$1085,MATCH($J406,'Data SO'!$H$2:$H$1085,0)),INDEX('Data SCM'!$B$2:$B$698,MATCH($J406,'Data SCM'!$I$2:$I$698,0)))</f>
        <v>SP LAPIS SURABAYA</v>
      </c>
      <c r="B406" s="3" t="str">
        <f>IFERROR(INDEX('Data SO'!$D$2:$D$1085,MATCH($J406,'Data SO'!$H$2:$H$1085,0)),K406)</f>
        <v>Pcs</v>
      </c>
      <c r="C406" s="9">
        <f>SUMIF('Data SO'!$H$2:$H$1085,$J406,'Data SO'!$F$2:$F$1085)</f>
        <v>10</v>
      </c>
      <c r="D406" s="9">
        <f>SUMIF('Data SCM'!$I$2:$I$698,$J406,'Data SCM'!$E$2:$E$698)*L406</f>
        <v>10</v>
      </c>
      <c r="E406" s="9">
        <f t="shared" si="18"/>
        <v>0</v>
      </c>
      <c r="F406" s="4">
        <f>SUMIF('Data SO'!$H$2:$H$1085,$J406,'Data SO'!$G$2:$G$1085)</f>
        <v>40530</v>
      </c>
      <c r="G406" s="4">
        <f>SUMIF('Data SCM'!$I$2:$I$698,$J406,'Data SCM'!$H$2:$H$698)</f>
        <v>40530</v>
      </c>
      <c r="H406" s="4">
        <f t="shared" si="19"/>
        <v>0</v>
      </c>
      <c r="I406" s="3" t="str">
        <f>IF(COUNTIF('Data SCM'!$I$2:$I$698,$J406)=0,"Hanya di SO",IF(COUNTIF('Data SO'!$H$2:$H$1085,$J406)=0,"Hanya di SCM",IF(AND(ABS(E406)&lt;0.01,ABS(H406)&lt;1),"Sama",IF(ABS(E406)&lt;0.01,"Selisih nominal",IF(ABS(H406)&lt;1,"Selisih qty","Selisih qty &amp; nominal")))))</f>
        <v>Sama</v>
      </c>
      <c r="J406" t="s">
        <v>430</v>
      </c>
      <c r="K406" t="str">
        <f>IFERROR(INDEX('Data SCM'!$D$2:$D$698,MATCH($J406,'Data SCM'!$I$2:$I$698,0)),"")</f>
        <v>PCS</v>
      </c>
      <c r="L406">
        <f t="shared" si="20"/>
        <v>1</v>
      </c>
    </row>
    <row r="407" spans="1:12" x14ac:dyDescent="0.25">
      <c r="A407" s="3" t="str">
        <f>IFERROR(INDEX('Data SO'!$C$2:$C$1085,MATCH($J407,'Data SO'!$H$2:$H$1085,0)),INDEX('Data SCM'!$B$2:$B$698,MATCH($J407,'Data SCM'!$I$2:$I$698,0)))</f>
        <v>SP LAPIS TALAS</v>
      </c>
      <c r="B407" s="3" t="str">
        <f>IFERROR(INDEX('Data SO'!$D$2:$D$1085,MATCH($J407,'Data SO'!$H$2:$H$1085,0)),K407)</f>
        <v>Pcs</v>
      </c>
      <c r="C407" s="9">
        <f>SUMIF('Data SO'!$H$2:$H$1085,$J407,'Data SO'!$F$2:$F$1085)</f>
        <v>256</v>
      </c>
      <c r="D407" s="9">
        <f>SUMIF('Data SCM'!$I$2:$I$698,$J407,'Data SCM'!$E$2:$E$698)*L407</f>
        <v>256</v>
      </c>
      <c r="E407" s="9">
        <f t="shared" si="18"/>
        <v>0</v>
      </c>
      <c r="F407" s="4">
        <f>SUMIF('Data SO'!$H$2:$H$1085,$J407,'Data SO'!$G$2:$G$1085)</f>
        <v>2149888</v>
      </c>
      <c r="G407" s="4">
        <f>SUMIF('Data SCM'!$I$2:$I$698,$J407,'Data SCM'!$H$2:$H$698)</f>
        <v>2149888</v>
      </c>
      <c r="H407" s="4">
        <f t="shared" si="19"/>
        <v>0</v>
      </c>
      <c r="I407" s="3" t="str">
        <f>IF(COUNTIF('Data SCM'!$I$2:$I$698,$J407)=0,"Hanya di SO",IF(COUNTIF('Data SO'!$H$2:$H$1085,$J407)=0,"Hanya di SCM",IF(AND(ABS(E407)&lt;0.01,ABS(H407)&lt;1),"Sama",IF(ABS(E407)&lt;0.01,"Selisih nominal",IF(ABS(H407)&lt;1,"Selisih qty","Selisih qty &amp; nominal")))))</f>
        <v>Sama</v>
      </c>
      <c r="J407" t="s">
        <v>431</v>
      </c>
      <c r="K407" t="str">
        <f>IFERROR(INDEX('Data SCM'!$D$2:$D$698,MATCH($J407,'Data SCM'!$I$2:$I$698,0)),"")</f>
        <v>PCS</v>
      </c>
      <c r="L407">
        <f t="shared" si="20"/>
        <v>1</v>
      </c>
    </row>
    <row r="408" spans="1:12" x14ac:dyDescent="0.25">
      <c r="A408" s="3" t="str">
        <f>IFERROR(INDEX('Data SO'!$C$2:$C$1085,MATCH($J408,'Data SO'!$H$2:$H$1085,0)),INDEX('Data SCM'!$B$2:$B$698,MATCH($J408,'Data SCM'!$I$2:$I$698,0)))</f>
        <v>SP SPONGE CAKE COKLAT</v>
      </c>
      <c r="B408" s="3" t="str">
        <f>IFERROR(INDEX('Data SO'!$D$2:$D$1085,MATCH($J408,'Data SO'!$H$2:$H$1085,0)),K408)</f>
        <v>Pcs</v>
      </c>
      <c r="C408" s="9">
        <f>SUMIF('Data SO'!$H$2:$H$1085,$J408,'Data SO'!$F$2:$F$1085)</f>
        <v>25</v>
      </c>
      <c r="D408" s="9">
        <f>SUMIF('Data SCM'!$I$2:$I$698,$J408,'Data SCM'!$E$2:$E$698)*L408</f>
        <v>25</v>
      </c>
      <c r="E408" s="9">
        <f t="shared" si="18"/>
        <v>0</v>
      </c>
      <c r="F408" s="4">
        <f>SUMIF('Data SO'!$H$2:$H$1085,$J408,'Data SO'!$G$2:$G$1085)</f>
        <v>565200</v>
      </c>
      <c r="G408" s="4">
        <f>SUMIF('Data SCM'!$I$2:$I$698,$J408,'Data SCM'!$H$2:$H$698)</f>
        <v>565200</v>
      </c>
      <c r="H408" s="4">
        <f t="shared" si="19"/>
        <v>0</v>
      </c>
      <c r="I408" s="3" t="str">
        <f>IF(COUNTIF('Data SCM'!$I$2:$I$698,$J408)=0,"Hanya di SO",IF(COUNTIF('Data SO'!$H$2:$H$1085,$J408)=0,"Hanya di SCM",IF(AND(ABS(E408)&lt;0.01,ABS(H408)&lt;1),"Sama",IF(ABS(E408)&lt;0.01,"Selisih nominal",IF(ABS(H408)&lt;1,"Selisih qty","Selisih qty &amp; nominal")))))</f>
        <v>Sama</v>
      </c>
      <c r="J408" t="s">
        <v>432</v>
      </c>
      <c r="K408" t="str">
        <f>IFERROR(INDEX('Data SCM'!$D$2:$D$698,MATCH($J408,'Data SCM'!$I$2:$I$698,0)),"")</f>
        <v>PCS</v>
      </c>
      <c r="L408">
        <f t="shared" si="20"/>
        <v>1</v>
      </c>
    </row>
    <row r="409" spans="1:12" x14ac:dyDescent="0.25">
      <c r="A409" s="3" t="str">
        <f>IFERROR(INDEX('Data SO'!$C$2:$C$1085,MATCH($J409,'Data SO'!$H$2:$H$1085,0)),INDEX('Data SCM'!$B$2:$B$698,MATCH($J409,'Data SCM'!$I$2:$I$698,0)))</f>
        <v>SP SPONGE CAKE VANILA</v>
      </c>
      <c r="B409" s="3" t="str">
        <f>IFERROR(INDEX('Data SO'!$D$2:$D$1085,MATCH($J409,'Data SO'!$H$2:$H$1085,0)),K409)</f>
        <v>Pcs</v>
      </c>
      <c r="C409" s="9">
        <f>SUMIF('Data SO'!$H$2:$H$1085,$J409,'Data SO'!$F$2:$F$1085)</f>
        <v>25</v>
      </c>
      <c r="D409" s="9">
        <f>SUMIF('Data SCM'!$I$2:$I$698,$J409,'Data SCM'!$E$2:$E$698)*L409</f>
        <v>25</v>
      </c>
      <c r="E409" s="9">
        <f t="shared" si="18"/>
        <v>0</v>
      </c>
      <c r="F409" s="4">
        <f>SUMIF('Data SO'!$H$2:$H$1085,$J409,'Data SO'!$G$2:$G$1085)</f>
        <v>565200</v>
      </c>
      <c r="G409" s="4">
        <f>SUMIF('Data SCM'!$I$2:$I$698,$J409,'Data SCM'!$H$2:$H$698)</f>
        <v>565200</v>
      </c>
      <c r="H409" s="4">
        <f t="shared" si="19"/>
        <v>0</v>
      </c>
      <c r="I409" s="3" t="str">
        <f>IF(COUNTIF('Data SCM'!$I$2:$I$698,$J409)=0,"Hanya di SO",IF(COUNTIF('Data SO'!$H$2:$H$1085,$J409)=0,"Hanya di SCM",IF(AND(ABS(E409)&lt;0.01,ABS(H409)&lt;1),"Sama",IF(ABS(E409)&lt;0.01,"Selisih nominal",IF(ABS(H409)&lt;1,"Selisih qty","Selisih qty &amp; nominal")))))</f>
        <v>Sama</v>
      </c>
      <c r="J409" t="s">
        <v>433</v>
      </c>
      <c r="K409" t="str">
        <f>IFERROR(INDEX('Data SCM'!$D$2:$D$698,MATCH($J409,'Data SCM'!$I$2:$I$698,0)),"")</f>
        <v>PCS</v>
      </c>
      <c r="L409">
        <f t="shared" si="20"/>
        <v>1</v>
      </c>
    </row>
    <row r="410" spans="1:12" x14ac:dyDescent="0.25">
      <c r="A410" s="3" t="str">
        <f>IFERROR(INDEX('Data SO'!$C$2:$C$1085,MATCH($J410,'Data SO'!$H$2:$H$1085,0)),INDEX('Data SCM'!$B$2:$B$698,MATCH($J410,'Data SCM'!$I$2:$I$698,0)))</f>
        <v>SP TART</v>
      </c>
      <c r="B410" s="3" t="str">
        <f>IFERROR(INDEX('Data SO'!$D$2:$D$1085,MATCH($J410,'Data SO'!$H$2:$H$1085,0)),K410)</f>
        <v>Pcs</v>
      </c>
      <c r="C410" s="9">
        <f>SUMIF('Data SO'!$H$2:$H$1085,$J410,'Data SO'!$F$2:$F$1085)</f>
        <v>312</v>
      </c>
      <c r="D410" s="9">
        <f>SUMIF('Data SCM'!$I$2:$I$698,$J410,'Data SCM'!$E$2:$E$698)*L410</f>
        <v>312</v>
      </c>
      <c r="E410" s="9">
        <f t="shared" si="18"/>
        <v>0</v>
      </c>
      <c r="F410" s="4">
        <f>SUMIF('Data SO'!$H$2:$H$1085,$J410,'Data SO'!$G$2:$G$1085)</f>
        <v>2496936</v>
      </c>
      <c r="G410" s="4">
        <f>SUMIF('Data SCM'!$I$2:$I$698,$J410,'Data SCM'!$H$2:$H$698)</f>
        <v>2496936</v>
      </c>
      <c r="H410" s="4">
        <f t="shared" si="19"/>
        <v>0</v>
      </c>
      <c r="I410" s="3" t="str">
        <f>IF(COUNTIF('Data SCM'!$I$2:$I$698,$J410)=0,"Hanya di SO",IF(COUNTIF('Data SO'!$H$2:$H$1085,$J410)=0,"Hanya di SCM",IF(AND(ABS(E410)&lt;0.01,ABS(H410)&lt;1),"Sama",IF(ABS(E410)&lt;0.01,"Selisih nominal",IF(ABS(H410)&lt;1,"Selisih qty","Selisih qty &amp; nominal")))))</f>
        <v>Sama</v>
      </c>
      <c r="J410" t="s">
        <v>434</v>
      </c>
      <c r="K410" t="str">
        <f>IFERROR(INDEX('Data SCM'!$D$2:$D$698,MATCH($J410,'Data SCM'!$I$2:$I$698,0)),"")</f>
        <v>PCS</v>
      </c>
      <c r="L410">
        <f t="shared" si="20"/>
        <v>1</v>
      </c>
    </row>
    <row r="411" spans="1:12" x14ac:dyDescent="0.25">
      <c r="A411" s="3" t="str">
        <f>IFERROR(INDEX('Data SO'!$C$2:$C$1085,MATCH($J411,'Data SO'!$H$2:$H$1085,0)),INDEX('Data SCM'!$B$2:$B$698,MATCH($J411,'Data SCM'!$I$2:$I$698,0)))</f>
        <v>STICKER BENTO</v>
      </c>
      <c r="B411" s="3" t="str">
        <f>IFERROR(INDEX('Data SO'!$D$2:$D$1085,MATCH($J411,'Data SO'!$H$2:$H$1085,0)),K411)</f>
        <v>Pcs</v>
      </c>
      <c r="C411" s="9">
        <f>SUMIF('Data SO'!$H$2:$H$1085,$J411,'Data SO'!$F$2:$F$1085)</f>
        <v>55</v>
      </c>
      <c r="D411" s="9">
        <f>SUMIF('Data SCM'!$I$2:$I$698,$J411,'Data SCM'!$E$2:$E$698)*L411</f>
        <v>55</v>
      </c>
      <c r="E411" s="9">
        <f t="shared" si="18"/>
        <v>0</v>
      </c>
      <c r="F411" s="4">
        <f>SUMIF('Data SO'!$H$2:$H$1085,$J411,'Data SO'!$G$2:$G$1085)</f>
        <v>385000</v>
      </c>
      <c r="G411" s="4">
        <f>SUMIF('Data SCM'!$I$2:$I$698,$J411,'Data SCM'!$H$2:$H$698)</f>
        <v>385000</v>
      </c>
      <c r="H411" s="4">
        <f t="shared" si="19"/>
        <v>0</v>
      </c>
      <c r="I411" s="3" t="str">
        <f>IF(COUNTIF('Data SCM'!$I$2:$I$698,$J411)=0,"Hanya di SO",IF(COUNTIF('Data SO'!$H$2:$H$1085,$J411)=0,"Hanya di SCM",IF(AND(ABS(E411)&lt;0.01,ABS(H411)&lt;1),"Sama",IF(ABS(E411)&lt;0.01,"Selisih nominal",IF(ABS(H411)&lt;1,"Selisih qty","Selisih qty &amp; nominal")))))</f>
        <v>Sama</v>
      </c>
      <c r="J411" t="s">
        <v>435</v>
      </c>
      <c r="K411" t="str">
        <f>IFERROR(INDEX('Data SCM'!$D$2:$D$698,MATCH($J411,'Data SCM'!$I$2:$I$698,0)),"")</f>
        <v>PCS</v>
      </c>
      <c r="L411">
        <f t="shared" si="20"/>
        <v>1</v>
      </c>
    </row>
    <row r="412" spans="1:12" x14ac:dyDescent="0.25">
      <c r="A412" s="3" t="str">
        <f>IFERROR(INDEX('Data SO'!$C$2:$C$1085,MATCH($J412,'Data SO'!$H$2:$H$1085,0)),INDEX('Data SCM'!$B$2:$B$698,MATCH($J412,'Data SCM'!$I$2:$I$698,0)))</f>
        <v>STICKER COOKIES RASA</v>
      </c>
      <c r="B412" s="3" t="str">
        <f>IFERROR(INDEX('Data SO'!$D$2:$D$1085,MATCH($J412,'Data SO'!$H$2:$H$1085,0)),K412)</f>
        <v>Pcs</v>
      </c>
      <c r="C412" s="9">
        <f>SUMIF('Data SO'!$H$2:$H$1085,$J412,'Data SO'!$F$2:$F$1085)</f>
        <v>5959</v>
      </c>
      <c r="D412" s="9">
        <f>SUMIF('Data SCM'!$I$2:$I$698,$J412,'Data SCM'!$E$2:$E$698)*L412</f>
        <v>5959</v>
      </c>
      <c r="E412" s="9">
        <f t="shared" si="18"/>
        <v>0</v>
      </c>
      <c r="F412" s="4">
        <f>SUMIF('Data SO'!$H$2:$H$1085,$J412,'Data SO'!$G$2:$G$1085)</f>
        <v>2329969</v>
      </c>
      <c r="G412" s="4">
        <f>SUMIF('Data SCM'!$I$2:$I$698,$J412,'Data SCM'!$H$2:$H$698)</f>
        <v>2329969</v>
      </c>
      <c r="H412" s="4">
        <f t="shared" si="19"/>
        <v>0</v>
      </c>
      <c r="I412" s="3" t="str">
        <f>IF(COUNTIF('Data SCM'!$I$2:$I$698,$J412)=0,"Hanya di SO",IF(COUNTIF('Data SO'!$H$2:$H$1085,$J412)=0,"Hanya di SCM",IF(AND(ABS(E412)&lt;0.01,ABS(H412)&lt;1),"Sama",IF(ABS(E412)&lt;0.01,"Selisih nominal",IF(ABS(H412)&lt;1,"Selisih qty","Selisih qty &amp; nominal")))))</f>
        <v>Sama</v>
      </c>
      <c r="J412" t="s">
        <v>436</v>
      </c>
      <c r="K412" t="str">
        <f>IFERROR(INDEX('Data SCM'!$D$2:$D$698,MATCH($J412,'Data SCM'!$I$2:$I$698,0)),"")</f>
        <v>PCS</v>
      </c>
      <c r="L412">
        <f t="shared" si="20"/>
        <v>1</v>
      </c>
    </row>
    <row r="413" spans="1:12" x14ac:dyDescent="0.25">
      <c r="A413" s="3" t="str">
        <f>IFERROR(INDEX('Data SO'!$C$2:$C$1085,MATCH($J413,'Data SO'!$H$2:$H$1085,0)),INDEX('Data SCM'!$B$2:$B$698,MATCH($J413,'Data SCM'!$I$2:$I$698,0)))</f>
        <v>STICKER ROTI SISIR</v>
      </c>
      <c r="B413" s="3" t="str">
        <f>IFERROR(INDEX('Data SO'!$D$2:$D$1085,MATCH($J413,'Data SO'!$H$2:$H$1085,0)),K413)</f>
        <v>Pcs</v>
      </c>
      <c r="C413" s="9">
        <f>SUMIF('Data SO'!$H$2:$H$1085,$J413,'Data SO'!$F$2:$F$1085)</f>
        <v>21868</v>
      </c>
      <c r="D413" s="9">
        <f>SUMIF('Data SCM'!$I$2:$I$698,$J413,'Data SCM'!$E$2:$E$698)*L413</f>
        <v>21868</v>
      </c>
      <c r="E413" s="9">
        <f t="shared" si="18"/>
        <v>0</v>
      </c>
      <c r="F413" s="4">
        <f>SUMIF('Data SO'!$H$2:$H$1085,$J413,'Data SO'!$G$2:$G$1085)</f>
        <v>459228</v>
      </c>
      <c r="G413" s="4">
        <f>SUMIF('Data SCM'!$I$2:$I$698,$J413,'Data SCM'!$H$2:$H$698)</f>
        <v>459228</v>
      </c>
      <c r="H413" s="4">
        <f t="shared" si="19"/>
        <v>0</v>
      </c>
      <c r="I413" s="3" t="str">
        <f>IF(COUNTIF('Data SCM'!$I$2:$I$698,$J413)=0,"Hanya di SO",IF(COUNTIF('Data SO'!$H$2:$H$1085,$J413)=0,"Hanya di SCM",IF(AND(ABS(E413)&lt;0.01,ABS(H413)&lt;1),"Sama",IF(ABS(E413)&lt;0.01,"Selisih nominal",IF(ABS(H413)&lt;1,"Selisih qty","Selisih qty &amp; nominal")))))</f>
        <v>Sama</v>
      </c>
      <c r="J413" t="s">
        <v>437</v>
      </c>
      <c r="K413" t="str">
        <f>IFERROR(INDEX('Data SCM'!$D$2:$D$698,MATCH($J413,'Data SCM'!$I$2:$I$698,0)),"")</f>
        <v>PCS</v>
      </c>
      <c r="L413">
        <f t="shared" si="20"/>
        <v>1</v>
      </c>
    </row>
    <row r="414" spans="1:12" x14ac:dyDescent="0.25">
      <c r="A414" s="3" t="str">
        <f>IFERROR(INDEX('Data SO'!$C$2:$C$1085,MATCH($J414,'Data SO'!$H$2:$H$1085,0)),INDEX('Data SCM'!$B$2:$B$698,MATCH($J414,'Data SCM'!$I$2:$I$698,0)))</f>
        <v>STRAWBERRY</v>
      </c>
      <c r="B414" s="3" t="str">
        <f>IFERROR(INDEX('Data SO'!$D$2:$D$1085,MATCH($J414,'Data SO'!$H$2:$H$1085,0)),K414)</f>
        <v>kg</v>
      </c>
      <c r="C414" s="9">
        <f>SUMIF('Data SO'!$H$2:$H$1085,$J414,'Data SO'!$F$2:$F$1085)</f>
        <v>7.85</v>
      </c>
      <c r="D414" s="9">
        <f>SUMIF('Data SCM'!$I$2:$I$698,$J414,'Data SCM'!$E$2:$E$698)*L414</f>
        <v>7.85</v>
      </c>
      <c r="E414" s="9">
        <f t="shared" si="18"/>
        <v>0</v>
      </c>
      <c r="F414" s="4">
        <f>SUMIF('Data SO'!$H$2:$H$1085,$J414,'Data SO'!$G$2:$G$1085)</f>
        <v>706500</v>
      </c>
      <c r="G414" s="4">
        <f>SUMIF('Data SCM'!$I$2:$I$698,$J414,'Data SCM'!$H$2:$H$698)</f>
        <v>706500</v>
      </c>
      <c r="H414" s="4">
        <f t="shared" si="19"/>
        <v>0</v>
      </c>
      <c r="I414" s="3" t="str">
        <f>IF(COUNTIF('Data SCM'!$I$2:$I$698,$J414)=0,"Hanya di SO",IF(COUNTIF('Data SO'!$H$2:$H$1085,$J414)=0,"Hanya di SCM",IF(AND(ABS(E414)&lt;0.01,ABS(H414)&lt;1),"Sama",IF(ABS(E414)&lt;0.01,"Selisih nominal",IF(ABS(H414)&lt;1,"Selisih qty","Selisih qty &amp; nominal")))))</f>
        <v>Sama</v>
      </c>
      <c r="J414" t="s">
        <v>438</v>
      </c>
      <c r="K414" t="str">
        <f>IFERROR(INDEX('Data SCM'!$D$2:$D$698,MATCH($J414,'Data SCM'!$I$2:$I$698,0)),"")</f>
        <v>KG</v>
      </c>
      <c r="L414">
        <f t="shared" si="20"/>
        <v>1</v>
      </c>
    </row>
    <row r="415" spans="1:12" x14ac:dyDescent="0.25">
      <c r="A415" s="3" t="str">
        <f>IFERROR(INDEX('Data SO'!$C$2:$C$1085,MATCH($J415,'Data SO'!$H$2:$H$1085,0)),INDEX('Data SCM'!$B$2:$B$698,MATCH($J415,'Data SCM'!$I$2:$I$698,0)))</f>
        <v>SUSU BUBUK FITAMIL @25 KG</v>
      </c>
      <c r="B415" s="3" t="str">
        <f>IFERROR(INDEX('Data SO'!$D$2:$D$1085,MATCH($J415,'Data SO'!$H$2:$H$1085,0)),K415)</f>
        <v>kg</v>
      </c>
      <c r="C415" s="9">
        <f>SUMIF('Data SO'!$H$2:$H$1085,$J415,'Data SO'!$F$2:$F$1085)</f>
        <v>425</v>
      </c>
      <c r="D415" s="9">
        <f>SUMIF('Data SCM'!$I$2:$I$698,$J415,'Data SCM'!$E$2:$E$698)*L415</f>
        <v>425</v>
      </c>
      <c r="E415" s="9">
        <f t="shared" si="18"/>
        <v>0</v>
      </c>
      <c r="F415" s="4">
        <f>SUMIF('Data SO'!$H$2:$H$1085,$J415,'Data SO'!$G$2:$G$1085)</f>
        <v>12278233</v>
      </c>
      <c r="G415" s="4">
        <f>SUMIF('Data SCM'!$I$2:$I$698,$J415,'Data SCM'!$H$2:$H$698)</f>
        <v>12278233</v>
      </c>
      <c r="H415" s="4">
        <f t="shared" si="19"/>
        <v>0</v>
      </c>
      <c r="I415" s="3" t="str">
        <f>IF(COUNTIF('Data SCM'!$I$2:$I$698,$J415)=0,"Hanya di SO",IF(COUNTIF('Data SO'!$H$2:$H$1085,$J415)=0,"Hanya di SCM",IF(AND(ABS(E415)&lt;0.01,ABS(H415)&lt;1),"Sama",IF(ABS(E415)&lt;0.01,"Selisih nominal",IF(ABS(H415)&lt;1,"Selisih qty","Selisih qty &amp; nominal")))))</f>
        <v>Sama</v>
      </c>
      <c r="J415" t="s">
        <v>439</v>
      </c>
      <c r="K415" t="str">
        <f>IFERROR(INDEX('Data SCM'!$D$2:$D$698,MATCH($J415,'Data SCM'!$I$2:$I$698,0)),"")</f>
        <v>KG</v>
      </c>
      <c r="L415">
        <f t="shared" si="20"/>
        <v>1</v>
      </c>
    </row>
    <row r="416" spans="1:12" x14ac:dyDescent="0.25">
      <c r="A416" s="3" t="str">
        <f>IFERROR(INDEX('Data SO'!$C$2:$C$1085,MATCH($J416,'Data SO'!$H$2:$H$1085,0)),INDEX('Data SCM'!$B$2:$B$698,MATCH($J416,'Data SCM'!$I$2:$I$698,0)))</f>
        <v>Sarung Tangan Kain</v>
      </c>
      <c r="B416" s="3" t="str">
        <f>IFERROR(INDEX('Data SO'!$D$2:$D$1085,MATCH($J416,'Data SO'!$H$2:$H$1085,0)),K416)</f>
        <v>Pcs</v>
      </c>
      <c r="C416" s="9">
        <f>SUMIF('Data SO'!$H$2:$H$1085,$J416,'Data SO'!$F$2:$F$1085)</f>
        <v>168</v>
      </c>
      <c r="D416" s="9">
        <f>SUMIF('Data SCM'!$I$2:$I$698,$J416,'Data SCM'!$E$2:$E$698)*L416</f>
        <v>168</v>
      </c>
      <c r="E416" s="9">
        <f t="shared" si="18"/>
        <v>0</v>
      </c>
      <c r="F416" s="4">
        <f>SUMIF('Data SO'!$H$2:$H$1085,$J416,'Data SO'!$G$2:$G$1085)</f>
        <v>664944</v>
      </c>
      <c r="G416" s="4">
        <f>SUMIF('Data SCM'!$I$2:$I$698,$J416,'Data SCM'!$H$2:$H$698)</f>
        <v>664944</v>
      </c>
      <c r="H416" s="4">
        <f t="shared" si="19"/>
        <v>0</v>
      </c>
      <c r="I416" s="3" t="str">
        <f>IF(COUNTIF('Data SCM'!$I$2:$I$698,$J416)=0,"Hanya di SO",IF(COUNTIF('Data SO'!$H$2:$H$1085,$J416)=0,"Hanya di SCM",IF(AND(ABS(E416)&lt;0.01,ABS(H416)&lt;1),"Sama",IF(ABS(E416)&lt;0.01,"Selisih nominal",IF(ABS(H416)&lt;1,"Selisih qty","Selisih qty &amp; nominal")))))</f>
        <v>Sama</v>
      </c>
      <c r="J416" t="s">
        <v>440</v>
      </c>
      <c r="K416" t="str">
        <f>IFERROR(INDEX('Data SCM'!$D$2:$D$698,MATCH($J416,'Data SCM'!$I$2:$I$698,0)),"")</f>
        <v>PCS</v>
      </c>
      <c r="L416">
        <f t="shared" si="20"/>
        <v>1</v>
      </c>
    </row>
    <row r="417" spans="1:12" x14ac:dyDescent="0.25">
      <c r="A417" s="3" t="str">
        <f>IFERROR(INDEX('Data SO'!$C$2:$C$1085,MATCH($J417,'Data SO'!$H$2:$H$1085,0)),INDEX('Data SCM'!$B$2:$B$698,MATCH($J417,'Data SCM'!$I$2:$I$698,0)))</f>
        <v>Sendok Milkbath</v>
      </c>
      <c r="B417" s="3" t="str">
        <f>IFERROR(INDEX('Data SO'!$D$2:$D$1085,MATCH($J417,'Data SO'!$H$2:$H$1085,0)),K417)</f>
        <v>Pcs</v>
      </c>
      <c r="C417" s="9">
        <f>SUMIF('Data SO'!$H$2:$H$1085,$J417,'Data SO'!$F$2:$F$1085)</f>
        <v>100</v>
      </c>
      <c r="D417" s="9">
        <f>SUMIF('Data SCM'!$I$2:$I$698,$J417,'Data SCM'!$E$2:$E$698)*L417</f>
        <v>100</v>
      </c>
      <c r="E417" s="9">
        <f t="shared" si="18"/>
        <v>0</v>
      </c>
      <c r="F417" s="4">
        <f>SUMIF('Data SO'!$H$2:$H$1085,$J417,'Data SO'!$G$2:$G$1085)</f>
        <v>13600</v>
      </c>
      <c r="G417" s="4">
        <f>SUMIF('Data SCM'!$I$2:$I$698,$J417,'Data SCM'!$H$2:$H$698)</f>
        <v>13600</v>
      </c>
      <c r="H417" s="4">
        <f t="shared" si="19"/>
        <v>0</v>
      </c>
      <c r="I417" s="3" t="str">
        <f>IF(COUNTIF('Data SCM'!$I$2:$I$698,$J417)=0,"Hanya di SO",IF(COUNTIF('Data SO'!$H$2:$H$1085,$J417)=0,"Hanya di SCM",IF(AND(ABS(E417)&lt;0.01,ABS(H417)&lt;1),"Sama",IF(ABS(E417)&lt;0.01,"Selisih nominal",IF(ABS(H417)&lt;1,"Selisih qty","Selisih qty &amp; nominal")))))</f>
        <v>Sama</v>
      </c>
      <c r="J417" t="s">
        <v>441</v>
      </c>
      <c r="K417" t="str">
        <f>IFERROR(INDEX('Data SCM'!$D$2:$D$698,MATCH($J417,'Data SCM'!$I$2:$I$698,0)),"")</f>
        <v>PCS</v>
      </c>
      <c r="L417">
        <f t="shared" si="20"/>
        <v>1</v>
      </c>
    </row>
    <row r="418" spans="1:12" x14ac:dyDescent="0.25">
      <c r="A418" s="3" t="str">
        <f>IFERROR(INDEX('Data SO'!$C$2:$C$1085,MATCH($J418,'Data SO'!$H$2:$H$1085,0)),INDEX('Data SCM'!$B$2:$B$698,MATCH($J418,'Data SCM'!$I$2:$I$698,0)))</f>
        <v>Soda Kue Malan @25Kg</v>
      </c>
      <c r="B418" s="3" t="str">
        <f>IFERROR(INDEX('Data SO'!$D$2:$D$1085,MATCH($J418,'Data SO'!$H$2:$H$1085,0)),K418)</f>
        <v>kg</v>
      </c>
      <c r="C418" s="9">
        <f>SUMIF('Data SO'!$H$2:$H$1085,$J418,'Data SO'!$F$2:$F$1085)</f>
        <v>150</v>
      </c>
      <c r="D418" s="9">
        <f>SUMIF('Data SCM'!$I$2:$I$698,$J418,'Data SCM'!$E$2:$E$698)*L418</f>
        <v>150</v>
      </c>
      <c r="E418" s="9">
        <f t="shared" si="18"/>
        <v>0</v>
      </c>
      <c r="F418" s="4">
        <f>SUMIF('Data SO'!$H$2:$H$1085,$J418,'Data SO'!$G$2:$G$1085)</f>
        <v>1200000</v>
      </c>
      <c r="G418" s="4">
        <f>SUMIF('Data SCM'!$I$2:$I$698,$J418,'Data SCM'!$H$2:$H$698)</f>
        <v>1200000</v>
      </c>
      <c r="H418" s="4">
        <f t="shared" si="19"/>
        <v>0</v>
      </c>
      <c r="I418" s="3" t="str">
        <f>IF(COUNTIF('Data SCM'!$I$2:$I$698,$J418)=0,"Hanya di SO",IF(COUNTIF('Data SO'!$H$2:$H$1085,$J418)=0,"Hanya di SCM",IF(AND(ABS(E418)&lt;0.01,ABS(H418)&lt;1),"Sama",IF(ABS(E418)&lt;0.01,"Selisih nominal",IF(ABS(H418)&lt;1,"Selisih qty","Selisih qty &amp; nominal")))))</f>
        <v>Sama</v>
      </c>
      <c r="J418" t="s">
        <v>442</v>
      </c>
      <c r="K418" t="str">
        <f>IFERROR(INDEX('Data SCM'!$D$2:$D$698,MATCH($J418,'Data SCM'!$I$2:$I$698,0)),"")</f>
        <v>KG</v>
      </c>
      <c r="L418">
        <f t="shared" si="20"/>
        <v>1</v>
      </c>
    </row>
    <row r="419" spans="1:12" x14ac:dyDescent="0.25">
      <c r="A419" s="3" t="str">
        <f>IFERROR(INDEX('Data SO'!$C$2:$C$1085,MATCH($J419,'Data SO'!$H$2:$H$1085,0)),INDEX('Data SCM'!$B$2:$B$698,MATCH($J419,'Data SCM'!$I$2:$I$698,0)))</f>
        <v>Spontan Cake Softener (Wysman) @1X25Kg</v>
      </c>
      <c r="B419" s="3" t="str">
        <f>IFERROR(INDEX('Data SO'!$D$2:$D$1085,MATCH($J419,'Data SO'!$H$2:$H$1085,0)),K419)</f>
        <v>kg</v>
      </c>
      <c r="C419" s="9">
        <f>SUMIF('Data SO'!$H$2:$H$1085,$J419,'Data SO'!$F$2:$F$1085)</f>
        <v>25</v>
      </c>
      <c r="D419" s="9">
        <f>SUMIF('Data SCM'!$I$2:$I$698,$J419,'Data SCM'!$E$2:$E$698)*L419</f>
        <v>25</v>
      </c>
      <c r="E419" s="9">
        <f t="shared" si="18"/>
        <v>0</v>
      </c>
      <c r="F419" s="4">
        <f>SUMIF('Data SO'!$H$2:$H$1085,$J419,'Data SO'!$G$2:$G$1085)</f>
        <v>810000</v>
      </c>
      <c r="G419" s="4">
        <f>SUMIF('Data SCM'!$I$2:$I$698,$J419,'Data SCM'!$H$2:$H$698)</f>
        <v>810000</v>
      </c>
      <c r="H419" s="4">
        <f t="shared" si="19"/>
        <v>0</v>
      </c>
      <c r="I419" s="3" t="str">
        <f>IF(COUNTIF('Data SCM'!$I$2:$I$698,$J419)=0,"Hanya di SO",IF(COUNTIF('Data SO'!$H$2:$H$1085,$J419)=0,"Hanya di SCM",IF(AND(ABS(E419)&lt;0.01,ABS(H419)&lt;1),"Sama",IF(ABS(E419)&lt;0.01,"Selisih nominal",IF(ABS(H419)&lt;1,"Selisih qty","Selisih qty &amp; nominal")))))</f>
        <v>Sama</v>
      </c>
      <c r="J419" t="s">
        <v>443</v>
      </c>
      <c r="K419" t="str">
        <f>IFERROR(INDEX('Data SCM'!$D$2:$D$698,MATCH($J419,'Data SCM'!$I$2:$I$698,0)),"")</f>
        <v>KG</v>
      </c>
      <c r="L419">
        <f t="shared" si="20"/>
        <v>1</v>
      </c>
    </row>
    <row r="420" spans="1:12" x14ac:dyDescent="0.25">
      <c r="A420" s="3" t="str">
        <f>IFERROR(INDEX('Data SO'!$C$2:$C$1085,MATCH($J420,'Data SO'!$H$2:$H$1085,0)),INDEX('Data SCM'!$B$2:$B$698,MATCH($J420,'Data SCM'!$I$2:$I$698,0)))</f>
        <v>Sticker Bolu Amor Oval @43Pcs</v>
      </c>
      <c r="B420" s="3" t="str">
        <f>IFERROR(INDEX('Data SO'!$D$2:$D$1085,MATCH($J420,'Data SO'!$H$2:$H$1085,0)),K420)</f>
        <v>pcs</v>
      </c>
      <c r="C420" s="9">
        <f>SUMIF('Data SO'!$H$2:$H$1085,$J420,'Data SO'!$F$2:$F$1085)</f>
        <v>10000</v>
      </c>
      <c r="D420" s="9">
        <f>SUMIF('Data SCM'!$I$2:$I$698,$J420,'Data SCM'!$E$2:$E$698)*L420</f>
        <v>10000</v>
      </c>
      <c r="E420" s="9">
        <f t="shared" si="18"/>
        <v>0</v>
      </c>
      <c r="F420" s="4">
        <f>SUMIF('Data SO'!$H$2:$H$1085,$J420,'Data SO'!$G$2:$G$1085)</f>
        <v>1800000</v>
      </c>
      <c r="G420" s="4">
        <f>SUMIF('Data SCM'!$I$2:$I$698,$J420,'Data SCM'!$H$2:$H$698)</f>
        <v>1800000</v>
      </c>
      <c r="H420" s="4">
        <f t="shared" si="19"/>
        <v>0</v>
      </c>
      <c r="I420" s="3" t="str">
        <f>IF(COUNTIF('Data SCM'!$I$2:$I$698,$J420)=0,"Hanya di SO",IF(COUNTIF('Data SO'!$H$2:$H$1085,$J420)=0,"Hanya di SCM",IF(AND(ABS(E420)&lt;0.01,ABS(H420)&lt;1),"Sama",IF(ABS(E420)&lt;0.01,"Selisih nominal",IF(ABS(H420)&lt;1,"Selisih qty","Selisih qty &amp; nominal")))))</f>
        <v>Sama</v>
      </c>
      <c r="J420" t="s">
        <v>444</v>
      </c>
      <c r="K420" t="str">
        <f>IFERROR(INDEX('Data SCM'!$D$2:$D$698,MATCH($J420,'Data SCM'!$I$2:$I$698,0)),"")</f>
        <v>PCS</v>
      </c>
      <c r="L420">
        <f t="shared" si="20"/>
        <v>1</v>
      </c>
    </row>
    <row r="421" spans="1:12" x14ac:dyDescent="0.25">
      <c r="A421" s="3" t="str">
        <f>IFERROR(INDEX('Data SO'!$C$2:$C$1085,MATCH($J421,'Data SO'!$H$2:$H$1085,0)),INDEX('Data SCM'!$B$2:$B$698,MATCH($J421,'Data SCM'!$I$2:$I$698,0)))</f>
        <v>Sticker Bunga Bolu Amor</v>
      </c>
      <c r="B421" s="3" t="str">
        <f>IFERROR(INDEX('Data SO'!$D$2:$D$1085,MATCH($J421,'Data SO'!$H$2:$H$1085,0)),K421)</f>
        <v>pcs</v>
      </c>
      <c r="C421" s="9">
        <f>SUMIF('Data SO'!$H$2:$H$1085,$J421,'Data SO'!$F$2:$F$1085)</f>
        <v>57600</v>
      </c>
      <c r="D421" s="9">
        <f>SUMIF('Data SCM'!$I$2:$I$698,$J421,'Data SCM'!$E$2:$E$698)*L421</f>
        <v>57600</v>
      </c>
      <c r="E421" s="9">
        <f t="shared" si="18"/>
        <v>0</v>
      </c>
      <c r="F421" s="4">
        <f>SUMIF('Data SO'!$H$2:$H$1085,$J421,'Data SO'!$G$2:$G$1085)</f>
        <v>3974400</v>
      </c>
      <c r="G421" s="4">
        <f>SUMIF('Data SCM'!$I$2:$I$698,$J421,'Data SCM'!$H$2:$H$698)</f>
        <v>3974400</v>
      </c>
      <c r="H421" s="4">
        <f t="shared" si="19"/>
        <v>0</v>
      </c>
      <c r="I421" s="3" t="str">
        <f>IF(COUNTIF('Data SCM'!$I$2:$I$698,$J421)=0,"Hanya di SO",IF(COUNTIF('Data SO'!$H$2:$H$1085,$J421)=0,"Hanya di SCM",IF(AND(ABS(E421)&lt;0.01,ABS(H421)&lt;1),"Sama",IF(ABS(E421)&lt;0.01,"Selisih nominal",IF(ABS(H421)&lt;1,"Selisih qty","Selisih qty &amp; nominal")))))</f>
        <v>Sama</v>
      </c>
      <c r="J421" t="s">
        <v>445</v>
      </c>
      <c r="K421" t="str">
        <f>IFERROR(INDEX('Data SCM'!$D$2:$D$698,MATCH($J421,'Data SCM'!$I$2:$I$698,0)),"")</f>
        <v>PCS</v>
      </c>
      <c r="L421">
        <f t="shared" si="20"/>
        <v>1</v>
      </c>
    </row>
    <row r="422" spans="1:12" x14ac:dyDescent="0.25">
      <c r="A422" s="3" t="str">
        <f>IFERROR(INDEX('Data SO'!$C$2:$C$1085,MATCH($J422,'Data SO'!$H$2:$H$1085,0)),INDEX('Data SCM'!$B$2:$B$698,MATCH($J422,'Data SCM'!$I$2:$I$698,0)))</f>
        <v>Sticker Nayla @1Pcs</v>
      </c>
      <c r="B422" s="3" t="str">
        <f>IFERROR(INDEX('Data SO'!$D$2:$D$1085,MATCH($J422,'Data SO'!$H$2:$H$1085,0)),K422)</f>
        <v>pcs</v>
      </c>
      <c r="C422" s="9">
        <f>SUMIF('Data SO'!$H$2:$H$1085,$J422,'Data SO'!$F$2:$F$1085)</f>
        <v>1800</v>
      </c>
      <c r="D422" s="9">
        <f>SUMIF('Data SCM'!$I$2:$I$698,$J422,'Data SCM'!$E$2:$E$698)*L422</f>
        <v>1800</v>
      </c>
      <c r="E422" s="9">
        <f t="shared" si="18"/>
        <v>0</v>
      </c>
      <c r="F422" s="4">
        <f>SUMIF('Data SO'!$H$2:$H$1085,$J422,'Data SO'!$G$2:$G$1085)</f>
        <v>360000</v>
      </c>
      <c r="G422" s="4">
        <f>SUMIF('Data SCM'!$I$2:$I$698,$J422,'Data SCM'!$H$2:$H$698)</f>
        <v>360000</v>
      </c>
      <c r="H422" s="4">
        <f t="shared" si="19"/>
        <v>0</v>
      </c>
      <c r="I422" s="3" t="str">
        <f>IF(COUNTIF('Data SCM'!$I$2:$I$698,$J422)=0,"Hanya di SO",IF(COUNTIF('Data SO'!$H$2:$H$1085,$J422)=0,"Hanya di SCM",IF(AND(ABS(E422)&lt;0.01,ABS(H422)&lt;1),"Sama",IF(ABS(E422)&lt;0.01,"Selisih nominal",IF(ABS(H422)&lt;1,"Selisih qty","Selisih qty &amp; nominal")))))</f>
        <v>Sama</v>
      </c>
      <c r="J422" t="s">
        <v>446</v>
      </c>
      <c r="K422" t="str">
        <f>IFERROR(INDEX('Data SCM'!$D$2:$D$698,MATCH($J422,'Data SCM'!$I$2:$I$698,0)),"")</f>
        <v>PCS</v>
      </c>
      <c r="L422">
        <f t="shared" si="20"/>
        <v>1</v>
      </c>
    </row>
    <row r="423" spans="1:12" x14ac:dyDescent="0.25">
      <c r="A423" s="3" t="str">
        <f>IFERROR(INDEX('Data SO'!$C$2:$C$1085,MATCH($J423,'Data SO'!$H$2:$H$1085,0)),INDEX('Data SCM'!$B$2:$B$698,MATCH($J423,'Data SCM'!$I$2:$I$698,0)))</f>
        <v>Susu Bubuk F-04 @ 25 Kg</v>
      </c>
      <c r="B423" s="3" t="str">
        <f>IFERROR(INDEX('Data SO'!$D$2:$D$1085,MATCH($J423,'Data SO'!$H$2:$H$1085,0)),K423)</f>
        <v>kg</v>
      </c>
      <c r="C423" s="9">
        <f>SUMIF('Data SO'!$H$2:$H$1085,$J423,'Data SO'!$F$2:$F$1085)</f>
        <v>375</v>
      </c>
      <c r="D423" s="9">
        <f>SUMIF('Data SCM'!$I$2:$I$698,$J423,'Data SCM'!$E$2:$E$698)*L423</f>
        <v>375</v>
      </c>
      <c r="E423" s="9">
        <f t="shared" si="18"/>
        <v>0</v>
      </c>
      <c r="F423" s="4">
        <f>SUMIF('Data SO'!$H$2:$H$1085,$J423,'Data SO'!$G$2:$G$1085)</f>
        <v>12600000</v>
      </c>
      <c r="G423" s="4">
        <f>SUMIF('Data SCM'!$I$2:$I$698,$J423,'Data SCM'!$H$2:$H$698)</f>
        <v>12600000</v>
      </c>
      <c r="H423" s="4">
        <f t="shared" si="19"/>
        <v>0</v>
      </c>
      <c r="I423" s="3" t="str">
        <f>IF(COUNTIF('Data SCM'!$I$2:$I$698,$J423)=0,"Hanya di SO",IF(COUNTIF('Data SO'!$H$2:$H$1085,$J423)=0,"Hanya di SCM",IF(AND(ABS(E423)&lt;0.01,ABS(H423)&lt;1),"Sama",IF(ABS(E423)&lt;0.01,"Selisih nominal",IF(ABS(H423)&lt;1,"Selisih qty","Selisih qty &amp; nominal")))))</f>
        <v>Sama</v>
      </c>
      <c r="J423" t="s">
        <v>447</v>
      </c>
      <c r="K423" t="str">
        <f>IFERROR(INDEX('Data SCM'!$D$2:$D$698,MATCH($J423,'Data SCM'!$I$2:$I$698,0)),"")</f>
        <v>KG</v>
      </c>
      <c r="L423">
        <f t="shared" si="20"/>
        <v>1</v>
      </c>
    </row>
    <row r="424" spans="1:12" x14ac:dyDescent="0.25">
      <c r="A424" s="3" t="str">
        <f>IFERROR(INDEX('Data SO'!$C$2:$C$1085,MATCH($J424,'Data SO'!$H$2:$H$1085,0)),INDEX('Data SCM'!$B$2:$B$698,MATCH($J424,'Data SCM'!$I$2:$I$698,0)))</f>
        <v>TEH BOTOL SOSRO 200ML</v>
      </c>
      <c r="B424" s="3" t="str">
        <f>IFERROR(INDEX('Data SO'!$D$2:$D$1085,MATCH($J424,'Data SO'!$H$2:$H$1085,0)),K424)</f>
        <v>pcs</v>
      </c>
      <c r="C424" s="9">
        <f>SUMIF('Data SO'!$H$2:$H$1085,$J424,'Data SO'!$F$2:$F$1085)</f>
        <v>61</v>
      </c>
      <c r="D424" s="9">
        <f>SUMIF('Data SCM'!$I$2:$I$698,$J424,'Data SCM'!$E$2:$E$698)*L424</f>
        <v>61</v>
      </c>
      <c r="E424" s="9">
        <f t="shared" si="18"/>
        <v>0</v>
      </c>
      <c r="F424" s="4">
        <f>SUMIF('Data SO'!$H$2:$H$1085,$J424,'Data SO'!$G$2:$G$1085)</f>
        <v>144875</v>
      </c>
      <c r="G424" s="4">
        <f>SUMIF('Data SCM'!$I$2:$I$698,$J424,'Data SCM'!$H$2:$H$698)</f>
        <v>144875</v>
      </c>
      <c r="H424" s="4">
        <f t="shared" si="19"/>
        <v>0</v>
      </c>
      <c r="I424" s="3" t="str">
        <f>IF(COUNTIF('Data SCM'!$I$2:$I$698,$J424)=0,"Hanya di SO",IF(COUNTIF('Data SO'!$H$2:$H$1085,$J424)=0,"Hanya di SCM",IF(AND(ABS(E424)&lt;0.01,ABS(H424)&lt;1),"Sama",IF(ABS(E424)&lt;0.01,"Selisih nominal",IF(ABS(H424)&lt;1,"Selisih qty","Selisih qty &amp; nominal")))))</f>
        <v>Sama</v>
      </c>
      <c r="J424" t="s">
        <v>448</v>
      </c>
      <c r="K424" t="str">
        <f>IFERROR(INDEX('Data SCM'!$D$2:$D$698,MATCH($J424,'Data SCM'!$I$2:$I$698,0)),"")</f>
        <v>PCS</v>
      </c>
      <c r="L424">
        <f t="shared" si="20"/>
        <v>1</v>
      </c>
    </row>
    <row r="425" spans="1:12" x14ac:dyDescent="0.25">
      <c r="A425" s="3" t="str">
        <f>IFERROR(INDEX('Data SO'!$C$2:$C$1085,MATCH($J425,'Data SO'!$H$2:$H$1085,0)),INDEX('Data SCM'!$B$2:$B$698,MATCH($J425,'Data SCM'!$I$2:$I$698,0)))</f>
        <v xml:space="preserve">TELUR </v>
      </c>
      <c r="B425" s="3" t="str">
        <f>IFERROR(INDEX('Data SO'!$D$2:$D$1085,MATCH($J425,'Data SO'!$H$2:$H$1085,0)),K425)</f>
        <v>kg</v>
      </c>
      <c r="C425" s="9">
        <f>SUMIF('Data SO'!$H$2:$H$1085,$J425,'Data SO'!$F$2:$F$1085)</f>
        <v>1065</v>
      </c>
      <c r="D425" s="9">
        <f>SUMIF('Data SCM'!$I$2:$I$698,$J425,'Data SCM'!$E$2:$E$698)*L425</f>
        <v>1065</v>
      </c>
      <c r="E425" s="9">
        <f t="shared" si="18"/>
        <v>0</v>
      </c>
      <c r="F425" s="4">
        <f>SUMIF('Data SO'!$H$2:$H$1085,$J425,'Data SO'!$G$2:$G$1085)</f>
        <v>28222500</v>
      </c>
      <c r="G425" s="4">
        <f>SUMIF('Data SCM'!$I$2:$I$698,$J425,'Data SCM'!$H$2:$H$698)</f>
        <v>28222500</v>
      </c>
      <c r="H425" s="4">
        <f t="shared" si="19"/>
        <v>0</v>
      </c>
      <c r="I425" s="3" t="str">
        <f>IF(COUNTIF('Data SCM'!$I$2:$I$698,$J425)=0,"Hanya di SO",IF(COUNTIF('Data SO'!$H$2:$H$1085,$J425)=0,"Hanya di SCM",IF(AND(ABS(E425)&lt;0.01,ABS(H425)&lt;1),"Sama",IF(ABS(E425)&lt;0.01,"Selisih nominal",IF(ABS(H425)&lt;1,"Selisih qty","Selisih qty &amp; nominal")))))</f>
        <v>Sama</v>
      </c>
      <c r="J425" t="s">
        <v>449</v>
      </c>
      <c r="K425" t="str">
        <f>IFERROR(INDEX('Data SCM'!$D$2:$D$698,MATCH($J425,'Data SCM'!$I$2:$I$698,0)),"")</f>
        <v>KG</v>
      </c>
      <c r="L425">
        <f t="shared" si="20"/>
        <v>1</v>
      </c>
    </row>
    <row r="426" spans="1:12" x14ac:dyDescent="0.25">
      <c r="A426" s="3" t="str">
        <f>IFERROR(INDEX('Data SO'!$C$2:$C$1085,MATCH($J426,'Data SO'!$H$2:$H$1085,0)),INDEX('Data SCM'!$B$2:$B$698,MATCH($J426,'Data SCM'!$I$2:$I$698,0)))</f>
        <v xml:space="preserve">TEPUNG PANIR </v>
      </c>
      <c r="B426" s="3" t="str">
        <f>IFERROR(INDEX('Data SO'!$D$2:$D$1085,MATCH($J426,'Data SO'!$H$2:$H$1085,0)),K426)</f>
        <v>Kg</v>
      </c>
      <c r="C426" s="9">
        <f>SUMIF('Data SO'!$H$2:$H$1085,$J426,'Data SO'!$F$2:$F$1085)</f>
        <v>20</v>
      </c>
      <c r="D426" s="9">
        <f>SUMIF('Data SCM'!$I$2:$I$698,$J426,'Data SCM'!$E$2:$E$698)*L426</f>
        <v>20</v>
      </c>
      <c r="E426" s="9">
        <f t="shared" si="18"/>
        <v>0</v>
      </c>
      <c r="F426" s="4">
        <f>SUMIF('Data SO'!$H$2:$H$1085,$J426,'Data SO'!$G$2:$G$1085)</f>
        <v>291000</v>
      </c>
      <c r="G426" s="4">
        <f>SUMIF('Data SCM'!$I$2:$I$698,$J426,'Data SCM'!$H$2:$H$698)</f>
        <v>291000</v>
      </c>
      <c r="H426" s="4">
        <f t="shared" si="19"/>
        <v>0</v>
      </c>
      <c r="I426" s="3" t="str">
        <f>IF(COUNTIF('Data SCM'!$I$2:$I$698,$J426)=0,"Hanya di SO",IF(COUNTIF('Data SO'!$H$2:$H$1085,$J426)=0,"Hanya di SCM",IF(AND(ABS(E426)&lt;0.01,ABS(H426)&lt;1),"Sama",IF(ABS(E426)&lt;0.01,"Selisih nominal",IF(ABS(H426)&lt;1,"Selisih qty","Selisih qty &amp; nominal")))))</f>
        <v>Sama</v>
      </c>
      <c r="J426" t="s">
        <v>450</v>
      </c>
      <c r="K426" t="str">
        <f>IFERROR(INDEX('Data SCM'!$D$2:$D$698,MATCH($J426,'Data SCM'!$I$2:$I$698,0)),"")</f>
        <v>KG</v>
      </c>
      <c r="L426">
        <f t="shared" si="20"/>
        <v>1</v>
      </c>
    </row>
    <row r="427" spans="1:12" x14ac:dyDescent="0.25">
      <c r="A427" s="3" t="str">
        <f>IFERROR(INDEX('Data SO'!$C$2:$C$1085,MATCH($J427,'Data SO'!$H$2:$H$1085,0)),INDEX('Data SCM'!$B$2:$B$698,MATCH($J427,'Data SCM'!$I$2:$I$698,0)))</f>
        <v xml:space="preserve">TEPUNG SAGU </v>
      </c>
      <c r="B427" s="3" t="str">
        <f>IFERROR(INDEX('Data SO'!$D$2:$D$1085,MATCH($J427,'Data SO'!$H$2:$H$1085,0)),K427)</f>
        <v>Gram</v>
      </c>
      <c r="C427" s="9">
        <f>SUMIF('Data SO'!$H$2:$H$1085,$J427,'Data SO'!$F$2:$F$1085)</f>
        <v>53000</v>
      </c>
      <c r="D427" s="9">
        <f>SUMIF('Data SCM'!$I$2:$I$698,$J427,'Data SCM'!$E$2:$E$698)*L427</f>
        <v>53000</v>
      </c>
      <c r="E427" s="9">
        <f t="shared" si="18"/>
        <v>0</v>
      </c>
      <c r="F427" s="4">
        <f>SUMIF('Data SO'!$H$2:$H$1085,$J427,'Data SO'!$G$2:$G$1085)</f>
        <v>1802000</v>
      </c>
      <c r="G427" s="4">
        <f>SUMIF('Data SCM'!$I$2:$I$698,$J427,'Data SCM'!$H$2:$H$698)</f>
        <v>1802000</v>
      </c>
      <c r="H427" s="4">
        <f t="shared" si="19"/>
        <v>0</v>
      </c>
      <c r="I427" s="3" t="str">
        <f>IF(COUNTIF('Data SCM'!$I$2:$I$698,$J427)=0,"Hanya di SO",IF(COUNTIF('Data SO'!$H$2:$H$1085,$J427)=0,"Hanya di SCM",IF(AND(ABS(E427)&lt;0.01,ABS(H427)&lt;1),"Sama",IF(ABS(E427)&lt;0.01,"Selisih nominal",IF(ABS(H427)&lt;1,"Selisih qty","Selisih qty &amp; nominal")))))</f>
        <v>Sama</v>
      </c>
      <c r="J427" t="s">
        <v>451</v>
      </c>
      <c r="K427" t="str">
        <f>IFERROR(INDEX('Data SCM'!$D$2:$D$698,MATCH($J427,'Data SCM'!$I$2:$I$698,0)),"")</f>
        <v>GR</v>
      </c>
      <c r="L427">
        <f t="shared" si="20"/>
        <v>1</v>
      </c>
    </row>
    <row r="428" spans="1:12" x14ac:dyDescent="0.25">
      <c r="A428" s="3" t="str">
        <f>IFERROR(INDEX('Data SO'!$C$2:$C$1085,MATCH($J428,'Data SO'!$H$2:$H$1085,0)),INDEX('Data SCM'!$B$2:$B$698,MATCH($J428,'Data SCM'!$I$2:$I$698,0)))</f>
        <v>TOPLES TUTUP GOLD @ 80x15 CM</v>
      </c>
      <c r="B428" s="3" t="str">
        <f>IFERROR(INDEX('Data SO'!$D$2:$D$1085,MATCH($J428,'Data SO'!$H$2:$H$1085,0)),K428)</f>
        <v>Pcs</v>
      </c>
      <c r="C428" s="9">
        <f>SUMIF('Data SO'!$H$2:$H$1085,$J428,'Data SO'!$F$2:$F$1085)</f>
        <v>1340</v>
      </c>
      <c r="D428" s="9">
        <f>SUMIF('Data SCM'!$I$2:$I$698,$J428,'Data SCM'!$E$2:$E$698)*L428</f>
        <v>1340</v>
      </c>
      <c r="E428" s="9">
        <f t="shared" si="18"/>
        <v>0</v>
      </c>
      <c r="F428" s="4">
        <f>SUMIF('Data SO'!$H$2:$H$1085,$J428,'Data SO'!$G$2:$G$1085)</f>
        <v>8308000</v>
      </c>
      <c r="G428" s="4">
        <f>SUMIF('Data SCM'!$I$2:$I$698,$J428,'Data SCM'!$H$2:$H$698)</f>
        <v>8308000</v>
      </c>
      <c r="H428" s="4">
        <f t="shared" si="19"/>
        <v>0</v>
      </c>
      <c r="I428" s="3" t="str">
        <f>IF(COUNTIF('Data SCM'!$I$2:$I$698,$J428)=0,"Hanya di SO",IF(COUNTIF('Data SO'!$H$2:$H$1085,$J428)=0,"Hanya di SCM",IF(AND(ABS(E428)&lt;0.01,ABS(H428)&lt;1),"Sama",IF(ABS(E428)&lt;0.01,"Selisih nominal",IF(ABS(H428)&lt;1,"Selisih qty","Selisih qty &amp; nominal")))))</f>
        <v>Sama</v>
      </c>
      <c r="J428" t="s">
        <v>452</v>
      </c>
      <c r="K428" t="str">
        <f>IFERROR(INDEX('Data SCM'!$D$2:$D$698,MATCH($J428,'Data SCM'!$I$2:$I$698,0)),"")</f>
        <v>PCS</v>
      </c>
      <c r="L428">
        <f t="shared" si="20"/>
        <v>1</v>
      </c>
    </row>
    <row r="429" spans="1:12" x14ac:dyDescent="0.25">
      <c r="A429" s="3" t="str">
        <f>IFERROR(INDEX('Data SO'!$C$2:$C$1085,MATCH($J429,'Data SO'!$H$2:$H$1085,0)),INDEX('Data SCM'!$B$2:$B$698,MATCH($J429,'Data SCM'!$I$2:$I$698,0)))</f>
        <v>TOPPER AKRILIK @100 PCS</v>
      </c>
      <c r="B429" s="3" t="str">
        <f>IFERROR(INDEX('Data SO'!$D$2:$D$1085,MATCH($J429,'Data SO'!$H$2:$H$1085,0)),K429)</f>
        <v>pcs</v>
      </c>
      <c r="C429" s="9">
        <f>SUMIF('Data SO'!$H$2:$H$1085,$J429,'Data SO'!$F$2:$F$1085)</f>
        <v>2900</v>
      </c>
      <c r="D429" s="9">
        <f>SUMIF('Data SCM'!$I$2:$I$698,$J429,'Data SCM'!$E$2:$E$698)*L429</f>
        <v>2900</v>
      </c>
      <c r="E429" s="9">
        <f t="shared" si="18"/>
        <v>0</v>
      </c>
      <c r="F429" s="4">
        <f>SUMIF('Data SO'!$H$2:$H$1085,$J429,'Data SO'!$G$2:$G$1085)</f>
        <v>1740000</v>
      </c>
      <c r="G429" s="4">
        <f>SUMIF('Data SCM'!$I$2:$I$698,$J429,'Data SCM'!$H$2:$H$698)</f>
        <v>1740000</v>
      </c>
      <c r="H429" s="4">
        <f t="shared" si="19"/>
        <v>0</v>
      </c>
      <c r="I429" s="3" t="str">
        <f>IF(COUNTIF('Data SCM'!$I$2:$I$698,$J429)=0,"Hanya di SO",IF(COUNTIF('Data SO'!$H$2:$H$1085,$J429)=0,"Hanya di SCM",IF(AND(ABS(E429)&lt;0.01,ABS(H429)&lt;1),"Sama",IF(ABS(E429)&lt;0.01,"Selisih nominal",IF(ABS(H429)&lt;1,"Selisih qty","Selisih qty &amp; nominal")))))</f>
        <v>Sama</v>
      </c>
      <c r="J429" t="s">
        <v>453</v>
      </c>
      <c r="K429" t="str">
        <f>IFERROR(INDEX('Data SCM'!$D$2:$D$698,MATCH($J429,'Data SCM'!$I$2:$I$698,0)),"")</f>
        <v>PCS</v>
      </c>
      <c r="L429">
        <f t="shared" si="20"/>
        <v>1</v>
      </c>
    </row>
    <row r="430" spans="1:12" x14ac:dyDescent="0.25">
      <c r="A430" s="3" t="str">
        <f>IFERROR(INDEX('Data SO'!$C$2:$C$1085,MATCH($J430,'Data SO'!$H$2:$H$1085,0)),INDEX('Data SCM'!$B$2:$B$698,MATCH($J430,'Data SCM'!$I$2:$I$698,0)))</f>
        <v>TOPPER AKRILIK KARAKTER</v>
      </c>
      <c r="B430" s="3" t="str">
        <f>IFERROR(INDEX('Data SO'!$D$2:$D$1085,MATCH($J430,'Data SO'!$H$2:$H$1085,0)),K430)</f>
        <v>Pcs</v>
      </c>
      <c r="C430" s="9">
        <f>SUMIF('Data SO'!$H$2:$H$1085,$J430,'Data SO'!$F$2:$F$1085)</f>
        <v>66</v>
      </c>
      <c r="D430" s="9">
        <f>SUMIF('Data SCM'!$I$2:$I$698,$J430,'Data SCM'!$E$2:$E$698)*L430</f>
        <v>66</v>
      </c>
      <c r="E430" s="9">
        <f t="shared" si="18"/>
        <v>0</v>
      </c>
      <c r="F430" s="4">
        <f>SUMIF('Data SO'!$H$2:$H$1085,$J430,'Data SO'!$G$2:$G$1085)</f>
        <v>429000</v>
      </c>
      <c r="G430" s="4">
        <f>SUMIF('Data SCM'!$I$2:$I$698,$J430,'Data SCM'!$H$2:$H$698)</f>
        <v>429000</v>
      </c>
      <c r="H430" s="4">
        <f t="shared" si="19"/>
        <v>0</v>
      </c>
      <c r="I430" s="3" t="str">
        <f>IF(COUNTIF('Data SCM'!$I$2:$I$698,$J430)=0,"Hanya di SO",IF(COUNTIF('Data SO'!$H$2:$H$1085,$J430)=0,"Hanya di SCM",IF(AND(ABS(E430)&lt;0.01,ABS(H430)&lt;1),"Sama",IF(ABS(E430)&lt;0.01,"Selisih nominal",IF(ABS(H430)&lt;1,"Selisih qty","Selisih qty &amp; nominal")))))</f>
        <v>Sama</v>
      </c>
      <c r="J430" t="s">
        <v>454</v>
      </c>
      <c r="K430" t="str">
        <f>IFERROR(INDEX('Data SCM'!$D$2:$D$698,MATCH($J430,'Data SCM'!$I$2:$I$698,0)),"")</f>
        <v>PCS</v>
      </c>
      <c r="L430">
        <f t="shared" si="20"/>
        <v>1</v>
      </c>
    </row>
    <row r="431" spans="1:12" x14ac:dyDescent="0.25">
      <c r="A431" s="3" t="str">
        <f>IFERROR(INDEX('Data SO'!$C$2:$C$1085,MATCH($J431,'Data SO'!$H$2:$H$1085,0)),INDEX('Data SCM'!$B$2:$B$698,MATCH($J431,'Data SCM'!$I$2:$I$698,0)))</f>
        <v>TOPPER KUE AMORCAKE</v>
      </c>
      <c r="B431" s="3" t="str">
        <f>IFERROR(INDEX('Data SO'!$D$2:$D$1085,MATCH($J431,'Data SO'!$H$2:$H$1085,0)),K431)</f>
        <v>Pcs</v>
      </c>
      <c r="C431" s="9">
        <f>SUMIF('Data SO'!$H$2:$H$1085,$J431,'Data SO'!$F$2:$F$1085)</f>
        <v>163200</v>
      </c>
      <c r="D431" s="9">
        <f>SUMIF('Data SCM'!$I$2:$I$698,$J431,'Data SCM'!$E$2:$E$698)*L431</f>
        <v>163200</v>
      </c>
      <c r="E431" s="9">
        <f t="shared" si="18"/>
        <v>0</v>
      </c>
      <c r="F431" s="4">
        <f>SUMIF('Data SO'!$H$2:$H$1085,$J431,'Data SO'!$G$2:$G$1085)</f>
        <v>90739200</v>
      </c>
      <c r="G431" s="4">
        <f>SUMIF('Data SCM'!$I$2:$I$698,$J431,'Data SCM'!$H$2:$H$698)</f>
        <v>90739200</v>
      </c>
      <c r="H431" s="4">
        <f t="shared" si="19"/>
        <v>0</v>
      </c>
      <c r="I431" s="3" t="str">
        <f>IF(COUNTIF('Data SCM'!$I$2:$I$698,$J431)=0,"Hanya di SO",IF(COUNTIF('Data SO'!$H$2:$H$1085,$J431)=0,"Hanya di SCM",IF(AND(ABS(E431)&lt;0.01,ABS(H431)&lt;1),"Sama",IF(ABS(E431)&lt;0.01,"Selisih nominal",IF(ABS(H431)&lt;1,"Selisih qty","Selisih qty &amp; nominal")))))</f>
        <v>Sama</v>
      </c>
      <c r="J431" t="s">
        <v>455</v>
      </c>
      <c r="K431" t="str">
        <f>IFERROR(INDEX('Data SCM'!$D$2:$D$698,MATCH($J431,'Data SCM'!$I$2:$I$698,0)),"")</f>
        <v>PCS</v>
      </c>
      <c r="L431">
        <f t="shared" si="20"/>
        <v>1</v>
      </c>
    </row>
    <row r="432" spans="1:12" x14ac:dyDescent="0.25">
      <c r="A432" s="3" t="str">
        <f>IFERROR(INDEX('Data SO'!$C$2:$C$1085,MATCH($J432,'Data SO'!$H$2:$H$1085,0)),INDEX('Data SCM'!$B$2:$B$698,MATCH($J432,'Data SCM'!$I$2:$I$698,0)))</f>
        <v>Tatakan 22X22 Bulat</v>
      </c>
      <c r="B432" s="3" t="str">
        <f>IFERROR(INDEX('Data SO'!$D$2:$D$1085,MATCH($J432,'Data SO'!$H$2:$H$1085,0)),K432)</f>
        <v>pcs</v>
      </c>
      <c r="C432" s="9">
        <f>SUMIF('Data SO'!$H$2:$H$1085,$J432,'Data SO'!$F$2:$F$1085)</f>
        <v>276</v>
      </c>
      <c r="D432" s="9">
        <f>SUMIF('Data SCM'!$I$2:$I$698,$J432,'Data SCM'!$E$2:$E$698)*L432</f>
        <v>276</v>
      </c>
      <c r="E432" s="9">
        <f t="shared" si="18"/>
        <v>0</v>
      </c>
      <c r="F432" s="4">
        <f>SUMIF('Data SO'!$H$2:$H$1085,$J432,'Data SO'!$G$2:$G$1085)</f>
        <v>414000</v>
      </c>
      <c r="G432" s="4">
        <f>SUMIF('Data SCM'!$I$2:$I$698,$J432,'Data SCM'!$H$2:$H$698)</f>
        <v>414000</v>
      </c>
      <c r="H432" s="4">
        <f t="shared" si="19"/>
        <v>0</v>
      </c>
      <c r="I432" s="3" t="str">
        <f>IF(COUNTIF('Data SCM'!$I$2:$I$698,$J432)=0,"Hanya di SO",IF(COUNTIF('Data SO'!$H$2:$H$1085,$J432)=0,"Hanya di SCM",IF(AND(ABS(E432)&lt;0.01,ABS(H432)&lt;1),"Sama",IF(ABS(E432)&lt;0.01,"Selisih nominal",IF(ABS(H432)&lt;1,"Selisih qty","Selisih qty &amp; nominal")))))</f>
        <v>Sama</v>
      </c>
      <c r="J432" t="s">
        <v>456</v>
      </c>
      <c r="K432" t="str">
        <f>IFERROR(INDEX('Data SCM'!$D$2:$D$698,MATCH($J432,'Data SCM'!$I$2:$I$698,0)),"")</f>
        <v>PCS</v>
      </c>
      <c r="L432">
        <f t="shared" si="20"/>
        <v>1</v>
      </c>
    </row>
    <row r="433" spans="1:12" x14ac:dyDescent="0.25">
      <c r="A433" s="3" t="str">
        <f>IFERROR(INDEX('Data SO'!$C$2:$C$1085,MATCH($J433,'Data SO'!$H$2:$H$1085,0)),INDEX('Data SCM'!$B$2:$B$698,MATCH($J433,'Data SCM'!$I$2:$I$698,0)))</f>
        <v>Tegral Donat Prime @ 10kg</v>
      </c>
      <c r="B433" s="3" t="str">
        <f>IFERROR(INDEX('Data SO'!$D$2:$D$1085,MATCH($J433,'Data SO'!$H$2:$H$1085,0)),K433)</f>
        <v>kg</v>
      </c>
      <c r="C433" s="9">
        <f>SUMIF('Data SO'!$H$2:$H$1085,$J433,'Data SO'!$F$2:$F$1085)</f>
        <v>380</v>
      </c>
      <c r="D433" s="9">
        <f>SUMIF('Data SCM'!$I$2:$I$698,$J433,'Data SCM'!$E$2:$E$698)*L433</f>
        <v>380</v>
      </c>
      <c r="E433" s="9">
        <f t="shared" si="18"/>
        <v>0</v>
      </c>
      <c r="F433" s="4">
        <f>SUMIF('Data SO'!$H$2:$H$1085,$J433,'Data SO'!$G$2:$G$1085)</f>
        <v>16272550</v>
      </c>
      <c r="G433" s="4">
        <f>SUMIF('Data SCM'!$I$2:$I$698,$J433,'Data SCM'!$H$2:$H$698)</f>
        <v>16272550</v>
      </c>
      <c r="H433" s="4">
        <f t="shared" si="19"/>
        <v>0</v>
      </c>
      <c r="I433" s="3" t="str">
        <f>IF(COUNTIF('Data SCM'!$I$2:$I$698,$J433)=0,"Hanya di SO",IF(COUNTIF('Data SO'!$H$2:$H$1085,$J433)=0,"Hanya di SCM",IF(AND(ABS(E433)&lt;0.01,ABS(H433)&lt;1),"Sama",IF(ABS(E433)&lt;0.01,"Selisih nominal",IF(ABS(H433)&lt;1,"Selisih qty","Selisih qty &amp; nominal")))))</f>
        <v>Sama</v>
      </c>
      <c r="J433" t="s">
        <v>457</v>
      </c>
      <c r="K433" t="str">
        <f>IFERROR(INDEX('Data SCM'!$D$2:$D$698,MATCH($J433,'Data SCM'!$I$2:$I$698,0)),"")</f>
        <v>KG</v>
      </c>
      <c r="L433">
        <f t="shared" si="20"/>
        <v>1</v>
      </c>
    </row>
    <row r="434" spans="1:12" x14ac:dyDescent="0.25">
      <c r="A434" s="3" t="str">
        <f>IFERROR(INDEX('Data SO'!$C$2:$C$1085,MATCH($J434,'Data SO'!$H$2:$H$1085,0)),INDEX('Data SCM'!$B$2:$B$698,MATCH($J434,'Data SCM'!$I$2:$I$698,0)))</f>
        <v>Tepung Muffin Cokelat @1X10Kg</v>
      </c>
      <c r="B434" s="3" t="str">
        <f>IFERROR(INDEX('Data SO'!$D$2:$D$1085,MATCH($J434,'Data SO'!$H$2:$H$1085,0)),K434)</f>
        <v>kg</v>
      </c>
      <c r="C434" s="9">
        <f>SUMIF('Data SO'!$H$2:$H$1085,$J434,'Data SO'!$F$2:$F$1085)</f>
        <v>350</v>
      </c>
      <c r="D434" s="9">
        <f>SUMIF('Data SCM'!$I$2:$I$698,$J434,'Data SCM'!$E$2:$E$698)*L434</f>
        <v>350</v>
      </c>
      <c r="E434" s="9">
        <f t="shared" si="18"/>
        <v>0</v>
      </c>
      <c r="F434" s="4">
        <f>SUMIF('Data SO'!$H$2:$H$1085,$J434,'Data SO'!$G$2:$G$1085)</f>
        <v>19774650</v>
      </c>
      <c r="G434" s="4">
        <f>SUMIF('Data SCM'!$I$2:$I$698,$J434,'Data SCM'!$H$2:$H$698)</f>
        <v>19774650</v>
      </c>
      <c r="H434" s="4">
        <f t="shared" si="19"/>
        <v>0</v>
      </c>
      <c r="I434" s="3" t="str">
        <f>IF(COUNTIF('Data SCM'!$I$2:$I$698,$J434)=0,"Hanya di SO",IF(COUNTIF('Data SO'!$H$2:$H$1085,$J434)=0,"Hanya di SCM",IF(AND(ABS(E434)&lt;0.01,ABS(H434)&lt;1),"Sama",IF(ABS(E434)&lt;0.01,"Selisih nominal",IF(ABS(H434)&lt;1,"Selisih qty","Selisih qty &amp; nominal")))))</f>
        <v>Sama</v>
      </c>
      <c r="J434" t="s">
        <v>458</v>
      </c>
      <c r="K434" t="str">
        <f>IFERROR(INDEX('Data SCM'!$D$2:$D$698,MATCH($J434,'Data SCM'!$I$2:$I$698,0)),"")</f>
        <v>KG</v>
      </c>
      <c r="L434">
        <f t="shared" si="20"/>
        <v>1</v>
      </c>
    </row>
    <row r="435" spans="1:12" x14ac:dyDescent="0.25">
      <c r="A435" s="3" t="str">
        <f>IFERROR(INDEX('Data SO'!$C$2:$C$1085,MATCH($J435,'Data SO'!$H$2:$H$1085,0)),INDEX('Data SCM'!$B$2:$B$698,MATCH($J435,'Data SCM'!$I$2:$I$698,0)))</f>
        <v>Tepung Muffin Vanila @1X10Kg</v>
      </c>
      <c r="B435" s="3" t="str">
        <f>IFERROR(INDEX('Data SO'!$D$2:$D$1085,MATCH($J435,'Data SO'!$H$2:$H$1085,0)),K435)</f>
        <v>kg</v>
      </c>
      <c r="C435" s="9">
        <f>SUMIF('Data SO'!$H$2:$H$1085,$J435,'Data SO'!$F$2:$F$1085)</f>
        <v>140</v>
      </c>
      <c r="D435" s="9">
        <f>SUMIF('Data SCM'!$I$2:$I$698,$J435,'Data SCM'!$E$2:$E$698)*L435</f>
        <v>140</v>
      </c>
      <c r="E435" s="9">
        <f t="shared" si="18"/>
        <v>0</v>
      </c>
      <c r="F435" s="4">
        <f>SUMIF('Data SO'!$H$2:$H$1085,$J435,'Data SO'!$G$2:$G$1085)</f>
        <v>6775440</v>
      </c>
      <c r="G435" s="4">
        <f>SUMIF('Data SCM'!$I$2:$I$698,$J435,'Data SCM'!$H$2:$H$698)</f>
        <v>6775440</v>
      </c>
      <c r="H435" s="4">
        <f t="shared" si="19"/>
        <v>0</v>
      </c>
      <c r="I435" s="3" t="str">
        <f>IF(COUNTIF('Data SCM'!$I$2:$I$698,$J435)=0,"Hanya di SO",IF(COUNTIF('Data SO'!$H$2:$H$1085,$J435)=0,"Hanya di SCM",IF(AND(ABS(E435)&lt;0.01,ABS(H435)&lt;1),"Sama",IF(ABS(E435)&lt;0.01,"Selisih nominal",IF(ABS(H435)&lt;1,"Selisih qty","Selisih qty &amp; nominal")))))</f>
        <v>Sama</v>
      </c>
      <c r="J435" t="s">
        <v>459</v>
      </c>
      <c r="K435" t="str">
        <f>IFERROR(INDEX('Data SCM'!$D$2:$D$698,MATCH($J435,'Data SCM'!$I$2:$I$698,0)),"")</f>
        <v>KG</v>
      </c>
      <c r="L435">
        <f t="shared" si="20"/>
        <v>1</v>
      </c>
    </row>
    <row r="436" spans="1:12" x14ac:dyDescent="0.25">
      <c r="A436" s="3" t="str">
        <f>IFERROR(INDEX('Data SO'!$C$2:$C$1085,MATCH($J436,'Data SO'!$H$2:$H$1085,0)),INDEX('Data SCM'!$B$2:$B$698,MATCH($J436,'Data SCM'!$I$2:$I$698,0)))</f>
        <v>Terigu Premium Hana Chiffon 10Kg</v>
      </c>
      <c r="B436" s="3" t="str">
        <f>IFERROR(INDEX('Data SO'!$D$2:$D$1085,MATCH($J436,'Data SO'!$H$2:$H$1085,0)),K436)</f>
        <v>kg</v>
      </c>
      <c r="C436" s="9">
        <f>SUMIF('Data SO'!$H$2:$H$1085,$J436,'Data SO'!$F$2:$F$1085)</f>
        <v>20</v>
      </c>
      <c r="D436" s="9">
        <f>SUMIF('Data SCM'!$I$2:$I$698,$J436,'Data SCM'!$E$2:$E$698)*L436</f>
        <v>20</v>
      </c>
      <c r="E436" s="9">
        <f t="shared" si="18"/>
        <v>0</v>
      </c>
      <c r="F436" s="4">
        <f>SUMIF('Data SO'!$H$2:$H$1085,$J436,'Data SO'!$G$2:$G$1085)</f>
        <v>758000</v>
      </c>
      <c r="G436" s="4">
        <f>SUMIF('Data SCM'!$I$2:$I$698,$J436,'Data SCM'!$H$2:$H$698)</f>
        <v>758000</v>
      </c>
      <c r="H436" s="4">
        <f t="shared" si="19"/>
        <v>0</v>
      </c>
      <c r="I436" s="3" t="str">
        <f>IF(COUNTIF('Data SCM'!$I$2:$I$698,$J436)=0,"Hanya di SO",IF(COUNTIF('Data SO'!$H$2:$H$1085,$J436)=0,"Hanya di SCM",IF(AND(ABS(E436)&lt;0.01,ABS(H436)&lt;1),"Sama",IF(ABS(E436)&lt;0.01,"Selisih nominal",IF(ABS(H436)&lt;1,"Selisih qty","Selisih qty &amp; nominal")))))</f>
        <v>Sama</v>
      </c>
      <c r="J436" t="s">
        <v>460</v>
      </c>
      <c r="K436" t="str">
        <f>IFERROR(INDEX('Data SCM'!$D$2:$D$698,MATCH($J436,'Data SCM'!$I$2:$I$698,0)),"")</f>
        <v>KG</v>
      </c>
      <c r="L436">
        <f t="shared" si="20"/>
        <v>1</v>
      </c>
    </row>
    <row r="437" spans="1:12" x14ac:dyDescent="0.25">
      <c r="A437" s="3" t="str">
        <f>IFERROR(INDEX('Data SO'!$C$2:$C$1085,MATCH($J437,'Data SO'!$H$2:$H$1085,0)),INDEX('Data SCM'!$B$2:$B$698,MATCH($J437,'Data SCM'!$I$2:$I$698,0)))</f>
        <v>Thinwall 300Ml @20X25Set</v>
      </c>
      <c r="B437" s="3" t="str">
        <f>IFERROR(INDEX('Data SO'!$D$2:$D$1085,MATCH($J437,'Data SO'!$H$2:$H$1085,0)),K437)</f>
        <v>set</v>
      </c>
      <c r="C437" s="9">
        <f>SUMIF('Data SO'!$H$2:$H$1085,$J437,'Data SO'!$F$2:$F$1085)</f>
        <v>475</v>
      </c>
      <c r="D437" s="9">
        <f>SUMIF('Data SCM'!$I$2:$I$698,$J437,'Data SCM'!$E$2:$E$698)*L437</f>
        <v>475</v>
      </c>
      <c r="E437" s="9">
        <f t="shared" si="18"/>
        <v>0</v>
      </c>
      <c r="F437" s="4">
        <f>SUMIF('Data SO'!$H$2:$H$1085,$J437,'Data SO'!$G$2:$G$1085)</f>
        <v>389500</v>
      </c>
      <c r="G437" s="4">
        <f>SUMIF('Data SCM'!$I$2:$I$698,$J437,'Data SCM'!$H$2:$H$698)</f>
        <v>389500</v>
      </c>
      <c r="H437" s="4">
        <f t="shared" si="19"/>
        <v>0</v>
      </c>
      <c r="I437" s="3" t="str">
        <f>IF(COUNTIF('Data SCM'!$I$2:$I$698,$J437)=0,"Hanya di SO",IF(COUNTIF('Data SO'!$H$2:$H$1085,$J437)=0,"Hanya di SCM",IF(AND(ABS(E437)&lt;0.01,ABS(H437)&lt;1),"Sama",IF(ABS(E437)&lt;0.01,"Selisih nominal",IF(ABS(H437)&lt;1,"Selisih qty","Selisih qty &amp; nominal")))))</f>
        <v>Sama</v>
      </c>
      <c r="J437" t="s">
        <v>461</v>
      </c>
      <c r="K437" t="str">
        <f>IFERROR(INDEX('Data SCM'!$D$2:$D$698,MATCH($J437,'Data SCM'!$I$2:$I$698,0)),"")</f>
        <v>SET</v>
      </c>
      <c r="L437">
        <f t="shared" si="20"/>
        <v>1</v>
      </c>
    </row>
    <row r="438" spans="1:12" x14ac:dyDescent="0.25">
      <c r="A438" s="3" t="str">
        <f>IFERROR(INDEX('Data SO'!$C$2:$C$1085,MATCH($J438,'Data SO'!$H$2:$H$1085,0)),INDEX('Data SCM'!$B$2:$B$698,MATCH($J438,'Data SCM'!$I$2:$I$698,0)))</f>
        <v>Tirai Foil Metalik</v>
      </c>
      <c r="B438" s="3" t="str">
        <f>IFERROR(INDEX('Data SO'!$D$2:$D$1085,MATCH($J438,'Data SO'!$H$2:$H$1085,0)),K438)</f>
        <v>Pcs</v>
      </c>
      <c r="C438" s="9">
        <f>SUMIF('Data SO'!$H$2:$H$1085,$J438,'Data SO'!$F$2:$F$1085)</f>
        <v>67</v>
      </c>
      <c r="D438" s="9">
        <f>SUMIF('Data SCM'!$I$2:$I$698,$J438,'Data SCM'!$E$2:$E$698)*L438</f>
        <v>67</v>
      </c>
      <c r="E438" s="9">
        <f t="shared" si="18"/>
        <v>0</v>
      </c>
      <c r="F438" s="4">
        <f>SUMIF('Data SO'!$H$2:$H$1085,$J438,'Data SO'!$G$2:$G$1085)</f>
        <v>502500</v>
      </c>
      <c r="G438" s="4">
        <f>SUMIF('Data SCM'!$I$2:$I$698,$J438,'Data SCM'!$H$2:$H$698)</f>
        <v>502500</v>
      </c>
      <c r="H438" s="4">
        <f t="shared" si="19"/>
        <v>0</v>
      </c>
      <c r="I438" s="3" t="str">
        <f>IF(COUNTIF('Data SCM'!$I$2:$I$698,$J438)=0,"Hanya di SO",IF(COUNTIF('Data SO'!$H$2:$H$1085,$J438)=0,"Hanya di SCM",IF(AND(ABS(E438)&lt;0.01,ABS(H438)&lt;1),"Sama",IF(ABS(E438)&lt;0.01,"Selisih nominal",IF(ABS(H438)&lt;1,"Selisih qty","Selisih qty &amp; nominal")))))</f>
        <v>Sama</v>
      </c>
      <c r="J438" t="s">
        <v>462</v>
      </c>
      <c r="K438" t="str">
        <f>IFERROR(INDEX('Data SCM'!$D$2:$D$698,MATCH($J438,'Data SCM'!$I$2:$I$698,0)),"")</f>
        <v>PCS</v>
      </c>
      <c r="L438">
        <f t="shared" si="20"/>
        <v>1</v>
      </c>
    </row>
    <row r="439" spans="1:12" x14ac:dyDescent="0.25">
      <c r="A439" s="3" t="str">
        <f>IFERROR(INDEX('Data SO'!$C$2:$C$1085,MATCH($J439,'Data SO'!$H$2:$H$1085,0)),INDEX('Data SCM'!$B$2:$B$698,MATCH($J439,'Data SCM'!$I$2:$I$698,0)))</f>
        <v>Tirai Foil dof</v>
      </c>
      <c r="B439" s="3" t="str">
        <f>IFERROR(INDEX('Data SO'!$D$2:$D$1085,MATCH($J439,'Data SO'!$H$2:$H$1085,0)),K439)</f>
        <v>Pcs</v>
      </c>
      <c r="C439" s="9">
        <f>SUMIF('Data SO'!$H$2:$H$1085,$J439,'Data SO'!$F$2:$F$1085)</f>
        <v>21</v>
      </c>
      <c r="D439" s="9">
        <f>SUMIF('Data SCM'!$I$2:$I$698,$J439,'Data SCM'!$E$2:$E$698)*L439</f>
        <v>21</v>
      </c>
      <c r="E439" s="9">
        <f t="shared" si="18"/>
        <v>0</v>
      </c>
      <c r="F439" s="4">
        <f>SUMIF('Data SO'!$H$2:$H$1085,$J439,'Data SO'!$G$2:$G$1085)</f>
        <v>168000</v>
      </c>
      <c r="G439" s="4">
        <f>SUMIF('Data SCM'!$I$2:$I$698,$J439,'Data SCM'!$H$2:$H$698)</f>
        <v>168000</v>
      </c>
      <c r="H439" s="4">
        <f t="shared" si="19"/>
        <v>0</v>
      </c>
      <c r="I439" s="3" t="str">
        <f>IF(COUNTIF('Data SCM'!$I$2:$I$698,$J439)=0,"Hanya di SO",IF(COUNTIF('Data SO'!$H$2:$H$1085,$J439)=0,"Hanya di SCM",IF(AND(ABS(E439)&lt;0.01,ABS(H439)&lt;1),"Sama",IF(ABS(E439)&lt;0.01,"Selisih nominal",IF(ABS(H439)&lt;1,"Selisih qty","Selisih qty &amp; nominal")))))</f>
        <v>Sama</v>
      </c>
      <c r="J439" t="s">
        <v>463</v>
      </c>
      <c r="K439" t="str">
        <f>IFERROR(INDEX('Data SCM'!$D$2:$D$698,MATCH($J439,'Data SCM'!$I$2:$I$698,0)),"")</f>
        <v>PCS</v>
      </c>
      <c r="L439">
        <f t="shared" si="20"/>
        <v>1</v>
      </c>
    </row>
    <row r="440" spans="1:12" x14ac:dyDescent="0.25">
      <c r="A440" s="3" t="str">
        <f>IFERROR(INDEX('Data SO'!$C$2:$C$1085,MATCH($J440,'Data SO'!$H$2:$H$1085,0)),INDEX('Data SCM'!$B$2:$B$698,MATCH($J440,'Data SCM'!$I$2:$I$698,0)))</f>
        <v>Topper Akrilik Happy Birthday Besar</v>
      </c>
      <c r="B440" s="3" t="str">
        <f>IFERROR(INDEX('Data SO'!$D$2:$D$1085,MATCH($J440,'Data SO'!$H$2:$H$1085,0)),K440)</f>
        <v>pcs</v>
      </c>
      <c r="C440" s="9">
        <f>SUMIF('Data SO'!$H$2:$H$1085,$J440,'Data SO'!$F$2:$F$1085)</f>
        <v>368</v>
      </c>
      <c r="D440" s="9">
        <f>SUMIF('Data SCM'!$I$2:$I$698,$J440,'Data SCM'!$E$2:$E$698)*L440</f>
        <v>368</v>
      </c>
      <c r="E440" s="9">
        <f t="shared" si="18"/>
        <v>0</v>
      </c>
      <c r="F440" s="4">
        <f>SUMIF('Data SO'!$H$2:$H$1085,$J440,'Data SO'!$G$2:$G$1085)</f>
        <v>1104000</v>
      </c>
      <c r="G440" s="4">
        <f>SUMIF('Data SCM'!$I$2:$I$698,$J440,'Data SCM'!$H$2:$H$698)</f>
        <v>1104000</v>
      </c>
      <c r="H440" s="4">
        <f t="shared" si="19"/>
        <v>0</v>
      </c>
      <c r="I440" s="3" t="str">
        <f>IF(COUNTIF('Data SCM'!$I$2:$I$698,$J440)=0,"Hanya di SO",IF(COUNTIF('Data SO'!$H$2:$H$1085,$J440)=0,"Hanya di SCM",IF(AND(ABS(E440)&lt;0.01,ABS(H440)&lt;1),"Sama",IF(ABS(E440)&lt;0.01,"Selisih nominal",IF(ABS(H440)&lt;1,"Selisih qty","Selisih qty &amp; nominal")))))</f>
        <v>Sama</v>
      </c>
      <c r="J440" t="s">
        <v>464</v>
      </c>
      <c r="K440" t="str">
        <f>IFERROR(INDEX('Data SCM'!$D$2:$D$698,MATCH($J440,'Data SCM'!$I$2:$I$698,0)),"")</f>
        <v>PCS</v>
      </c>
      <c r="L440">
        <f t="shared" si="20"/>
        <v>1</v>
      </c>
    </row>
    <row r="441" spans="1:12" x14ac:dyDescent="0.25">
      <c r="A441" s="3" t="str">
        <f>IFERROR(INDEX('Data SO'!$C$2:$C$1085,MATCH($J441,'Data SO'!$H$2:$H$1085,0)),INDEX('Data SCM'!$B$2:$B$698,MATCH($J441,'Data SCM'!$I$2:$I$698,0)))</f>
        <v>Topper Akrilik Happy Bride to be</v>
      </c>
      <c r="B441" s="3" t="str">
        <f>IFERROR(INDEX('Data SO'!$D$2:$D$1085,MATCH($J441,'Data SO'!$H$2:$H$1085,0)),K441)</f>
        <v>pcs</v>
      </c>
      <c r="C441" s="9">
        <f>SUMIF('Data SO'!$H$2:$H$1085,$J441,'Data SO'!$F$2:$F$1085)</f>
        <v>4</v>
      </c>
      <c r="D441" s="9">
        <f>SUMIF('Data SCM'!$I$2:$I$698,$J441,'Data SCM'!$E$2:$E$698)*L441</f>
        <v>4</v>
      </c>
      <c r="E441" s="9">
        <f t="shared" si="18"/>
        <v>0</v>
      </c>
      <c r="F441" s="4">
        <f>SUMIF('Data SO'!$H$2:$H$1085,$J441,'Data SO'!$G$2:$G$1085)</f>
        <v>20000</v>
      </c>
      <c r="G441" s="4">
        <f>SUMIF('Data SCM'!$I$2:$I$698,$J441,'Data SCM'!$H$2:$H$698)</f>
        <v>20000</v>
      </c>
      <c r="H441" s="4">
        <f t="shared" si="19"/>
        <v>0</v>
      </c>
      <c r="I441" s="3" t="str">
        <f>IF(COUNTIF('Data SCM'!$I$2:$I$698,$J441)=0,"Hanya di SO",IF(COUNTIF('Data SO'!$H$2:$H$1085,$J441)=0,"Hanya di SCM",IF(AND(ABS(E441)&lt;0.01,ABS(H441)&lt;1),"Sama",IF(ABS(E441)&lt;0.01,"Selisih nominal",IF(ABS(H441)&lt;1,"Selisih qty","Selisih qty &amp; nominal")))))</f>
        <v>Sama</v>
      </c>
      <c r="J441" t="s">
        <v>465</v>
      </c>
      <c r="K441" t="str">
        <f>IFERROR(INDEX('Data SCM'!$D$2:$D$698,MATCH($J441,'Data SCM'!$I$2:$I$698,0)),"")</f>
        <v>PCS</v>
      </c>
      <c r="L441">
        <f t="shared" si="20"/>
        <v>1</v>
      </c>
    </row>
    <row r="442" spans="1:12" x14ac:dyDescent="0.25">
      <c r="A442" s="3" t="str">
        <f>IFERROR(INDEX('Data SO'!$C$2:$C$1085,MATCH($J442,'Data SO'!$H$2:$H$1085,0)),INDEX('Data SCM'!$B$2:$B$698,MATCH($J442,'Data SCM'!$I$2:$I$698,0)))</f>
        <v>Topper Ultah Astronot @12set</v>
      </c>
      <c r="B442" s="3" t="str">
        <f>IFERROR(INDEX('Data SO'!$D$2:$D$1085,MATCH($J442,'Data SO'!$H$2:$H$1085,0)),K442)</f>
        <v>pcs</v>
      </c>
      <c r="C442" s="9">
        <f>SUMIF('Data SO'!$H$2:$H$1085,$J442,'Data SO'!$F$2:$F$1085)</f>
        <v>216</v>
      </c>
      <c r="D442" s="9">
        <f>SUMIF('Data SCM'!$I$2:$I$698,$J442,'Data SCM'!$E$2:$E$698)*L442</f>
        <v>216</v>
      </c>
      <c r="E442" s="9">
        <f t="shared" si="18"/>
        <v>0</v>
      </c>
      <c r="F442" s="4">
        <f>SUMIF('Data SO'!$H$2:$H$1085,$J442,'Data SO'!$G$2:$G$1085)</f>
        <v>756000</v>
      </c>
      <c r="G442" s="4">
        <f>SUMIF('Data SCM'!$I$2:$I$698,$J442,'Data SCM'!$H$2:$H$698)</f>
        <v>756000</v>
      </c>
      <c r="H442" s="4">
        <f t="shared" si="19"/>
        <v>0</v>
      </c>
      <c r="I442" s="3" t="str">
        <f>IF(COUNTIF('Data SCM'!$I$2:$I$698,$J442)=0,"Hanya di SO",IF(COUNTIF('Data SO'!$H$2:$H$1085,$J442)=0,"Hanya di SCM",IF(AND(ABS(E442)&lt;0.01,ABS(H442)&lt;1),"Sama",IF(ABS(E442)&lt;0.01,"Selisih nominal",IF(ABS(H442)&lt;1,"Selisih qty","Selisih qty &amp; nominal")))))</f>
        <v>Sama</v>
      </c>
      <c r="J442" t="s">
        <v>466</v>
      </c>
      <c r="K442" t="str">
        <f>IFERROR(INDEX('Data SCM'!$D$2:$D$698,MATCH($J442,'Data SCM'!$I$2:$I$698,0)),"")</f>
        <v>PCS</v>
      </c>
      <c r="L442">
        <f t="shared" si="20"/>
        <v>1</v>
      </c>
    </row>
    <row r="443" spans="1:12" x14ac:dyDescent="0.25">
      <c r="A443" s="3" t="str">
        <f>IFERROR(INDEX('Data SO'!$C$2:$C$1085,MATCH($J443,'Data SO'!$H$2:$H$1085,0)),INDEX('Data SCM'!$B$2:$B$698,MATCH($J443,'Data SCM'!$I$2:$I$698,0)))</f>
        <v>Topper Ultah Hewan @12 set</v>
      </c>
      <c r="B443" s="3" t="str">
        <f>IFERROR(INDEX('Data SO'!$D$2:$D$1085,MATCH($J443,'Data SO'!$H$2:$H$1085,0)),K443)</f>
        <v>pcs</v>
      </c>
      <c r="C443" s="9">
        <f>SUMIF('Data SO'!$H$2:$H$1085,$J443,'Data SO'!$F$2:$F$1085)</f>
        <v>84</v>
      </c>
      <c r="D443" s="9">
        <f>SUMIF('Data SCM'!$I$2:$I$698,$J443,'Data SCM'!$E$2:$E$698)*L443</f>
        <v>84</v>
      </c>
      <c r="E443" s="9">
        <f t="shared" si="18"/>
        <v>0</v>
      </c>
      <c r="F443" s="4">
        <f>SUMIF('Data SO'!$H$2:$H$1085,$J443,'Data SO'!$G$2:$G$1085)</f>
        <v>294000</v>
      </c>
      <c r="G443" s="4">
        <f>SUMIF('Data SCM'!$I$2:$I$698,$J443,'Data SCM'!$H$2:$H$698)</f>
        <v>294000</v>
      </c>
      <c r="H443" s="4">
        <f t="shared" si="19"/>
        <v>0</v>
      </c>
      <c r="I443" s="3" t="str">
        <f>IF(COUNTIF('Data SCM'!$I$2:$I$698,$J443)=0,"Hanya di SO",IF(COUNTIF('Data SO'!$H$2:$H$1085,$J443)=0,"Hanya di SCM",IF(AND(ABS(E443)&lt;0.01,ABS(H443)&lt;1),"Sama",IF(ABS(E443)&lt;0.01,"Selisih nominal",IF(ABS(H443)&lt;1,"Selisih qty","Selisih qty &amp; nominal")))))</f>
        <v>Sama</v>
      </c>
      <c r="J443" t="s">
        <v>467</v>
      </c>
      <c r="K443" t="str">
        <f>IFERROR(INDEX('Data SCM'!$D$2:$D$698,MATCH($J443,'Data SCM'!$I$2:$I$698,0)),"")</f>
        <v>PCS</v>
      </c>
      <c r="L443">
        <f t="shared" si="20"/>
        <v>1</v>
      </c>
    </row>
    <row r="444" spans="1:12" x14ac:dyDescent="0.25">
      <c r="A444" s="3" t="str">
        <f>IFERROR(INDEX('Data SO'!$C$2:$C$1085,MATCH($J444,'Data SO'!$H$2:$H$1085,0)),INDEX('Data SCM'!$B$2:$B$698,MATCH($J444,'Data SCM'!$I$2:$I$698,0)))</f>
        <v>Topper Ultah Mermaid @12 set</v>
      </c>
      <c r="B444" s="3" t="str">
        <f>IFERROR(INDEX('Data SO'!$D$2:$D$1085,MATCH($J444,'Data SO'!$H$2:$H$1085,0)),K444)</f>
        <v>pcs</v>
      </c>
      <c r="C444" s="9">
        <f>SUMIF('Data SO'!$H$2:$H$1085,$J444,'Data SO'!$F$2:$F$1085)</f>
        <v>144</v>
      </c>
      <c r="D444" s="9">
        <f>SUMIF('Data SCM'!$I$2:$I$698,$J444,'Data SCM'!$E$2:$E$698)*L444</f>
        <v>144</v>
      </c>
      <c r="E444" s="9">
        <f t="shared" si="18"/>
        <v>0</v>
      </c>
      <c r="F444" s="4">
        <f>SUMIF('Data SO'!$H$2:$H$1085,$J444,'Data SO'!$G$2:$G$1085)</f>
        <v>504000</v>
      </c>
      <c r="G444" s="4">
        <f>SUMIF('Data SCM'!$I$2:$I$698,$J444,'Data SCM'!$H$2:$H$698)</f>
        <v>504000</v>
      </c>
      <c r="H444" s="4">
        <f t="shared" si="19"/>
        <v>0</v>
      </c>
      <c r="I444" s="3" t="str">
        <f>IF(COUNTIF('Data SCM'!$I$2:$I$698,$J444)=0,"Hanya di SO",IF(COUNTIF('Data SO'!$H$2:$H$1085,$J444)=0,"Hanya di SCM",IF(AND(ABS(E444)&lt;0.01,ABS(H444)&lt;1),"Sama",IF(ABS(E444)&lt;0.01,"Selisih nominal",IF(ABS(H444)&lt;1,"Selisih qty","Selisih qty &amp; nominal")))))</f>
        <v>Sama</v>
      </c>
      <c r="J444" t="s">
        <v>468</v>
      </c>
      <c r="K444" t="str">
        <f>IFERROR(INDEX('Data SCM'!$D$2:$D$698,MATCH($J444,'Data SCM'!$I$2:$I$698,0)),"")</f>
        <v>PCS</v>
      </c>
      <c r="L444">
        <f t="shared" si="20"/>
        <v>1</v>
      </c>
    </row>
    <row r="445" spans="1:12" x14ac:dyDescent="0.25">
      <c r="A445" s="3" t="str">
        <f>IFERROR(INDEX('Data SO'!$C$2:$C$1085,MATCH($J445,'Data SO'!$H$2:$H$1085,0)),INDEX('Data SCM'!$B$2:$B$698,MATCH($J445,'Data SCM'!$I$2:$I$698,0)))</f>
        <v>Topper Ultah Princess @12 set</v>
      </c>
      <c r="B445" s="3" t="str">
        <f>IFERROR(INDEX('Data SO'!$D$2:$D$1085,MATCH($J445,'Data SO'!$H$2:$H$1085,0)),K445)</f>
        <v>pcs</v>
      </c>
      <c r="C445" s="9">
        <f>SUMIF('Data SO'!$H$2:$H$1085,$J445,'Data SO'!$F$2:$F$1085)</f>
        <v>156</v>
      </c>
      <c r="D445" s="9">
        <f>SUMIF('Data SCM'!$I$2:$I$698,$J445,'Data SCM'!$E$2:$E$698)*L445</f>
        <v>156</v>
      </c>
      <c r="E445" s="9">
        <f t="shared" si="18"/>
        <v>0</v>
      </c>
      <c r="F445" s="4">
        <f>SUMIF('Data SO'!$H$2:$H$1085,$J445,'Data SO'!$G$2:$G$1085)</f>
        <v>546000</v>
      </c>
      <c r="G445" s="4">
        <f>SUMIF('Data SCM'!$I$2:$I$698,$J445,'Data SCM'!$H$2:$H$698)</f>
        <v>546000</v>
      </c>
      <c r="H445" s="4">
        <f t="shared" si="19"/>
        <v>0</v>
      </c>
      <c r="I445" s="3" t="str">
        <f>IF(COUNTIF('Data SCM'!$I$2:$I$698,$J445)=0,"Hanya di SO",IF(COUNTIF('Data SO'!$H$2:$H$1085,$J445)=0,"Hanya di SCM",IF(AND(ABS(E445)&lt;0.01,ABS(H445)&lt;1),"Sama",IF(ABS(E445)&lt;0.01,"Selisih nominal",IF(ABS(H445)&lt;1,"Selisih qty","Selisih qty &amp; nominal")))))</f>
        <v>Sama</v>
      </c>
      <c r="J445" t="s">
        <v>469</v>
      </c>
      <c r="K445" t="str">
        <f>IFERROR(INDEX('Data SCM'!$D$2:$D$698,MATCH($J445,'Data SCM'!$I$2:$I$698,0)),"")</f>
        <v>PCS</v>
      </c>
      <c r="L445">
        <f t="shared" si="20"/>
        <v>1</v>
      </c>
    </row>
    <row r="446" spans="1:12" x14ac:dyDescent="0.25">
      <c r="A446" s="3" t="str">
        <f>IFERROR(INDEX('Data SO'!$C$2:$C$1085,MATCH($J446,'Data SO'!$H$2:$H$1085,0)),INDEX('Data SCM'!$B$2:$B$698,MATCH($J446,'Data SCM'!$I$2:$I$698,0)))</f>
        <v>Topper Ultah kuda foni @12 set</v>
      </c>
      <c r="B446" s="3" t="str">
        <f>IFERROR(INDEX('Data SO'!$D$2:$D$1085,MATCH($J446,'Data SO'!$H$2:$H$1085,0)),K446)</f>
        <v>pcs</v>
      </c>
      <c r="C446" s="9">
        <f>SUMIF('Data SO'!$H$2:$H$1085,$J446,'Data SO'!$F$2:$F$1085)</f>
        <v>132</v>
      </c>
      <c r="D446" s="9">
        <f>SUMIF('Data SCM'!$I$2:$I$698,$J446,'Data SCM'!$E$2:$E$698)*L446</f>
        <v>132</v>
      </c>
      <c r="E446" s="9">
        <f t="shared" si="18"/>
        <v>0</v>
      </c>
      <c r="F446" s="4">
        <f>SUMIF('Data SO'!$H$2:$H$1085,$J446,'Data SO'!$G$2:$G$1085)</f>
        <v>462000</v>
      </c>
      <c r="G446" s="4">
        <f>SUMIF('Data SCM'!$I$2:$I$698,$J446,'Data SCM'!$H$2:$H$698)</f>
        <v>462000</v>
      </c>
      <c r="H446" s="4">
        <f t="shared" si="19"/>
        <v>0</v>
      </c>
      <c r="I446" s="3" t="str">
        <f>IF(COUNTIF('Data SCM'!$I$2:$I$698,$J446)=0,"Hanya di SO",IF(COUNTIF('Data SO'!$H$2:$H$1085,$J446)=0,"Hanya di SCM",IF(AND(ABS(E446)&lt;0.01,ABS(H446)&lt;1),"Sama",IF(ABS(E446)&lt;0.01,"Selisih nominal",IF(ABS(H446)&lt;1,"Selisih qty","Selisih qty &amp; nominal")))))</f>
        <v>Sama</v>
      </c>
      <c r="J446" t="s">
        <v>470</v>
      </c>
      <c r="K446" t="str">
        <f>IFERROR(INDEX('Data SCM'!$D$2:$D$698,MATCH($J446,'Data SCM'!$I$2:$I$698,0)),"")</f>
        <v>PCS</v>
      </c>
      <c r="L446">
        <f t="shared" si="20"/>
        <v>1</v>
      </c>
    </row>
    <row r="447" spans="1:12" x14ac:dyDescent="0.25">
      <c r="A447" s="3" t="str">
        <f>IFERROR(INDEX('Data SO'!$C$2:$C$1085,MATCH($J447,'Data SO'!$H$2:$H$1085,0)),INDEX('Data SCM'!$B$2:$B$698,MATCH($J447,'Data SCM'!$I$2:$I$698,0)))</f>
        <v>Transfer Image</v>
      </c>
      <c r="B447" s="3" t="str">
        <f>IFERROR(INDEX('Data SO'!$D$2:$D$1085,MATCH($J447,'Data SO'!$H$2:$H$1085,0)),K447)</f>
        <v>sheet</v>
      </c>
      <c r="C447" s="9">
        <f>SUMIF('Data SO'!$H$2:$H$1085,$J447,'Data SO'!$F$2:$F$1085)</f>
        <v>575</v>
      </c>
      <c r="D447" s="9">
        <f>SUMIF('Data SCM'!$I$2:$I$698,$J447,'Data SCM'!$E$2:$E$698)*L447</f>
        <v>575</v>
      </c>
      <c r="E447" s="9">
        <f t="shared" si="18"/>
        <v>0</v>
      </c>
      <c r="F447" s="4">
        <f>SUMIF('Data SO'!$H$2:$H$1085,$J447,'Data SO'!$G$2:$G$1085)</f>
        <v>12051149</v>
      </c>
      <c r="G447" s="4">
        <f>SUMIF('Data SCM'!$I$2:$I$698,$J447,'Data SCM'!$H$2:$H$698)</f>
        <v>12051149</v>
      </c>
      <c r="H447" s="4">
        <f t="shared" si="19"/>
        <v>0</v>
      </c>
      <c r="I447" s="3" t="str">
        <f>IF(COUNTIF('Data SCM'!$I$2:$I$698,$J447)=0,"Hanya di SO",IF(COUNTIF('Data SO'!$H$2:$H$1085,$J447)=0,"Hanya di SCM",IF(AND(ABS(E447)&lt;0.01,ABS(H447)&lt;1),"Sama",IF(ABS(E447)&lt;0.01,"Selisih nominal",IF(ABS(H447)&lt;1,"Selisih qty","Selisih qty &amp; nominal")))))</f>
        <v>Sama</v>
      </c>
      <c r="J447" t="s">
        <v>471</v>
      </c>
      <c r="K447" t="str">
        <f>IFERROR(INDEX('Data SCM'!$D$2:$D$698,MATCH($J447,'Data SCM'!$I$2:$I$698,0)),"")</f>
        <v>SHEET</v>
      </c>
      <c r="L447">
        <f t="shared" si="20"/>
        <v>1</v>
      </c>
    </row>
    <row r="448" spans="1:12" x14ac:dyDescent="0.25">
      <c r="A448" s="3" t="str">
        <f>IFERROR(INDEX('Data SO'!$C$2:$C$1085,MATCH($J448,'Data SO'!$H$2:$H$1085,0)),INDEX('Data SCM'!$B$2:$B$698,MATCH($J448,'Data SCM'!$I$2:$I$698,0)))</f>
        <v>UBE POWDER</v>
      </c>
      <c r="B448" s="3" t="str">
        <f>IFERROR(INDEX('Data SO'!$D$2:$D$1085,MATCH($J448,'Data SO'!$H$2:$H$1085,0)),K448)</f>
        <v>Pack</v>
      </c>
      <c r="C448" s="9">
        <f>SUMIF('Data SO'!$H$2:$H$1085,$J448,'Data SO'!$F$2:$F$1085)</f>
        <v>5</v>
      </c>
      <c r="D448" s="9">
        <f>SUMIF('Data SCM'!$I$2:$I$698,$J448,'Data SCM'!$E$2:$E$698)*L448</f>
        <v>1000</v>
      </c>
      <c r="E448" s="9">
        <f t="shared" si="18"/>
        <v>995</v>
      </c>
      <c r="F448" s="4">
        <f>SUMIF('Data SO'!$H$2:$H$1085,$J448,'Data SO'!$G$2:$G$1085)</f>
        <v>500000</v>
      </c>
      <c r="G448" s="4">
        <f>SUMIF('Data SCM'!$I$2:$I$698,$J448,'Data SCM'!$H$2:$H$698)</f>
        <v>500000</v>
      </c>
      <c r="H448" s="4">
        <f t="shared" si="19"/>
        <v>0</v>
      </c>
      <c r="I448" s="3" t="str">
        <f>IF(COUNTIF('Data SCM'!$I$2:$I$698,$J448)=0,"Hanya di SO",IF(COUNTIF('Data SO'!$H$2:$H$1085,$J448)=0,"Hanya di SCM",IF(AND(ABS(E448)&lt;0.01,ABS(H448)&lt;1),"Sama",IF(ABS(E448)&lt;0.01,"Selisih nominal",IF(ABS(H448)&lt;1,"Selisih qty","Selisih qty &amp; nominal")))))</f>
        <v>Selisih qty</v>
      </c>
      <c r="J448" t="s">
        <v>472</v>
      </c>
      <c r="K448" t="str">
        <f>IFERROR(INDEX('Data SCM'!$D$2:$D$698,MATCH($J448,'Data SCM'!$I$2:$I$698,0)),"")</f>
        <v>GR</v>
      </c>
      <c r="L448">
        <f t="shared" si="20"/>
        <v>1</v>
      </c>
    </row>
    <row r="449" spans="1:12" x14ac:dyDescent="0.25">
      <c r="A449" s="3" t="str">
        <f>IFERROR(INDEX('Data SO'!$C$2:$C$1085,MATCH($J449,'Data SO'!$H$2:$H$1085,0)),INDEX('Data SCM'!$B$2:$B$698,MATCH($J449,'Data SCM'!$I$2:$I$698,0)))</f>
        <v>VANILA CREAM POWDER 1KG</v>
      </c>
      <c r="B449" s="3" t="str">
        <f>IFERROR(INDEX('Data SO'!$D$2:$D$1085,MATCH($J449,'Data SO'!$H$2:$H$1085,0)),K449)</f>
        <v>kg</v>
      </c>
      <c r="C449" s="9">
        <f>SUMIF('Data SO'!$H$2:$H$1085,$J449,'Data SO'!$F$2:$F$1085)</f>
        <v>72</v>
      </c>
      <c r="D449" s="9">
        <f>SUMIF('Data SCM'!$I$2:$I$698,$J449,'Data SCM'!$E$2:$E$698)*L449</f>
        <v>72</v>
      </c>
      <c r="E449" s="9">
        <f t="shared" si="18"/>
        <v>0</v>
      </c>
      <c r="F449" s="4">
        <f>SUMIF('Data SO'!$H$2:$H$1085,$J449,'Data SO'!$G$2:$G$1085)</f>
        <v>13536000</v>
      </c>
      <c r="G449" s="4">
        <f>SUMIF('Data SCM'!$I$2:$I$698,$J449,'Data SCM'!$H$2:$H$698)</f>
        <v>13536000</v>
      </c>
      <c r="H449" s="4">
        <f t="shared" si="19"/>
        <v>0</v>
      </c>
      <c r="I449" s="3" t="str">
        <f>IF(COUNTIF('Data SCM'!$I$2:$I$698,$J449)=0,"Hanya di SO",IF(COUNTIF('Data SO'!$H$2:$H$1085,$J449)=0,"Hanya di SCM",IF(AND(ABS(E449)&lt;0.01,ABS(H449)&lt;1),"Sama",IF(ABS(E449)&lt;0.01,"Selisih nominal",IF(ABS(H449)&lt;1,"Selisih qty","Selisih qty &amp; nominal")))))</f>
        <v>Sama</v>
      </c>
      <c r="J449" t="s">
        <v>473</v>
      </c>
      <c r="K449" t="str">
        <f>IFERROR(INDEX('Data SCM'!$D$2:$D$698,MATCH($J449,'Data SCM'!$I$2:$I$698,0)),"")</f>
        <v>KG</v>
      </c>
      <c r="L449">
        <f t="shared" si="20"/>
        <v>1</v>
      </c>
    </row>
    <row r="450" spans="1:12" x14ac:dyDescent="0.25">
      <c r="A450" s="3" t="str">
        <f>IFERROR(INDEX('Data SO'!$C$2:$C$1085,MATCH($J450,'Data SO'!$H$2:$H$1085,0)),INDEX('Data SCM'!$B$2:$B$698,MATCH($J450,'Data SCM'!$I$2:$I$698,0)))</f>
        <v>Vanila Essens</v>
      </c>
      <c r="B450" s="3" t="str">
        <f>IFERROR(INDEX('Data SO'!$D$2:$D$1085,MATCH($J450,'Data SO'!$H$2:$H$1085,0)),K450)</f>
        <v>pcs</v>
      </c>
      <c r="C450" s="9">
        <f>SUMIF('Data SO'!$H$2:$H$1085,$J450,'Data SO'!$F$2:$F$1085)</f>
        <v>33</v>
      </c>
      <c r="D450" s="9">
        <f>SUMIF('Data SCM'!$I$2:$I$698,$J450,'Data SCM'!$E$2:$E$698)*L450</f>
        <v>33</v>
      </c>
      <c r="E450" s="9">
        <f t="shared" ref="E450:E513" si="21">D450-C450</f>
        <v>0</v>
      </c>
      <c r="F450" s="4">
        <f>SUMIF('Data SO'!$H$2:$H$1085,$J450,'Data SO'!$G$2:$G$1085)</f>
        <v>512820</v>
      </c>
      <c r="G450" s="4">
        <f>SUMIF('Data SCM'!$I$2:$I$698,$J450,'Data SCM'!$H$2:$H$698)</f>
        <v>512820</v>
      </c>
      <c r="H450" s="4">
        <f t="shared" ref="H450:H513" si="22">G450-F450</f>
        <v>0</v>
      </c>
      <c r="I450" s="3" t="str">
        <f>IF(COUNTIF('Data SCM'!$I$2:$I$698,$J450)=0,"Hanya di SO",IF(COUNTIF('Data SO'!$H$2:$H$1085,$J450)=0,"Hanya di SCM",IF(AND(ABS(E450)&lt;0.01,ABS(H450)&lt;1),"Sama",IF(ABS(E450)&lt;0.01,"Selisih nominal",IF(ABS(H450)&lt;1,"Selisih qty","Selisih qty &amp; nominal")))))</f>
        <v>Sama</v>
      </c>
      <c r="J450" t="s">
        <v>474</v>
      </c>
      <c r="K450" t="str">
        <f>IFERROR(INDEX('Data SCM'!$D$2:$D$698,MATCH($J450,'Data SCM'!$I$2:$I$698,0)),"")</f>
        <v>PCS</v>
      </c>
      <c r="L450">
        <f t="shared" ref="L450:L513" si="23">IF(OR(AND(K450="GR",LOWER(B450)="kg"),AND(K450="ML",LOWER(B450)="liter")),0.001,1)</f>
        <v>1</v>
      </c>
    </row>
    <row r="451" spans="1:12" x14ac:dyDescent="0.25">
      <c r="A451" s="3" t="str">
        <f>IFERROR(INDEX('Data SO'!$C$2:$C$1085,MATCH($J451,'Data SO'!$H$2:$H$1085,0)),INDEX('Data SCM'!$B$2:$B$698,MATCH($J451,'Data SCM'!$I$2:$I$698,0)))</f>
        <v>WORTEL @ 1 KG</v>
      </c>
      <c r="B451" s="3" t="str">
        <f>IFERROR(INDEX('Data SO'!$D$2:$D$1085,MATCH($J451,'Data SO'!$H$2:$H$1085,0)),K451)</f>
        <v>gram</v>
      </c>
      <c r="C451" s="9">
        <f>SUMIF('Data SO'!$H$2:$H$1085,$J451,'Data SO'!$F$2:$F$1085)</f>
        <v>5.35</v>
      </c>
      <c r="D451" s="9">
        <f>SUMIF('Data SCM'!$I$2:$I$698,$J451,'Data SCM'!$E$2:$E$698)*L451</f>
        <v>5.35</v>
      </c>
      <c r="E451" s="9">
        <f t="shared" si="21"/>
        <v>0</v>
      </c>
      <c r="F451" s="4">
        <f>SUMIF('Data SO'!$H$2:$H$1085,$J451,'Data SO'!$G$2:$G$1085)</f>
        <v>80250</v>
      </c>
      <c r="G451" s="4">
        <f>SUMIF('Data SCM'!$I$2:$I$698,$J451,'Data SCM'!$H$2:$H$698)</f>
        <v>80250</v>
      </c>
      <c r="H451" s="4">
        <f t="shared" si="22"/>
        <v>0</v>
      </c>
      <c r="I451" s="3" t="str">
        <f>IF(COUNTIF('Data SCM'!$I$2:$I$698,$J451)=0,"Hanya di SO",IF(COUNTIF('Data SO'!$H$2:$H$1085,$J451)=0,"Hanya di SCM",IF(AND(ABS(E451)&lt;0.01,ABS(H451)&lt;1),"Sama",IF(ABS(E451)&lt;0.01,"Selisih nominal",IF(ABS(H451)&lt;1,"Selisih qty","Selisih qty &amp; nominal")))))</f>
        <v>Sama</v>
      </c>
      <c r="J451" t="s">
        <v>475</v>
      </c>
      <c r="K451" t="str">
        <f>IFERROR(INDEX('Data SCM'!$D$2:$D$698,MATCH($J451,'Data SCM'!$I$2:$I$698,0)),"")</f>
        <v>KG</v>
      </c>
      <c r="L451">
        <f t="shared" si="23"/>
        <v>1</v>
      </c>
    </row>
    <row r="452" spans="1:12" x14ac:dyDescent="0.25">
      <c r="A452" s="3" t="str">
        <f>IFERROR(INDEX('Data SO'!$C$2:$C$1085,MATCH($J452,'Data SO'!$H$2:$H$1085,0)),INDEX('Data SCM'!$B$2:$B$698,MATCH($J452,'Data SCM'!$I$2:$I$698,0)))</f>
        <v>Wilton Blackforest @1Liter</v>
      </c>
      <c r="B452" s="3" t="str">
        <f>IFERROR(INDEX('Data SO'!$D$2:$D$1085,MATCH($J452,'Data SO'!$H$2:$H$1085,0)),K452)</f>
        <v>kg</v>
      </c>
      <c r="C452" s="9">
        <f>SUMIF('Data SO'!$H$2:$H$1085,$J452,'Data SO'!$F$2:$F$1085)</f>
        <v>108</v>
      </c>
      <c r="D452" s="9">
        <f>SUMIF('Data SCM'!$I$2:$I$698,$J452,'Data SCM'!$E$2:$E$698)*L452</f>
        <v>108</v>
      </c>
      <c r="E452" s="9">
        <f t="shared" si="21"/>
        <v>0</v>
      </c>
      <c r="F452" s="4">
        <f>SUMIF('Data SO'!$H$2:$H$1085,$J452,'Data SO'!$G$2:$G$1085)</f>
        <v>10584000</v>
      </c>
      <c r="G452" s="4">
        <f>SUMIF('Data SCM'!$I$2:$I$698,$J452,'Data SCM'!$H$2:$H$698)</f>
        <v>10584000</v>
      </c>
      <c r="H452" s="4">
        <f t="shared" si="22"/>
        <v>0</v>
      </c>
      <c r="I452" s="3" t="str">
        <f>IF(COUNTIF('Data SCM'!$I$2:$I$698,$J452)=0,"Hanya di SO",IF(COUNTIF('Data SO'!$H$2:$H$1085,$J452)=0,"Hanya di SCM",IF(AND(ABS(E452)&lt;0.01,ABS(H452)&lt;1),"Sama",IF(ABS(E452)&lt;0.01,"Selisih nominal",IF(ABS(H452)&lt;1,"Selisih qty","Selisih qty &amp; nominal")))))</f>
        <v>Sama</v>
      </c>
      <c r="J452" t="s">
        <v>476</v>
      </c>
      <c r="K452" t="str">
        <f>IFERROR(INDEX('Data SCM'!$D$2:$D$698,MATCH($J452,'Data SCM'!$I$2:$I$698,0)),"")</f>
        <v>KG</v>
      </c>
      <c r="L452">
        <f t="shared" si="23"/>
        <v>1</v>
      </c>
    </row>
    <row r="453" spans="1:12" x14ac:dyDescent="0.25">
      <c r="A453" s="3" t="str">
        <f>IFERROR(INDEX('Data SO'!$C$2:$C$1085,MATCH($J453,'Data SO'!$H$2:$H$1085,0)),INDEX('Data SCM'!$B$2:$B$698,MATCH($J453,'Data SCM'!$I$2:$I$698,0)))</f>
        <v>Wincheez Filling @8X1Kg</v>
      </c>
      <c r="B453" s="3" t="str">
        <f>IFERROR(INDEX('Data SO'!$D$2:$D$1085,MATCH($J453,'Data SO'!$H$2:$H$1085,0)),K453)</f>
        <v>kg</v>
      </c>
      <c r="C453" s="9">
        <f>SUMIF('Data SO'!$H$2:$H$1085,$J453,'Data SO'!$F$2:$F$1085)</f>
        <v>80</v>
      </c>
      <c r="D453" s="9">
        <f>SUMIF('Data SCM'!$I$2:$I$698,$J453,'Data SCM'!$E$2:$E$698)*L453</f>
        <v>80</v>
      </c>
      <c r="E453" s="9">
        <f t="shared" si="21"/>
        <v>0</v>
      </c>
      <c r="F453" s="4">
        <f>SUMIF('Data SO'!$H$2:$H$1085,$J453,'Data SO'!$G$2:$G$1085)</f>
        <v>4393830</v>
      </c>
      <c r="G453" s="4">
        <f>SUMIF('Data SCM'!$I$2:$I$698,$J453,'Data SCM'!$H$2:$H$698)</f>
        <v>4393830</v>
      </c>
      <c r="H453" s="4">
        <f t="shared" si="22"/>
        <v>0</v>
      </c>
      <c r="I453" s="3" t="str">
        <f>IF(COUNTIF('Data SCM'!$I$2:$I$698,$J453)=0,"Hanya di SO",IF(COUNTIF('Data SO'!$H$2:$H$1085,$J453)=0,"Hanya di SCM",IF(AND(ABS(E453)&lt;0.01,ABS(H453)&lt;1),"Sama",IF(ABS(E453)&lt;0.01,"Selisih nominal",IF(ABS(H453)&lt;1,"Selisih qty","Selisih qty &amp; nominal")))))</f>
        <v>Sama</v>
      </c>
      <c r="J453" t="s">
        <v>477</v>
      </c>
      <c r="K453" t="str">
        <f>IFERROR(INDEX('Data SCM'!$D$2:$D$698,MATCH($J453,'Data SCM'!$I$2:$I$698,0)),"")</f>
        <v>KG</v>
      </c>
      <c r="L453">
        <f t="shared" si="23"/>
        <v>1</v>
      </c>
    </row>
  </sheetData>
  <autoFilter ref="A1:I453"/>
  <conditionalFormatting sqref="I2:I453">
    <cfRule type="cellIs" dxfId="7" priority="2" operator="equal">
      <formula>"Sama"</formula>
    </cfRule>
    <cfRule type="cellIs" dxfId="6" priority="3" operator="equal">
      <formula>"Hanya di SO"</formula>
    </cfRule>
    <cfRule type="cellIs" dxfId="5" priority="4" operator="equal">
      <formula>"Hanya di SCM"</formula>
    </cfRule>
    <cfRule type="cellIs" dxfId="4" priority="5" operator="equal">
      <formula>"Selisih qty &amp; nominal"</formula>
    </cfRule>
    <cfRule type="cellIs" dxfId="3" priority="6" operator="equal">
      <formula>"Selisih qty"</formula>
    </cfRule>
    <cfRule type="cellIs" dxfId="2" priority="7" operator="equal">
      <formula>"Selisih nominal"</formula>
    </cfRule>
  </conditionalFormatting>
  <conditionalFormatting sqref="E2:E453">
    <cfRule type="cellIs" dxfId="1" priority="8" operator="lessThan">
      <formula>-0.0001</formula>
    </cfRule>
  </conditionalFormatting>
  <conditionalFormatting sqref="H2:H453">
    <cfRule type="cellIs" dxfId="0" priority="9" operator="lessThan">
      <formula>-0.0001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85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8.7109375" defaultRowHeight="15" x14ac:dyDescent="0.25"/>
  <cols>
    <col min="1" max="1" width="16" style="10" customWidth="1"/>
    <col min="2" max="2" width="13" style="10" customWidth="1"/>
    <col min="3" max="3" width="48" style="10" customWidth="1"/>
    <col min="4" max="4" width="9" style="10" customWidth="1"/>
    <col min="5" max="5" width="14" style="10" customWidth="1"/>
    <col min="6" max="6" width="12" style="10" customWidth="1"/>
    <col min="7" max="7" width="18" style="10" customWidth="1"/>
    <col min="8" max="8" width="40" style="10" customWidth="1"/>
  </cols>
  <sheetData>
    <row r="1" spans="1:8" ht="31.5" customHeight="1" x14ac:dyDescent="0.25">
      <c r="A1" s="8" t="s">
        <v>478</v>
      </c>
      <c r="B1" s="8" t="s">
        <v>479</v>
      </c>
      <c r="C1" s="8" t="s">
        <v>16</v>
      </c>
      <c r="D1" s="8" t="s">
        <v>480</v>
      </c>
      <c r="E1" s="8" t="s">
        <v>481</v>
      </c>
      <c r="F1" s="8" t="s">
        <v>482</v>
      </c>
      <c r="G1" s="8" t="s">
        <v>483</v>
      </c>
      <c r="H1" s="8" t="s">
        <v>23</v>
      </c>
    </row>
    <row r="2" spans="1:8" ht="15" customHeight="1" x14ac:dyDescent="0.25">
      <c r="A2" s="11" t="s">
        <v>484</v>
      </c>
      <c r="B2" s="11">
        <v>700107</v>
      </c>
      <c r="C2" s="11" t="s">
        <v>485</v>
      </c>
      <c r="D2" s="11" t="s">
        <v>486</v>
      </c>
      <c r="E2" s="12">
        <v>110000</v>
      </c>
      <c r="F2" s="13">
        <v>0</v>
      </c>
      <c r="G2" s="12">
        <v>0</v>
      </c>
      <c r="H2" s="11" t="s">
        <v>487</v>
      </c>
    </row>
    <row r="3" spans="1:8" ht="15" customHeight="1" x14ac:dyDescent="0.25">
      <c r="A3" s="11" t="s">
        <v>484</v>
      </c>
      <c r="B3" s="11">
        <v>400101</v>
      </c>
      <c r="C3" s="11" t="s">
        <v>488</v>
      </c>
      <c r="D3" s="11" t="s">
        <v>486</v>
      </c>
      <c r="E3" s="12">
        <v>197500</v>
      </c>
      <c r="F3" s="13">
        <v>0</v>
      </c>
      <c r="G3" s="12">
        <v>0</v>
      </c>
      <c r="H3" s="11" t="s">
        <v>489</v>
      </c>
    </row>
    <row r="4" spans="1:8" ht="15" customHeight="1" x14ac:dyDescent="0.25">
      <c r="A4" s="11" t="s">
        <v>484</v>
      </c>
      <c r="B4" s="11">
        <v>400108</v>
      </c>
      <c r="C4" s="11" t="s">
        <v>490</v>
      </c>
      <c r="D4" s="11" t="s">
        <v>486</v>
      </c>
      <c r="E4" s="12">
        <v>146520</v>
      </c>
      <c r="F4" s="13">
        <v>197</v>
      </c>
      <c r="G4" s="12">
        <v>28864440</v>
      </c>
      <c r="H4" s="11" t="s">
        <v>185</v>
      </c>
    </row>
    <row r="5" spans="1:8" ht="15" customHeight="1" x14ac:dyDescent="0.25">
      <c r="A5" s="11" t="s">
        <v>484</v>
      </c>
      <c r="B5" s="11">
        <v>200113</v>
      </c>
      <c r="C5" s="11" t="s">
        <v>491</v>
      </c>
      <c r="D5" s="11" t="s">
        <v>486</v>
      </c>
      <c r="E5" s="12">
        <v>63000</v>
      </c>
      <c r="F5" s="13">
        <v>0</v>
      </c>
      <c r="G5" s="12">
        <v>0</v>
      </c>
      <c r="H5" s="11" t="s">
        <v>492</v>
      </c>
    </row>
    <row r="6" spans="1:8" ht="15" customHeight="1" x14ac:dyDescent="0.25">
      <c r="A6" s="11" t="s">
        <v>484</v>
      </c>
      <c r="B6" s="11">
        <v>140302</v>
      </c>
      <c r="C6" s="11" t="s">
        <v>493</v>
      </c>
      <c r="D6" s="11" t="s">
        <v>486</v>
      </c>
      <c r="E6" s="12">
        <v>117660</v>
      </c>
      <c r="F6" s="13">
        <v>0</v>
      </c>
      <c r="G6" s="12">
        <v>0</v>
      </c>
      <c r="H6" s="11" t="s">
        <v>494</v>
      </c>
    </row>
    <row r="7" spans="1:8" ht="15" customHeight="1" x14ac:dyDescent="0.25">
      <c r="A7" s="11" t="s">
        <v>484</v>
      </c>
      <c r="B7" s="11">
        <v>111101</v>
      </c>
      <c r="C7" s="11" t="s">
        <v>495</v>
      </c>
      <c r="D7" s="11" t="s">
        <v>496</v>
      </c>
      <c r="E7" s="12">
        <v>0</v>
      </c>
      <c r="F7" s="13">
        <v>0</v>
      </c>
      <c r="G7" s="12">
        <v>0</v>
      </c>
      <c r="H7" s="11" t="s">
        <v>497</v>
      </c>
    </row>
    <row r="8" spans="1:8" ht="15" customHeight="1" x14ac:dyDescent="0.25">
      <c r="A8" s="11" t="s">
        <v>484</v>
      </c>
      <c r="B8" s="11">
        <v>222101</v>
      </c>
      <c r="C8" s="11" t="s">
        <v>498</v>
      </c>
      <c r="D8" s="11" t="s">
        <v>499</v>
      </c>
      <c r="E8" s="12">
        <v>240</v>
      </c>
      <c r="F8" s="13">
        <v>600</v>
      </c>
      <c r="G8" s="12">
        <v>144000</v>
      </c>
      <c r="H8" s="11" t="s">
        <v>187</v>
      </c>
    </row>
    <row r="9" spans="1:8" ht="15" customHeight="1" x14ac:dyDescent="0.25">
      <c r="A9" s="11" t="s">
        <v>484</v>
      </c>
      <c r="B9" s="11">
        <v>111102</v>
      </c>
      <c r="C9" s="11" t="s">
        <v>500</v>
      </c>
      <c r="D9" s="11" t="s">
        <v>499</v>
      </c>
      <c r="E9" s="12">
        <v>445</v>
      </c>
      <c r="F9" s="13">
        <v>700</v>
      </c>
      <c r="G9" s="12">
        <v>311500</v>
      </c>
      <c r="H9" s="11" t="s">
        <v>188</v>
      </c>
    </row>
    <row r="10" spans="1:8" ht="15" customHeight="1" x14ac:dyDescent="0.25">
      <c r="A10" s="11" t="s">
        <v>484</v>
      </c>
      <c r="B10" s="11">
        <v>300208</v>
      </c>
      <c r="C10" s="11" t="s">
        <v>501</v>
      </c>
      <c r="D10" s="11" t="s">
        <v>486</v>
      </c>
      <c r="E10" s="12">
        <v>120000</v>
      </c>
      <c r="F10" s="13">
        <v>0</v>
      </c>
      <c r="G10" s="12">
        <v>0</v>
      </c>
      <c r="H10" s="11" t="s">
        <v>502</v>
      </c>
    </row>
    <row r="11" spans="1:8" ht="15" customHeight="1" x14ac:dyDescent="0.25">
      <c r="A11" s="11" t="s">
        <v>484</v>
      </c>
      <c r="B11" s="11">
        <v>400102</v>
      </c>
      <c r="C11" s="11" t="s">
        <v>503</v>
      </c>
      <c r="D11" s="11" t="s">
        <v>486</v>
      </c>
      <c r="E11" s="12">
        <v>185185.18518518499</v>
      </c>
      <c r="F11" s="13">
        <v>76.34</v>
      </c>
      <c r="G11" s="12">
        <v>14137037.037037</v>
      </c>
      <c r="H11" s="11" t="s">
        <v>174</v>
      </c>
    </row>
    <row r="12" spans="1:8" ht="15" customHeight="1" x14ac:dyDescent="0.25">
      <c r="A12" s="11" t="s">
        <v>484</v>
      </c>
      <c r="B12" s="11">
        <v>700110</v>
      </c>
      <c r="C12" s="11" t="s">
        <v>504</v>
      </c>
      <c r="D12" s="11" t="s">
        <v>486</v>
      </c>
      <c r="E12" s="12">
        <v>94427.083333333299</v>
      </c>
      <c r="F12" s="13">
        <v>0</v>
      </c>
      <c r="G12" s="12">
        <v>0</v>
      </c>
      <c r="H12" s="11" t="s">
        <v>505</v>
      </c>
    </row>
    <row r="13" spans="1:8" ht="15" customHeight="1" x14ac:dyDescent="0.25">
      <c r="A13" s="11" t="s">
        <v>484</v>
      </c>
      <c r="B13" s="11">
        <v>800101</v>
      </c>
      <c r="C13" s="11" t="s">
        <v>506</v>
      </c>
      <c r="D13" s="11" t="s">
        <v>486</v>
      </c>
      <c r="E13" s="12">
        <v>18286.666666666701</v>
      </c>
      <c r="F13" s="13">
        <v>150</v>
      </c>
      <c r="G13" s="12">
        <v>2743000</v>
      </c>
      <c r="H13" s="11" t="s">
        <v>169</v>
      </c>
    </row>
    <row r="14" spans="1:8" ht="15" customHeight="1" x14ac:dyDescent="0.25">
      <c r="A14" s="11" t="s">
        <v>484</v>
      </c>
      <c r="B14" s="11">
        <v>130101</v>
      </c>
      <c r="C14" s="11" t="s">
        <v>507</v>
      </c>
      <c r="D14" s="11" t="s">
        <v>486</v>
      </c>
      <c r="E14" s="12">
        <v>26500</v>
      </c>
      <c r="F14" s="13">
        <v>0</v>
      </c>
      <c r="G14" s="12">
        <v>0</v>
      </c>
      <c r="H14" s="11" t="s">
        <v>508</v>
      </c>
    </row>
    <row r="15" spans="1:8" ht="15" customHeight="1" x14ac:dyDescent="0.25">
      <c r="A15" s="11" t="s">
        <v>484</v>
      </c>
      <c r="B15" s="11">
        <v>300101</v>
      </c>
      <c r="C15" s="11" t="s">
        <v>509</v>
      </c>
      <c r="D15" s="11" t="s">
        <v>486</v>
      </c>
      <c r="E15" s="12">
        <v>180000</v>
      </c>
      <c r="F15" s="13">
        <v>1</v>
      </c>
      <c r="G15" s="12">
        <v>180000</v>
      </c>
      <c r="H15" s="11" t="s">
        <v>189</v>
      </c>
    </row>
    <row r="16" spans="1:8" ht="15" customHeight="1" x14ac:dyDescent="0.25">
      <c r="A16" s="11" t="s">
        <v>484</v>
      </c>
      <c r="B16" s="11">
        <v>444804</v>
      </c>
      <c r="C16" s="11" t="s">
        <v>510</v>
      </c>
      <c r="D16" s="11" t="s">
        <v>511</v>
      </c>
      <c r="E16" s="12">
        <v>13500</v>
      </c>
      <c r="F16" s="13">
        <v>0</v>
      </c>
      <c r="G16" s="12">
        <v>0</v>
      </c>
      <c r="H16" s="11" t="s">
        <v>512</v>
      </c>
    </row>
    <row r="17" spans="1:8" ht="15" customHeight="1" x14ac:dyDescent="0.25">
      <c r="A17" s="11" t="s">
        <v>484</v>
      </c>
      <c r="B17" s="11">
        <v>111201</v>
      </c>
      <c r="C17" s="11" t="s">
        <v>513</v>
      </c>
      <c r="D17" s="11" t="s">
        <v>496</v>
      </c>
      <c r="E17" s="12">
        <v>8500</v>
      </c>
      <c r="F17" s="13">
        <v>35</v>
      </c>
      <c r="G17" s="12">
        <v>297500</v>
      </c>
      <c r="H17" s="11" t="s">
        <v>111</v>
      </c>
    </row>
    <row r="18" spans="1:8" ht="15" customHeight="1" x14ac:dyDescent="0.25">
      <c r="A18" s="11" t="s">
        <v>484</v>
      </c>
      <c r="B18" s="11">
        <v>111202</v>
      </c>
      <c r="C18" s="11" t="s">
        <v>514</v>
      </c>
      <c r="D18" s="11" t="s">
        <v>496</v>
      </c>
      <c r="E18" s="12">
        <v>8500</v>
      </c>
      <c r="F18" s="13">
        <v>40</v>
      </c>
      <c r="G18" s="12">
        <v>340000</v>
      </c>
      <c r="H18" s="11" t="s">
        <v>108</v>
      </c>
    </row>
    <row r="19" spans="1:8" ht="15" customHeight="1" x14ac:dyDescent="0.25">
      <c r="A19" s="11" t="s">
        <v>484</v>
      </c>
      <c r="B19" s="11">
        <v>111203</v>
      </c>
      <c r="C19" s="11" t="s">
        <v>515</v>
      </c>
      <c r="D19" s="11" t="s">
        <v>496</v>
      </c>
      <c r="E19" s="12">
        <v>8500</v>
      </c>
      <c r="F19" s="13">
        <v>129</v>
      </c>
      <c r="G19" s="12">
        <v>1096500</v>
      </c>
      <c r="H19" s="11" t="s">
        <v>65</v>
      </c>
    </row>
    <row r="20" spans="1:8" ht="15" customHeight="1" x14ac:dyDescent="0.25">
      <c r="A20" s="11" t="s">
        <v>484</v>
      </c>
      <c r="B20" s="11">
        <v>111204</v>
      </c>
      <c r="C20" s="11" t="s">
        <v>516</v>
      </c>
      <c r="D20" s="11" t="s">
        <v>496</v>
      </c>
      <c r="E20" s="12">
        <v>4500</v>
      </c>
      <c r="F20" s="13">
        <v>23</v>
      </c>
      <c r="G20" s="12">
        <v>103500</v>
      </c>
      <c r="H20" s="11" t="s">
        <v>132</v>
      </c>
    </row>
    <row r="21" spans="1:8" ht="15" customHeight="1" x14ac:dyDescent="0.25">
      <c r="A21" s="11" t="s">
        <v>484</v>
      </c>
      <c r="B21" s="11">
        <v>111205</v>
      </c>
      <c r="C21" s="11" t="s">
        <v>517</v>
      </c>
      <c r="D21" s="11" t="s">
        <v>496</v>
      </c>
      <c r="E21" s="12">
        <v>8500</v>
      </c>
      <c r="F21" s="13">
        <v>61</v>
      </c>
      <c r="G21" s="12">
        <v>518500</v>
      </c>
      <c r="H21" s="11" t="s">
        <v>91</v>
      </c>
    </row>
    <row r="22" spans="1:8" ht="15" customHeight="1" x14ac:dyDescent="0.25">
      <c r="A22" s="11" t="s">
        <v>484</v>
      </c>
      <c r="B22" s="11">
        <v>111206</v>
      </c>
      <c r="C22" s="11" t="s">
        <v>518</v>
      </c>
      <c r="D22" s="11" t="s">
        <v>496</v>
      </c>
      <c r="E22" s="12">
        <v>8500</v>
      </c>
      <c r="F22" s="13">
        <v>2</v>
      </c>
      <c r="G22" s="12">
        <v>17000</v>
      </c>
      <c r="H22" s="11" t="s">
        <v>148</v>
      </c>
    </row>
    <row r="23" spans="1:8" ht="15" customHeight="1" x14ac:dyDescent="0.25">
      <c r="A23" s="11" t="s">
        <v>484</v>
      </c>
      <c r="B23" s="11">
        <v>111207</v>
      </c>
      <c r="C23" s="11" t="s">
        <v>519</v>
      </c>
      <c r="D23" s="11" t="s">
        <v>496</v>
      </c>
      <c r="E23" s="12">
        <v>8500</v>
      </c>
      <c r="F23" s="13">
        <v>21</v>
      </c>
      <c r="G23" s="12">
        <v>178500</v>
      </c>
      <c r="H23" s="11" t="s">
        <v>124</v>
      </c>
    </row>
    <row r="24" spans="1:8" ht="15" customHeight="1" x14ac:dyDescent="0.25">
      <c r="A24" s="11" t="s">
        <v>484</v>
      </c>
      <c r="B24" s="11">
        <v>111208</v>
      </c>
      <c r="C24" s="11" t="s">
        <v>520</v>
      </c>
      <c r="D24" s="11" t="s">
        <v>496</v>
      </c>
      <c r="E24" s="12">
        <v>8500</v>
      </c>
      <c r="F24" s="13">
        <v>19</v>
      </c>
      <c r="G24" s="12">
        <v>161500</v>
      </c>
      <c r="H24" s="11" t="s">
        <v>125</v>
      </c>
    </row>
    <row r="25" spans="1:8" ht="15" customHeight="1" x14ac:dyDescent="0.25">
      <c r="A25" s="11" t="s">
        <v>484</v>
      </c>
      <c r="B25" s="11">
        <v>111209</v>
      </c>
      <c r="C25" s="11" t="s">
        <v>521</v>
      </c>
      <c r="D25" s="11" t="s">
        <v>496</v>
      </c>
      <c r="E25" s="12">
        <v>4500</v>
      </c>
      <c r="F25" s="13">
        <v>0</v>
      </c>
      <c r="G25" s="12">
        <v>0</v>
      </c>
      <c r="H25" s="11" t="s">
        <v>522</v>
      </c>
    </row>
    <row r="26" spans="1:8" ht="15" customHeight="1" x14ac:dyDescent="0.25">
      <c r="A26" s="11" t="s">
        <v>484</v>
      </c>
      <c r="B26" s="11">
        <v>111226</v>
      </c>
      <c r="C26" s="11" t="s">
        <v>523</v>
      </c>
      <c r="D26" s="11" t="s">
        <v>499</v>
      </c>
      <c r="E26" s="12">
        <v>4500</v>
      </c>
      <c r="F26" s="13">
        <v>0</v>
      </c>
      <c r="G26" s="12">
        <v>0</v>
      </c>
      <c r="H26" s="11" t="s">
        <v>524</v>
      </c>
    </row>
    <row r="27" spans="1:8" ht="15" customHeight="1" x14ac:dyDescent="0.25">
      <c r="A27" s="11" t="s">
        <v>484</v>
      </c>
      <c r="B27" s="11">
        <v>111210</v>
      </c>
      <c r="C27" s="11" t="s">
        <v>525</v>
      </c>
      <c r="D27" s="11" t="s">
        <v>496</v>
      </c>
      <c r="E27" s="12">
        <v>4500</v>
      </c>
      <c r="F27" s="13">
        <v>0</v>
      </c>
      <c r="G27" s="12">
        <v>0</v>
      </c>
      <c r="H27" s="11" t="s">
        <v>526</v>
      </c>
    </row>
    <row r="28" spans="1:8" ht="15" customHeight="1" x14ac:dyDescent="0.25">
      <c r="A28" s="11" t="s">
        <v>484</v>
      </c>
      <c r="B28" s="11">
        <v>111211</v>
      </c>
      <c r="C28" s="11" t="s">
        <v>527</v>
      </c>
      <c r="D28" s="11" t="s">
        <v>496</v>
      </c>
      <c r="E28" s="12">
        <v>4500</v>
      </c>
      <c r="F28" s="13">
        <v>21</v>
      </c>
      <c r="G28" s="12">
        <v>94500</v>
      </c>
      <c r="H28" s="11" t="s">
        <v>136</v>
      </c>
    </row>
    <row r="29" spans="1:8" ht="15" customHeight="1" x14ac:dyDescent="0.25">
      <c r="A29" s="11" t="s">
        <v>484</v>
      </c>
      <c r="B29" s="11">
        <v>111215</v>
      </c>
      <c r="C29" s="11" t="s">
        <v>528</v>
      </c>
      <c r="D29" s="11" t="s">
        <v>496</v>
      </c>
      <c r="E29" s="12">
        <v>4500</v>
      </c>
      <c r="F29" s="13">
        <v>68</v>
      </c>
      <c r="G29" s="12">
        <v>306000</v>
      </c>
      <c r="H29" s="11" t="s">
        <v>110</v>
      </c>
    </row>
    <row r="30" spans="1:8" ht="15" customHeight="1" x14ac:dyDescent="0.25">
      <c r="A30" s="11" t="s">
        <v>484</v>
      </c>
      <c r="B30" s="11">
        <v>111212</v>
      </c>
      <c r="C30" s="11" t="s">
        <v>529</v>
      </c>
      <c r="D30" s="11" t="s">
        <v>496</v>
      </c>
      <c r="E30" s="12">
        <v>4500</v>
      </c>
      <c r="F30" s="13">
        <v>175</v>
      </c>
      <c r="G30" s="12">
        <v>787500</v>
      </c>
      <c r="H30" s="11" t="s">
        <v>72</v>
      </c>
    </row>
    <row r="31" spans="1:8" ht="15" customHeight="1" x14ac:dyDescent="0.25">
      <c r="A31" s="11" t="s">
        <v>484</v>
      </c>
      <c r="B31" s="11">
        <v>111213</v>
      </c>
      <c r="C31" s="11" t="s">
        <v>530</v>
      </c>
      <c r="D31" s="11" t="s">
        <v>496</v>
      </c>
      <c r="E31" s="12">
        <v>4500</v>
      </c>
      <c r="F31" s="13">
        <v>25</v>
      </c>
      <c r="G31" s="12">
        <v>112500</v>
      </c>
      <c r="H31" s="11" t="s">
        <v>130</v>
      </c>
    </row>
    <row r="32" spans="1:8" ht="15" customHeight="1" x14ac:dyDescent="0.25">
      <c r="A32" s="11" t="s">
        <v>484</v>
      </c>
      <c r="B32" s="11">
        <v>111223</v>
      </c>
      <c r="C32" s="11" t="s">
        <v>531</v>
      </c>
      <c r="D32" s="11" t="s">
        <v>496</v>
      </c>
      <c r="E32" s="12">
        <v>8500</v>
      </c>
      <c r="F32" s="13">
        <v>55</v>
      </c>
      <c r="G32" s="12">
        <v>467500</v>
      </c>
      <c r="H32" s="11" t="s">
        <v>93</v>
      </c>
    </row>
    <row r="33" spans="1:8" ht="15" customHeight="1" x14ac:dyDescent="0.25">
      <c r="A33" s="11" t="s">
        <v>484</v>
      </c>
      <c r="B33" s="11">
        <v>111224</v>
      </c>
      <c r="C33" s="11" t="s">
        <v>532</v>
      </c>
      <c r="D33" s="11" t="s">
        <v>496</v>
      </c>
      <c r="E33" s="12">
        <v>8500</v>
      </c>
      <c r="F33" s="13">
        <v>22</v>
      </c>
      <c r="G33" s="12">
        <v>187000</v>
      </c>
      <c r="H33" s="11" t="s">
        <v>123</v>
      </c>
    </row>
    <row r="34" spans="1:8" ht="15" customHeight="1" x14ac:dyDescent="0.25">
      <c r="A34" s="11" t="s">
        <v>484</v>
      </c>
      <c r="B34" s="11">
        <v>200101</v>
      </c>
      <c r="C34" s="11" t="s">
        <v>533</v>
      </c>
      <c r="D34" s="11" t="s">
        <v>486</v>
      </c>
      <c r="E34" s="12">
        <v>26364</v>
      </c>
      <c r="F34" s="13">
        <v>25</v>
      </c>
      <c r="G34" s="12">
        <v>659100</v>
      </c>
      <c r="H34" s="11" t="s">
        <v>78</v>
      </c>
    </row>
    <row r="35" spans="1:8" ht="15" customHeight="1" x14ac:dyDescent="0.25">
      <c r="A35" s="11" t="s">
        <v>484</v>
      </c>
      <c r="B35" s="11">
        <v>111225</v>
      </c>
      <c r="C35" s="11" t="s">
        <v>534</v>
      </c>
      <c r="D35" s="11" t="s">
        <v>496</v>
      </c>
      <c r="E35" s="12">
        <v>8500</v>
      </c>
      <c r="F35" s="13">
        <v>10</v>
      </c>
      <c r="G35" s="12">
        <v>85000</v>
      </c>
      <c r="H35" s="11" t="s">
        <v>139</v>
      </c>
    </row>
    <row r="36" spans="1:8" ht="15" customHeight="1" x14ac:dyDescent="0.25">
      <c r="A36" s="11" t="s">
        <v>484</v>
      </c>
      <c r="B36" s="11">
        <v>130107</v>
      </c>
      <c r="C36" s="11" t="s">
        <v>535</v>
      </c>
      <c r="D36" s="11" t="s">
        <v>486</v>
      </c>
      <c r="E36" s="12">
        <v>80000</v>
      </c>
      <c r="F36" s="13">
        <v>0</v>
      </c>
      <c r="G36" s="12">
        <v>0</v>
      </c>
      <c r="H36" s="11" t="s">
        <v>536</v>
      </c>
    </row>
    <row r="37" spans="1:8" ht="15" customHeight="1" x14ac:dyDescent="0.25">
      <c r="A37" s="11" t="s">
        <v>484</v>
      </c>
      <c r="B37" s="11">
        <v>100101</v>
      </c>
      <c r="C37" s="11" t="s">
        <v>537</v>
      </c>
      <c r="D37" s="11" t="s">
        <v>538</v>
      </c>
      <c r="E37" s="12">
        <v>66600</v>
      </c>
      <c r="F37" s="13">
        <v>18</v>
      </c>
      <c r="G37" s="12">
        <v>1198800</v>
      </c>
      <c r="H37" s="11" t="s">
        <v>200</v>
      </c>
    </row>
    <row r="38" spans="1:8" ht="15" customHeight="1" x14ac:dyDescent="0.25">
      <c r="A38" s="11" t="s">
        <v>484</v>
      </c>
      <c r="B38" s="11">
        <v>111302</v>
      </c>
      <c r="C38" s="11" t="s">
        <v>539</v>
      </c>
      <c r="D38" s="11" t="s">
        <v>496</v>
      </c>
      <c r="E38" s="12">
        <v>5812.5</v>
      </c>
      <c r="F38" s="13">
        <v>121</v>
      </c>
      <c r="G38" s="12">
        <v>703312.5</v>
      </c>
      <c r="H38" s="11" t="s">
        <v>197</v>
      </c>
    </row>
    <row r="39" spans="1:8" ht="15" customHeight="1" x14ac:dyDescent="0.25">
      <c r="A39" s="11" t="s">
        <v>484</v>
      </c>
      <c r="B39" s="11">
        <v>120106</v>
      </c>
      <c r="C39" s="11" t="s">
        <v>540</v>
      </c>
      <c r="D39" s="11" t="s">
        <v>486</v>
      </c>
      <c r="E39" s="12">
        <v>12552.083333333299</v>
      </c>
      <c r="F39" s="13">
        <v>32</v>
      </c>
      <c r="G39" s="12">
        <v>401666.66666666698</v>
      </c>
      <c r="H39" s="11" t="s">
        <v>102</v>
      </c>
    </row>
    <row r="40" spans="1:8" ht="15" customHeight="1" x14ac:dyDescent="0.25">
      <c r="A40" s="11" t="s">
        <v>484</v>
      </c>
      <c r="B40" s="11">
        <v>400103</v>
      </c>
      <c r="C40" s="11" t="s">
        <v>541</v>
      </c>
      <c r="D40" s="11" t="s">
        <v>542</v>
      </c>
      <c r="E40" s="12">
        <v>15208.333333333299</v>
      </c>
      <c r="F40" s="13">
        <v>0</v>
      </c>
      <c r="G40" s="12">
        <v>0</v>
      </c>
      <c r="H40" s="11" t="s">
        <v>131</v>
      </c>
    </row>
    <row r="41" spans="1:8" ht="15" customHeight="1" x14ac:dyDescent="0.25">
      <c r="A41" s="11" t="s">
        <v>484</v>
      </c>
      <c r="B41" s="11">
        <v>111401</v>
      </c>
      <c r="C41" s="11" t="s">
        <v>543</v>
      </c>
      <c r="D41" s="11" t="s">
        <v>496</v>
      </c>
      <c r="E41" s="12">
        <v>1000</v>
      </c>
      <c r="F41" s="13">
        <v>0</v>
      </c>
      <c r="G41" s="12">
        <v>0</v>
      </c>
      <c r="H41" s="11" t="s">
        <v>544</v>
      </c>
    </row>
    <row r="42" spans="1:8" ht="15" customHeight="1" x14ac:dyDescent="0.25">
      <c r="A42" s="11" t="s">
        <v>484</v>
      </c>
      <c r="B42" s="11">
        <v>444208</v>
      </c>
      <c r="C42" s="11" t="s">
        <v>545</v>
      </c>
      <c r="D42" s="11" t="s">
        <v>546</v>
      </c>
      <c r="E42" s="12">
        <v>323</v>
      </c>
      <c r="F42" s="13">
        <v>0</v>
      </c>
      <c r="G42" s="12">
        <v>0</v>
      </c>
      <c r="H42" s="11" t="s">
        <v>547</v>
      </c>
    </row>
    <row r="43" spans="1:8" ht="15" customHeight="1" x14ac:dyDescent="0.25">
      <c r="A43" s="11" t="s">
        <v>484</v>
      </c>
      <c r="B43" s="11">
        <v>700101</v>
      </c>
      <c r="C43" s="11" t="s">
        <v>548</v>
      </c>
      <c r="D43" s="11" t="s">
        <v>486</v>
      </c>
      <c r="E43" s="12">
        <v>78000</v>
      </c>
      <c r="F43" s="13">
        <v>0</v>
      </c>
      <c r="G43" s="12">
        <v>0</v>
      </c>
      <c r="H43" s="11" t="s">
        <v>549</v>
      </c>
    </row>
    <row r="44" spans="1:8" ht="15" customHeight="1" x14ac:dyDescent="0.25">
      <c r="A44" s="11" t="s">
        <v>484</v>
      </c>
      <c r="B44" s="11">
        <v>700102</v>
      </c>
      <c r="C44" s="11" t="s">
        <v>550</v>
      </c>
      <c r="D44" s="11" t="s">
        <v>486</v>
      </c>
      <c r="E44" s="12">
        <v>14204.166666666701</v>
      </c>
      <c r="F44" s="13">
        <v>0</v>
      </c>
      <c r="G44" s="12">
        <v>0</v>
      </c>
      <c r="H44" s="11" t="s">
        <v>551</v>
      </c>
    </row>
    <row r="45" spans="1:8" ht="15" customHeight="1" x14ac:dyDescent="0.25">
      <c r="A45" s="11" t="s">
        <v>484</v>
      </c>
      <c r="B45" s="11">
        <v>700103</v>
      </c>
      <c r="C45" s="11" t="s">
        <v>552</v>
      </c>
      <c r="D45" s="11" t="s">
        <v>486</v>
      </c>
      <c r="E45" s="12">
        <v>61387.5</v>
      </c>
      <c r="F45" s="13">
        <v>0</v>
      </c>
      <c r="G45" s="12">
        <v>0</v>
      </c>
      <c r="H45" s="11" t="s">
        <v>553</v>
      </c>
    </row>
    <row r="46" spans="1:8" ht="15" customHeight="1" x14ac:dyDescent="0.25">
      <c r="A46" s="11" t="s">
        <v>484</v>
      </c>
      <c r="B46" s="11">
        <v>200102</v>
      </c>
      <c r="C46" s="11" t="s">
        <v>554</v>
      </c>
      <c r="D46" s="11" t="s">
        <v>486</v>
      </c>
      <c r="E46" s="12">
        <v>82500</v>
      </c>
      <c r="F46" s="13">
        <v>20</v>
      </c>
      <c r="G46" s="12">
        <v>1650000</v>
      </c>
      <c r="H46" s="11" t="s">
        <v>39</v>
      </c>
    </row>
    <row r="47" spans="1:8" ht="15" customHeight="1" x14ac:dyDescent="0.25">
      <c r="A47" s="11" t="s">
        <v>484</v>
      </c>
      <c r="B47" s="11">
        <v>140413</v>
      </c>
      <c r="C47" s="11" t="s">
        <v>555</v>
      </c>
      <c r="D47" s="11" t="s">
        <v>486</v>
      </c>
      <c r="E47" s="12">
        <v>72000</v>
      </c>
      <c r="F47" s="13">
        <v>0</v>
      </c>
      <c r="G47" s="12">
        <v>0</v>
      </c>
      <c r="H47" s="11" t="s">
        <v>556</v>
      </c>
    </row>
    <row r="48" spans="1:8" ht="15" customHeight="1" x14ac:dyDescent="0.25">
      <c r="A48" s="11" t="s">
        <v>484</v>
      </c>
      <c r="B48" s="11">
        <v>140414</v>
      </c>
      <c r="C48" s="11" t="s">
        <v>557</v>
      </c>
      <c r="D48" s="11" t="s">
        <v>486</v>
      </c>
      <c r="E48" s="12">
        <v>85000</v>
      </c>
      <c r="F48" s="13">
        <v>0</v>
      </c>
      <c r="G48" s="12">
        <v>0</v>
      </c>
      <c r="H48" s="11" t="s">
        <v>558</v>
      </c>
    </row>
    <row r="49" spans="1:8" ht="15" customHeight="1" x14ac:dyDescent="0.25">
      <c r="A49" s="11" t="s">
        <v>484</v>
      </c>
      <c r="B49" s="11">
        <v>222102</v>
      </c>
      <c r="C49" s="11" t="s">
        <v>559</v>
      </c>
      <c r="D49" s="11" t="s">
        <v>499</v>
      </c>
      <c r="E49" s="12">
        <v>400</v>
      </c>
      <c r="F49" s="13">
        <v>0</v>
      </c>
      <c r="G49" s="12">
        <v>0</v>
      </c>
      <c r="H49" s="11" t="s">
        <v>560</v>
      </c>
    </row>
    <row r="50" spans="1:8" ht="15" customHeight="1" x14ac:dyDescent="0.25">
      <c r="A50" s="11" t="s">
        <v>484</v>
      </c>
      <c r="B50" s="11">
        <v>700106</v>
      </c>
      <c r="C50" s="11" t="s">
        <v>561</v>
      </c>
      <c r="D50" s="11" t="s">
        <v>486</v>
      </c>
      <c r="E50" s="12">
        <v>720000</v>
      </c>
      <c r="F50" s="13">
        <v>0</v>
      </c>
      <c r="G50" s="12">
        <v>0</v>
      </c>
      <c r="H50" s="11" t="s">
        <v>562</v>
      </c>
    </row>
    <row r="51" spans="1:8" ht="15" customHeight="1" x14ac:dyDescent="0.25">
      <c r="A51" s="11" t="s">
        <v>484</v>
      </c>
      <c r="B51" s="11">
        <v>700108</v>
      </c>
      <c r="C51" s="11" t="s">
        <v>563</v>
      </c>
      <c r="D51" s="11" t="s">
        <v>486</v>
      </c>
      <c r="E51" s="12">
        <v>137500</v>
      </c>
      <c r="F51" s="13">
        <v>44.2</v>
      </c>
      <c r="G51" s="12">
        <v>6077500</v>
      </c>
      <c r="H51" s="11" t="s">
        <v>58</v>
      </c>
    </row>
    <row r="52" spans="1:8" ht="15" customHeight="1" x14ac:dyDescent="0.25">
      <c r="A52" s="11" t="s">
        <v>484</v>
      </c>
      <c r="B52" s="11">
        <v>100307</v>
      </c>
      <c r="C52" s="11" t="s">
        <v>564</v>
      </c>
      <c r="D52" s="11" t="s">
        <v>538</v>
      </c>
      <c r="E52" s="12">
        <v>288600</v>
      </c>
      <c r="F52" s="13">
        <v>170</v>
      </c>
      <c r="G52" s="12">
        <v>49062000</v>
      </c>
      <c r="H52" s="11" t="s">
        <v>210</v>
      </c>
    </row>
    <row r="53" spans="1:8" ht="15" customHeight="1" x14ac:dyDescent="0.25">
      <c r="A53" s="11" t="s">
        <v>484</v>
      </c>
      <c r="B53" s="11">
        <v>100216</v>
      </c>
      <c r="C53" s="11" t="s">
        <v>565</v>
      </c>
      <c r="D53" s="11" t="s">
        <v>486</v>
      </c>
      <c r="E53" s="12">
        <v>49388.666666666701</v>
      </c>
      <c r="F53" s="13">
        <v>0</v>
      </c>
      <c r="G53" s="12">
        <v>0</v>
      </c>
      <c r="H53" s="11" t="s">
        <v>566</v>
      </c>
    </row>
    <row r="54" spans="1:8" ht="15" customHeight="1" x14ac:dyDescent="0.25">
      <c r="A54" s="11" t="s">
        <v>484</v>
      </c>
      <c r="B54" s="11">
        <v>100414</v>
      </c>
      <c r="C54" s="11" t="s">
        <v>567</v>
      </c>
      <c r="D54" s="11" t="s">
        <v>486</v>
      </c>
      <c r="E54" s="12">
        <v>49388.666666666701</v>
      </c>
      <c r="F54" s="13">
        <v>0</v>
      </c>
      <c r="G54" s="12">
        <v>0</v>
      </c>
      <c r="H54" s="11" t="s">
        <v>568</v>
      </c>
    </row>
    <row r="55" spans="1:8" ht="15" customHeight="1" x14ac:dyDescent="0.25">
      <c r="A55" s="11" t="s">
        <v>484</v>
      </c>
      <c r="B55" s="11">
        <v>100412</v>
      </c>
      <c r="C55" s="11" t="s">
        <v>569</v>
      </c>
      <c r="D55" s="11" t="s">
        <v>538</v>
      </c>
      <c r="E55" s="12">
        <v>64575</v>
      </c>
      <c r="F55" s="13">
        <v>0</v>
      </c>
      <c r="G55" s="12">
        <v>0</v>
      </c>
      <c r="H55" s="11" t="s">
        <v>570</v>
      </c>
    </row>
    <row r="56" spans="1:8" ht="15" customHeight="1" x14ac:dyDescent="0.25">
      <c r="A56" s="11" t="s">
        <v>484</v>
      </c>
      <c r="B56" s="11">
        <v>100415</v>
      </c>
      <c r="C56" s="11" t="s">
        <v>571</v>
      </c>
      <c r="D56" s="11" t="s">
        <v>538</v>
      </c>
      <c r="E56" s="12">
        <v>49388.666666666701</v>
      </c>
      <c r="F56" s="13">
        <v>0</v>
      </c>
      <c r="G56" s="12">
        <v>0</v>
      </c>
      <c r="H56" s="11" t="s">
        <v>572</v>
      </c>
    </row>
    <row r="57" spans="1:8" ht="15" customHeight="1" x14ac:dyDescent="0.25">
      <c r="A57" s="11" t="s">
        <v>484</v>
      </c>
      <c r="B57" s="11">
        <v>100416</v>
      </c>
      <c r="C57" s="11" t="s">
        <v>573</v>
      </c>
      <c r="D57" s="11" t="s">
        <v>538</v>
      </c>
      <c r="E57" s="12">
        <v>49388.666666666701</v>
      </c>
      <c r="F57" s="13">
        <v>0</v>
      </c>
      <c r="G57" s="12">
        <v>0</v>
      </c>
      <c r="H57" s="11" t="s">
        <v>574</v>
      </c>
    </row>
    <row r="58" spans="1:8" ht="15" customHeight="1" x14ac:dyDescent="0.25">
      <c r="A58" s="11" t="s">
        <v>484</v>
      </c>
      <c r="B58" s="11">
        <v>100417</v>
      </c>
      <c r="C58" s="11" t="s">
        <v>575</v>
      </c>
      <c r="D58" s="11" t="s">
        <v>538</v>
      </c>
      <c r="E58" s="12">
        <v>49388.666666666701</v>
      </c>
      <c r="F58" s="13">
        <v>0</v>
      </c>
      <c r="G58" s="12">
        <v>0</v>
      </c>
      <c r="H58" s="11" t="s">
        <v>576</v>
      </c>
    </row>
    <row r="59" spans="1:8" ht="15" customHeight="1" x14ac:dyDescent="0.25">
      <c r="A59" s="11" t="s">
        <v>484</v>
      </c>
      <c r="B59" s="11">
        <v>100418</v>
      </c>
      <c r="C59" s="11" t="s">
        <v>577</v>
      </c>
      <c r="D59" s="11" t="s">
        <v>538</v>
      </c>
      <c r="E59" s="12">
        <v>49388.666666666701</v>
      </c>
      <c r="F59" s="13">
        <v>0</v>
      </c>
      <c r="G59" s="12">
        <v>0</v>
      </c>
      <c r="H59" s="11" t="s">
        <v>578</v>
      </c>
    </row>
    <row r="60" spans="1:8" ht="15" customHeight="1" x14ac:dyDescent="0.25">
      <c r="A60" s="11" t="s">
        <v>484</v>
      </c>
      <c r="B60" s="11">
        <v>100413</v>
      </c>
      <c r="C60" s="11" t="s">
        <v>579</v>
      </c>
      <c r="D60" s="11" t="s">
        <v>486</v>
      </c>
      <c r="E60" s="12">
        <v>64575</v>
      </c>
      <c r="F60" s="13">
        <v>0</v>
      </c>
      <c r="G60" s="12">
        <v>0</v>
      </c>
      <c r="H60" s="11" t="s">
        <v>580</v>
      </c>
    </row>
    <row r="61" spans="1:8" ht="15" customHeight="1" x14ac:dyDescent="0.25">
      <c r="A61" s="11" t="s">
        <v>484</v>
      </c>
      <c r="B61" s="11">
        <v>100419</v>
      </c>
      <c r="C61" s="11" t="s">
        <v>581</v>
      </c>
      <c r="D61" s="11" t="s">
        <v>538</v>
      </c>
      <c r="E61" s="12">
        <v>58168.75</v>
      </c>
      <c r="F61" s="13">
        <v>0</v>
      </c>
      <c r="G61" s="12">
        <v>0</v>
      </c>
      <c r="H61" s="11" t="s">
        <v>582</v>
      </c>
    </row>
    <row r="62" spans="1:8" ht="15" customHeight="1" x14ac:dyDescent="0.25">
      <c r="A62" s="11" t="s">
        <v>484</v>
      </c>
      <c r="B62" s="11">
        <v>100420</v>
      </c>
      <c r="C62" s="11" t="s">
        <v>583</v>
      </c>
      <c r="D62" s="11" t="s">
        <v>538</v>
      </c>
      <c r="E62" s="12">
        <v>49388.666666666701</v>
      </c>
      <c r="F62" s="13">
        <v>0</v>
      </c>
      <c r="G62" s="12">
        <v>0</v>
      </c>
      <c r="H62" s="11" t="s">
        <v>584</v>
      </c>
    </row>
    <row r="63" spans="1:8" ht="15" customHeight="1" x14ac:dyDescent="0.25">
      <c r="A63" s="11" t="s">
        <v>484</v>
      </c>
      <c r="B63" s="11">
        <v>100202</v>
      </c>
      <c r="C63" s="11" t="s">
        <v>585</v>
      </c>
      <c r="D63" s="11" t="s">
        <v>486</v>
      </c>
      <c r="E63" s="12">
        <v>48650</v>
      </c>
      <c r="F63" s="13">
        <v>0</v>
      </c>
      <c r="G63" s="12">
        <v>0</v>
      </c>
      <c r="H63" s="11" t="s">
        <v>586</v>
      </c>
    </row>
    <row r="64" spans="1:8" ht="15" customHeight="1" x14ac:dyDescent="0.25">
      <c r="A64" s="11" t="s">
        <v>484</v>
      </c>
      <c r="B64" s="11">
        <v>140422</v>
      </c>
      <c r="C64" s="11" t="s">
        <v>587</v>
      </c>
      <c r="D64" s="11" t="s">
        <v>486</v>
      </c>
      <c r="E64" s="12">
        <v>56477.5</v>
      </c>
      <c r="F64" s="13">
        <v>0</v>
      </c>
      <c r="G64" s="12">
        <v>0</v>
      </c>
      <c r="H64" s="11" t="s">
        <v>588</v>
      </c>
    </row>
    <row r="65" spans="1:8" ht="15" customHeight="1" x14ac:dyDescent="0.25">
      <c r="A65" s="11" t="s">
        <v>484</v>
      </c>
      <c r="B65" s="11">
        <v>140415</v>
      </c>
      <c r="C65" s="11" t="s">
        <v>589</v>
      </c>
      <c r="D65" s="11" t="s">
        <v>486</v>
      </c>
      <c r="E65" s="12">
        <v>57707.5</v>
      </c>
      <c r="F65" s="13">
        <v>0</v>
      </c>
      <c r="G65" s="12">
        <v>0</v>
      </c>
      <c r="H65" s="11" t="s">
        <v>590</v>
      </c>
    </row>
    <row r="66" spans="1:8" ht="15" customHeight="1" x14ac:dyDescent="0.25">
      <c r="A66" s="11" t="s">
        <v>484</v>
      </c>
      <c r="B66" s="11">
        <v>140419</v>
      </c>
      <c r="C66" s="11" t="s">
        <v>591</v>
      </c>
      <c r="D66" s="11" t="s">
        <v>486</v>
      </c>
      <c r="E66" s="12">
        <v>49854.1</v>
      </c>
      <c r="F66" s="13">
        <v>0</v>
      </c>
      <c r="G66" s="12">
        <v>0</v>
      </c>
      <c r="H66" s="11" t="s">
        <v>592</v>
      </c>
    </row>
    <row r="67" spans="1:8" ht="15" customHeight="1" x14ac:dyDescent="0.25">
      <c r="A67" s="11" t="s">
        <v>484</v>
      </c>
      <c r="B67" s="11">
        <v>140416</v>
      </c>
      <c r="C67" s="11" t="s">
        <v>593</v>
      </c>
      <c r="D67" s="11" t="s">
        <v>486</v>
      </c>
      <c r="E67" s="12">
        <v>56477.5</v>
      </c>
      <c r="F67" s="13">
        <v>0</v>
      </c>
      <c r="G67" s="12">
        <v>0</v>
      </c>
      <c r="H67" s="11" t="s">
        <v>594</v>
      </c>
    </row>
    <row r="68" spans="1:8" ht="15" customHeight="1" x14ac:dyDescent="0.25">
      <c r="A68" s="11" t="s">
        <v>484</v>
      </c>
      <c r="B68" s="11">
        <v>140417</v>
      </c>
      <c r="C68" s="11" t="s">
        <v>595</v>
      </c>
      <c r="D68" s="11" t="s">
        <v>486</v>
      </c>
      <c r="E68" s="12">
        <v>41717.5</v>
      </c>
      <c r="F68" s="13">
        <v>0</v>
      </c>
      <c r="G68" s="12">
        <v>0</v>
      </c>
      <c r="H68" s="11" t="s">
        <v>596</v>
      </c>
    </row>
    <row r="69" spans="1:8" ht="15" customHeight="1" x14ac:dyDescent="0.25">
      <c r="A69" s="11" t="s">
        <v>484</v>
      </c>
      <c r="B69" s="11">
        <v>140420</v>
      </c>
      <c r="C69" s="11" t="s">
        <v>597</v>
      </c>
      <c r="D69" s="11" t="s">
        <v>486</v>
      </c>
      <c r="E69" s="12">
        <v>41717.5</v>
      </c>
      <c r="F69" s="13">
        <v>0</v>
      </c>
      <c r="G69" s="12">
        <v>0</v>
      </c>
      <c r="H69" s="11" t="s">
        <v>598</v>
      </c>
    </row>
    <row r="70" spans="1:8" ht="15" customHeight="1" x14ac:dyDescent="0.25">
      <c r="A70" s="11" t="s">
        <v>484</v>
      </c>
      <c r="B70" s="11">
        <v>140421</v>
      </c>
      <c r="C70" s="11" t="s">
        <v>599</v>
      </c>
      <c r="D70" s="11" t="s">
        <v>486</v>
      </c>
      <c r="E70" s="12">
        <v>58117.5</v>
      </c>
      <c r="F70" s="13">
        <v>0</v>
      </c>
      <c r="G70" s="12">
        <v>0</v>
      </c>
      <c r="H70" s="11" t="s">
        <v>600</v>
      </c>
    </row>
    <row r="71" spans="1:8" ht="15" customHeight="1" x14ac:dyDescent="0.25">
      <c r="A71" s="11" t="s">
        <v>484</v>
      </c>
      <c r="B71" s="11">
        <v>140418</v>
      </c>
      <c r="C71" s="11" t="s">
        <v>601</v>
      </c>
      <c r="D71" s="11" t="s">
        <v>486</v>
      </c>
      <c r="E71" s="12">
        <v>58117.5</v>
      </c>
      <c r="F71" s="13">
        <v>0</v>
      </c>
      <c r="G71" s="12">
        <v>0</v>
      </c>
      <c r="H71" s="11" t="s">
        <v>602</v>
      </c>
    </row>
    <row r="72" spans="1:8" ht="15" customHeight="1" x14ac:dyDescent="0.25">
      <c r="A72" s="11" t="s">
        <v>484</v>
      </c>
      <c r="B72" s="11">
        <v>100203</v>
      </c>
      <c r="C72" s="11" t="s">
        <v>603</v>
      </c>
      <c r="D72" s="11" t="s">
        <v>538</v>
      </c>
      <c r="E72" s="12">
        <v>65190</v>
      </c>
      <c r="F72" s="13">
        <v>0</v>
      </c>
      <c r="G72" s="12">
        <v>0</v>
      </c>
      <c r="H72" s="11" t="s">
        <v>604</v>
      </c>
    </row>
    <row r="73" spans="1:8" ht="15" customHeight="1" x14ac:dyDescent="0.25">
      <c r="A73" s="11" t="s">
        <v>484</v>
      </c>
      <c r="B73" s="11">
        <v>100204</v>
      </c>
      <c r="C73" s="11" t="s">
        <v>605</v>
      </c>
      <c r="D73" s="11" t="s">
        <v>538</v>
      </c>
      <c r="E73" s="12">
        <v>56067.5</v>
      </c>
      <c r="F73" s="13">
        <v>0</v>
      </c>
      <c r="G73" s="12">
        <v>0</v>
      </c>
      <c r="H73" s="11" t="s">
        <v>606</v>
      </c>
    </row>
    <row r="74" spans="1:8" ht="15" customHeight="1" x14ac:dyDescent="0.25">
      <c r="A74" s="11" t="s">
        <v>484</v>
      </c>
      <c r="B74" s="11">
        <v>100205</v>
      </c>
      <c r="C74" s="11" t="s">
        <v>607</v>
      </c>
      <c r="D74" s="11" t="s">
        <v>538</v>
      </c>
      <c r="E74" s="12">
        <v>76916.666666666701</v>
      </c>
      <c r="F74" s="13">
        <v>0</v>
      </c>
      <c r="G74" s="12">
        <v>0</v>
      </c>
      <c r="H74" s="11" t="s">
        <v>608</v>
      </c>
    </row>
    <row r="75" spans="1:8" ht="15" customHeight="1" x14ac:dyDescent="0.25">
      <c r="A75" s="11" t="s">
        <v>484</v>
      </c>
      <c r="B75" s="11">
        <v>140706</v>
      </c>
      <c r="C75" s="11" t="s">
        <v>609</v>
      </c>
      <c r="D75" s="11" t="s">
        <v>486</v>
      </c>
      <c r="E75" s="12">
        <v>53146.25</v>
      </c>
      <c r="F75" s="13">
        <v>0</v>
      </c>
      <c r="G75" s="12">
        <v>0</v>
      </c>
      <c r="H75" s="11" t="s">
        <v>610</v>
      </c>
    </row>
    <row r="76" spans="1:8" ht="15" customHeight="1" x14ac:dyDescent="0.25">
      <c r="A76" s="11" t="s">
        <v>484</v>
      </c>
      <c r="B76" s="11">
        <v>777101</v>
      </c>
      <c r="C76" s="11" t="s">
        <v>611</v>
      </c>
      <c r="D76" s="11" t="s">
        <v>499</v>
      </c>
      <c r="E76" s="12">
        <v>344.1</v>
      </c>
      <c r="F76" s="13">
        <v>2900</v>
      </c>
      <c r="G76" s="12">
        <v>997890</v>
      </c>
      <c r="H76" s="11" t="s">
        <v>178</v>
      </c>
    </row>
    <row r="77" spans="1:8" ht="15" customHeight="1" x14ac:dyDescent="0.25">
      <c r="A77" s="11" t="s">
        <v>484</v>
      </c>
      <c r="B77" s="11">
        <v>100206</v>
      </c>
      <c r="C77" s="11" t="s">
        <v>612</v>
      </c>
      <c r="D77" s="11" t="s">
        <v>538</v>
      </c>
      <c r="E77" s="12">
        <v>99681.25</v>
      </c>
      <c r="F77" s="13">
        <v>0</v>
      </c>
      <c r="G77" s="12">
        <v>0</v>
      </c>
      <c r="H77" s="11" t="s">
        <v>613</v>
      </c>
    </row>
    <row r="78" spans="1:8" ht="15" customHeight="1" x14ac:dyDescent="0.25">
      <c r="A78" s="11" t="s">
        <v>484</v>
      </c>
      <c r="B78" s="11">
        <v>100208</v>
      </c>
      <c r="C78" s="11" t="s">
        <v>614</v>
      </c>
      <c r="D78" s="11" t="s">
        <v>538</v>
      </c>
      <c r="E78" s="12">
        <v>94812.5</v>
      </c>
      <c r="F78" s="13">
        <v>304</v>
      </c>
      <c r="G78" s="12">
        <v>28823000</v>
      </c>
      <c r="H78" s="11" t="s">
        <v>211</v>
      </c>
    </row>
    <row r="79" spans="1:8" ht="15" customHeight="1" x14ac:dyDescent="0.25">
      <c r="A79" s="11" t="s">
        <v>484</v>
      </c>
      <c r="B79" s="11">
        <v>100207</v>
      </c>
      <c r="C79" s="11" t="s">
        <v>615</v>
      </c>
      <c r="D79" s="11">
        <v>0</v>
      </c>
      <c r="E79" s="12">
        <v>62781.25</v>
      </c>
      <c r="F79" s="13">
        <v>0</v>
      </c>
      <c r="G79" s="12">
        <v>0</v>
      </c>
      <c r="H79" s="11" t="s">
        <v>616</v>
      </c>
    </row>
    <row r="80" spans="1:8" ht="15" customHeight="1" x14ac:dyDescent="0.25">
      <c r="A80" s="11" t="s">
        <v>484</v>
      </c>
      <c r="B80" s="11">
        <v>100214</v>
      </c>
      <c r="C80" s="11" t="s">
        <v>617</v>
      </c>
      <c r="D80" s="11" t="s">
        <v>538</v>
      </c>
      <c r="E80" s="12">
        <v>61329.166666666701</v>
      </c>
      <c r="F80" s="13">
        <v>0</v>
      </c>
      <c r="G80" s="12">
        <v>0</v>
      </c>
      <c r="H80" s="11" t="s">
        <v>618</v>
      </c>
    </row>
    <row r="81" spans="1:8" ht="15" customHeight="1" x14ac:dyDescent="0.25">
      <c r="A81" s="11" t="s">
        <v>484</v>
      </c>
      <c r="B81" s="11">
        <v>300105</v>
      </c>
      <c r="C81" s="11" t="s">
        <v>619</v>
      </c>
      <c r="D81" s="11" t="s">
        <v>486</v>
      </c>
      <c r="E81" s="12">
        <v>100000</v>
      </c>
      <c r="F81" s="13">
        <v>0</v>
      </c>
      <c r="G81" s="12">
        <v>0</v>
      </c>
      <c r="H81" s="11" t="s">
        <v>620</v>
      </c>
    </row>
    <row r="82" spans="1:8" ht="15" customHeight="1" x14ac:dyDescent="0.25">
      <c r="A82" s="11" t="s">
        <v>484</v>
      </c>
      <c r="B82" s="11">
        <v>300106</v>
      </c>
      <c r="C82" s="11" t="s">
        <v>621</v>
      </c>
      <c r="D82" s="11" t="s">
        <v>538</v>
      </c>
      <c r="E82" s="12">
        <v>87368.421052631602</v>
      </c>
      <c r="F82" s="13">
        <v>93.1</v>
      </c>
      <c r="G82" s="12">
        <v>8134000</v>
      </c>
      <c r="H82" s="11" t="s">
        <v>42</v>
      </c>
    </row>
    <row r="83" spans="1:8" ht="15" customHeight="1" x14ac:dyDescent="0.25">
      <c r="A83" s="11" t="s">
        <v>484</v>
      </c>
      <c r="B83" s="11">
        <v>400110</v>
      </c>
      <c r="C83" s="11" t="s">
        <v>622</v>
      </c>
      <c r="D83" s="11" t="s">
        <v>486</v>
      </c>
      <c r="E83" s="12">
        <v>45000</v>
      </c>
      <c r="F83" s="13">
        <v>0</v>
      </c>
      <c r="G83" s="12">
        <v>0</v>
      </c>
      <c r="H83" s="11" t="s">
        <v>623</v>
      </c>
    </row>
    <row r="84" spans="1:8" ht="15" customHeight="1" x14ac:dyDescent="0.25">
      <c r="A84" s="11" t="s">
        <v>484</v>
      </c>
      <c r="B84" s="11">
        <v>100302</v>
      </c>
      <c r="C84" s="11" t="s">
        <v>624</v>
      </c>
      <c r="D84" s="11" t="s">
        <v>538</v>
      </c>
      <c r="E84" s="12">
        <v>70700</v>
      </c>
      <c r="F84" s="13">
        <v>0</v>
      </c>
      <c r="G84" s="12">
        <v>0</v>
      </c>
      <c r="H84" s="11" t="s">
        <v>625</v>
      </c>
    </row>
    <row r="85" spans="1:8" ht="15" customHeight="1" x14ac:dyDescent="0.25">
      <c r="A85" s="11" t="s">
        <v>484</v>
      </c>
      <c r="B85" s="11">
        <v>140707</v>
      </c>
      <c r="C85" s="11" t="s">
        <v>626</v>
      </c>
      <c r="D85" s="11" t="s">
        <v>486</v>
      </c>
      <c r="E85" s="12">
        <v>70263.75</v>
      </c>
      <c r="F85" s="13">
        <v>920</v>
      </c>
      <c r="G85" s="12">
        <v>64642650</v>
      </c>
      <c r="H85" s="11" t="s">
        <v>205</v>
      </c>
    </row>
    <row r="86" spans="1:8" ht="15" customHeight="1" x14ac:dyDescent="0.25">
      <c r="A86" s="11" t="s">
        <v>484</v>
      </c>
      <c r="B86" s="11">
        <v>333101</v>
      </c>
      <c r="C86" s="11" t="s">
        <v>627</v>
      </c>
      <c r="D86" s="11" t="s">
        <v>496</v>
      </c>
      <c r="E86" s="12">
        <v>1450</v>
      </c>
      <c r="F86" s="13">
        <v>4800</v>
      </c>
      <c r="G86" s="12">
        <v>6960000</v>
      </c>
      <c r="H86" s="11" t="s">
        <v>32</v>
      </c>
    </row>
    <row r="87" spans="1:8" ht="15" customHeight="1" x14ac:dyDescent="0.25">
      <c r="A87" s="11" t="s">
        <v>484</v>
      </c>
      <c r="B87" s="11">
        <v>333102</v>
      </c>
      <c r="C87" s="11" t="s">
        <v>628</v>
      </c>
      <c r="D87" s="11" t="s">
        <v>496</v>
      </c>
      <c r="E87" s="12">
        <v>1000</v>
      </c>
      <c r="F87" s="13">
        <v>436</v>
      </c>
      <c r="G87" s="12">
        <v>436000</v>
      </c>
      <c r="H87" s="11" t="s">
        <v>100</v>
      </c>
    </row>
    <row r="88" spans="1:8" ht="15" customHeight="1" x14ac:dyDescent="0.25">
      <c r="A88" s="11" t="s">
        <v>484</v>
      </c>
      <c r="B88" s="11">
        <v>333103</v>
      </c>
      <c r="C88" s="11" t="s">
        <v>629</v>
      </c>
      <c r="D88" s="11" t="s">
        <v>496</v>
      </c>
      <c r="E88" s="12">
        <v>1450</v>
      </c>
      <c r="F88" s="13">
        <v>1698</v>
      </c>
      <c r="G88" s="12">
        <v>2462100</v>
      </c>
      <c r="H88" s="11" t="s">
        <v>49</v>
      </c>
    </row>
    <row r="89" spans="1:8" ht="15" customHeight="1" x14ac:dyDescent="0.25">
      <c r="A89" s="11" t="s">
        <v>484</v>
      </c>
      <c r="B89" s="11">
        <v>140202</v>
      </c>
      <c r="C89" s="11" t="s">
        <v>630</v>
      </c>
      <c r="D89" s="11" t="s">
        <v>486</v>
      </c>
      <c r="E89" s="12">
        <v>71192.600000000006</v>
      </c>
      <c r="F89" s="13">
        <v>5</v>
      </c>
      <c r="G89" s="12">
        <v>355963</v>
      </c>
      <c r="H89" s="11" t="s">
        <v>37</v>
      </c>
    </row>
    <row r="90" spans="1:8" ht="15" customHeight="1" x14ac:dyDescent="0.25">
      <c r="A90" s="11" t="s">
        <v>484</v>
      </c>
      <c r="B90" s="11">
        <v>140300</v>
      </c>
      <c r="C90" s="11" t="s">
        <v>631</v>
      </c>
      <c r="D90" s="11" t="s">
        <v>486</v>
      </c>
      <c r="E90" s="12">
        <v>166500</v>
      </c>
      <c r="F90" s="13">
        <v>0</v>
      </c>
      <c r="G90" s="12">
        <v>0</v>
      </c>
      <c r="H90" s="11" t="s">
        <v>632</v>
      </c>
    </row>
    <row r="91" spans="1:8" ht="15" customHeight="1" x14ac:dyDescent="0.25">
      <c r="A91" s="11" t="s">
        <v>484</v>
      </c>
      <c r="B91" s="11">
        <v>333104</v>
      </c>
      <c r="C91" s="11" t="s">
        <v>633</v>
      </c>
      <c r="D91" s="11" t="s">
        <v>499</v>
      </c>
      <c r="E91" s="12">
        <v>0</v>
      </c>
      <c r="F91" s="13">
        <v>0</v>
      </c>
      <c r="G91" s="12">
        <v>0</v>
      </c>
      <c r="H91" s="11" t="s">
        <v>634</v>
      </c>
    </row>
    <row r="92" spans="1:8" ht="15" customHeight="1" x14ac:dyDescent="0.25">
      <c r="A92" s="11" t="s">
        <v>484</v>
      </c>
      <c r="B92" s="11">
        <v>400111</v>
      </c>
      <c r="C92" s="11" t="s">
        <v>635</v>
      </c>
      <c r="D92" s="11" t="s">
        <v>499</v>
      </c>
      <c r="E92" s="12">
        <v>164280</v>
      </c>
      <c r="F92" s="13">
        <v>0</v>
      </c>
      <c r="G92" s="12">
        <v>0</v>
      </c>
      <c r="H92" s="11" t="s">
        <v>636</v>
      </c>
    </row>
    <row r="93" spans="1:8" ht="15" customHeight="1" x14ac:dyDescent="0.25">
      <c r="A93" s="11" t="s">
        <v>484</v>
      </c>
      <c r="B93" s="11">
        <v>110201</v>
      </c>
      <c r="C93" s="11" t="s">
        <v>637</v>
      </c>
      <c r="D93" s="11" t="s">
        <v>486</v>
      </c>
      <c r="E93" s="12">
        <v>18509.090909090901</v>
      </c>
      <c r="F93" s="13">
        <v>0</v>
      </c>
      <c r="G93" s="12">
        <v>0</v>
      </c>
      <c r="H93" s="11" t="s">
        <v>638</v>
      </c>
    </row>
    <row r="94" spans="1:8" ht="15" customHeight="1" x14ac:dyDescent="0.25">
      <c r="A94" s="11" t="s">
        <v>484</v>
      </c>
      <c r="B94" s="11">
        <v>110202</v>
      </c>
      <c r="C94" s="11" t="s">
        <v>639</v>
      </c>
      <c r="D94" s="11" t="s">
        <v>486</v>
      </c>
      <c r="E94" s="12">
        <v>14298.245614035101</v>
      </c>
      <c r="F94" s="13">
        <v>0</v>
      </c>
      <c r="G94" s="12">
        <v>0</v>
      </c>
      <c r="H94" s="11" t="s">
        <v>640</v>
      </c>
    </row>
    <row r="95" spans="1:8" ht="15" customHeight="1" x14ac:dyDescent="0.25">
      <c r="A95" s="11" t="s">
        <v>484</v>
      </c>
      <c r="B95" s="11">
        <v>444101</v>
      </c>
      <c r="C95" s="11" t="s">
        <v>641</v>
      </c>
      <c r="D95" s="11" t="s">
        <v>642</v>
      </c>
      <c r="E95" s="12">
        <v>11000</v>
      </c>
      <c r="F95" s="13">
        <v>240</v>
      </c>
      <c r="G95" s="12">
        <v>2640000</v>
      </c>
      <c r="H95" s="11" t="s">
        <v>223</v>
      </c>
    </row>
    <row r="96" spans="1:8" ht="15" customHeight="1" x14ac:dyDescent="0.25">
      <c r="A96" s="11" t="s">
        <v>484</v>
      </c>
      <c r="B96" s="11">
        <v>444102</v>
      </c>
      <c r="C96" s="11" t="s">
        <v>643</v>
      </c>
      <c r="D96" s="11" t="s">
        <v>642</v>
      </c>
      <c r="E96" s="12">
        <v>95000</v>
      </c>
      <c r="F96" s="13">
        <v>0</v>
      </c>
      <c r="G96" s="12">
        <v>0</v>
      </c>
      <c r="H96" s="11" t="s">
        <v>644</v>
      </c>
    </row>
    <row r="97" spans="1:8" ht="15" customHeight="1" x14ac:dyDescent="0.25">
      <c r="A97" s="11" t="s">
        <v>484</v>
      </c>
      <c r="B97" s="11">
        <v>300206</v>
      </c>
      <c r="C97" s="11" t="s">
        <v>645</v>
      </c>
      <c r="D97" s="11" t="s">
        <v>486</v>
      </c>
      <c r="E97" s="12">
        <v>85000</v>
      </c>
      <c r="F97" s="13">
        <v>0</v>
      </c>
      <c r="G97" s="12">
        <v>0</v>
      </c>
      <c r="H97" s="11" t="s">
        <v>646</v>
      </c>
    </row>
    <row r="98" spans="1:8" ht="15" customHeight="1" x14ac:dyDescent="0.25">
      <c r="A98" s="11" t="s">
        <v>484</v>
      </c>
      <c r="B98" s="11">
        <v>555101</v>
      </c>
      <c r="C98" s="11" t="s">
        <v>647</v>
      </c>
      <c r="D98" s="11" t="s">
        <v>496</v>
      </c>
      <c r="E98" s="12">
        <v>1775</v>
      </c>
      <c r="F98" s="13">
        <v>46250</v>
      </c>
      <c r="G98" s="12">
        <v>82093750</v>
      </c>
      <c r="H98" s="11" t="s">
        <v>224</v>
      </c>
    </row>
    <row r="99" spans="1:8" ht="15" customHeight="1" x14ac:dyDescent="0.25">
      <c r="A99" s="11" t="s">
        <v>484</v>
      </c>
      <c r="B99" s="11">
        <v>555102</v>
      </c>
      <c r="C99" s="11" t="s">
        <v>648</v>
      </c>
      <c r="D99" s="11" t="s">
        <v>496</v>
      </c>
      <c r="E99" s="12">
        <v>2200</v>
      </c>
      <c r="F99" s="13">
        <v>10750</v>
      </c>
      <c r="G99" s="12">
        <v>23650000</v>
      </c>
      <c r="H99" s="11" t="s">
        <v>225</v>
      </c>
    </row>
    <row r="100" spans="1:8" ht="15" customHeight="1" x14ac:dyDescent="0.25">
      <c r="A100" s="11" t="s">
        <v>484</v>
      </c>
      <c r="B100" s="11">
        <v>555201</v>
      </c>
      <c r="C100" s="11" t="s">
        <v>649</v>
      </c>
      <c r="D100" s="11" t="s">
        <v>496</v>
      </c>
      <c r="E100" s="12">
        <v>3700</v>
      </c>
      <c r="F100" s="13">
        <v>8807</v>
      </c>
      <c r="G100" s="12">
        <v>32585900</v>
      </c>
      <c r="H100" s="11" t="s">
        <v>215</v>
      </c>
    </row>
    <row r="101" spans="1:8" ht="15" customHeight="1" x14ac:dyDescent="0.25">
      <c r="A101" s="11" t="s">
        <v>484</v>
      </c>
      <c r="B101" s="11">
        <v>555202</v>
      </c>
      <c r="C101" s="11" t="s">
        <v>650</v>
      </c>
      <c r="D101" s="11" t="s">
        <v>496</v>
      </c>
      <c r="E101" s="12">
        <v>2750</v>
      </c>
      <c r="F101" s="13">
        <v>0</v>
      </c>
      <c r="G101" s="12">
        <v>0</v>
      </c>
      <c r="H101" s="11" t="s">
        <v>651</v>
      </c>
    </row>
    <row r="102" spans="1:8" ht="15" customHeight="1" x14ac:dyDescent="0.25">
      <c r="A102" s="11" t="s">
        <v>484</v>
      </c>
      <c r="B102" s="11">
        <v>555304</v>
      </c>
      <c r="C102" s="11" t="s">
        <v>652</v>
      </c>
      <c r="D102" s="11" t="s">
        <v>496</v>
      </c>
      <c r="E102" s="12">
        <v>1850</v>
      </c>
      <c r="F102" s="13">
        <v>300</v>
      </c>
      <c r="G102" s="12">
        <v>555000</v>
      </c>
      <c r="H102" s="11" t="s">
        <v>226</v>
      </c>
    </row>
    <row r="103" spans="1:8" ht="15" customHeight="1" x14ac:dyDescent="0.25">
      <c r="A103" s="11" t="s">
        <v>484</v>
      </c>
      <c r="B103" s="11">
        <v>555301</v>
      </c>
      <c r="C103" s="11" t="s">
        <v>653</v>
      </c>
      <c r="D103" s="11" t="s">
        <v>496</v>
      </c>
      <c r="E103" s="12">
        <v>1400</v>
      </c>
      <c r="F103" s="13">
        <v>0</v>
      </c>
      <c r="G103" s="12">
        <v>0</v>
      </c>
      <c r="H103" s="11" t="s">
        <v>654</v>
      </c>
    </row>
    <row r="104" spans="1:8" ht="15" customHeight="1" x14ac:dyDescent="0.25">
      <c r="A104" s="11" t="s">
        <v>484</v>
      </c>
      <c r="B104" s="11">
        <v>555401</v>
      </c>
      <c r="C104" s="11" t="s">
        <v>655</v>
      </c>
      <c r="D104" s="11" t="s">
        <v>496</v>
      </c>
      <c r="E104" s="12">
        <v>1775</v>
      </c>
      <c r="F104" s="13">
        <v>6000</v>
      </c>
      <c r="G104" s="12">
        <v>10650000</v>
      </c>
      <c r="H104" s="11" t="s">
        <v>227</v>
      </c>
    </row>
    <row r="105" spans="1:8" ht="15" customHeight="1" x14ac:dyDescent="0.25">
      <c r="A105" s="11" t="s">
        <v>484</v>
      </c>
      <c r="B105" s="11">
        <v>555403</v>
      </c>
      <c r="C105" s="11" t="s">
        <v>656</v>
      </c>
      <c r="D105" s="11" t="s">
        <v>496</v>
      </c>
      <c r="E105" s="12">
        <v>2200</v>
      </c>
      <c r="F105" s="13">
        <v>0</v>
      </c>
      <c r="G105" s="12">
        <v>0</v>
      </c>
      <c r="H105" s="11" t="s">
        <v>657</v>
      </c>
    </row>
    <row r="106" spans="1:8" ht="15" customHeight="1" x14ac:dyDescent="0.25">
      <c r="A106" s="11" t="s">
        <v>484</v>
      </c>
      <c r="B106" s="11">
        <v>555406</v>
      </c>
      <c r="C106" s="11" t="s">
        <v>658</v>
      </c>
      <c r="D106" s="11" t="s">
        <v>496</v>
      </c>
      <c r="E106" s="12">
        <v>2200</v>
      </c>
      <c r="F106" s="13">
        <v>1950</v>
      </c>
      <c r="G106" s="12">
        <v>4290000</v>
      </c>
      <c r="H106" s="11" t="s">
        <v>41</v>
      </c>
    </row>
    <row r="107" spans="1:8" ht="15" customHeight="1" x14ac:dyDescent="0.25">
      <c r="A107" s="11" t="s">
        <v>484</v>
      </c>
      <c r="B107" s="11">
        <v>555407</v>
      </c>
      <c r="C107" s="11" t="s">
        <v>659</v>
      </c>
      <c r="D107" s="11" t="s">
        <v>496</v>
      </c>
      <c r="E107" s="12">
        <v>1900</v>
      </c>
      <c r="F107" s="13">
        <v>0</v>
      </c>
      <c r="G107" s="12">
        <v>0</v>
      </c>
      <c r="H107" s="11" t="s">
        <v>660</v>
      </c>
    </row>
    <row r="108" spans="1:8" ht="15" customHeight="1" x14ac:dyDescent="0.25">
      <c r="A108" s="11" t="s">
        <v>484</v>
      </c>
      <c r="B108" s="11">
        <v>555410</v>
      </c>
      <c r="C108" s="11" t="s">
        <v>661</v>
      </c>
      <c r="D108" s="11" t="s">
        <v>496</v>
      </c>
      <c r="E108" s="12">
        <v>1775</v>
      </c>
      <c r="F108" s="13">
        <v>4900</v>
      </c>
      <c r="G108" s="12">
        <v>8697500</v>
      </c>
      <c r="H108" s="11" t="s">
        <v>228</v>
      </c>
    </row>
    <row r="109" spans="1:8" ht="15" customHeight="1" x14ac:dyDescent="0.25">
      <c r="A109" s="11" t="s">
        <v>484</v>
      </c>
      <c r="B109" s="11">
        <v>555500</v>
      </c>
      <c r="C109" s="11" t="s">
        <v>662</v>
      </c>
      <c r="D109" s="11" t="s">
        <v>496</v>
      </c>
      <c r="E109" s="12">
        <v>1250</v>
      </c>
      <c r="F109" s="13">
        <v>0</v>
      </c>
      <c r="G109" s="12">
        <v>0</v>
      </c>
      <c r="H109" s="11" t="s">
        <v>663</v>
      </c>
    </row>
    <row r="110" spans="1:8" ht="15" customHeight="1" x14ac:dyDescent="0.25">
      <c r="A110" s="11" t="s">
        <v>484</v>
      </c>
      <c r="B110" s="11">
        <v>555601</v>
      </c>
      <c r="C110" s="11" t="s">
        <v>664</v>
      </c>
      <c r="D110" s="11" t="s">
        <v>496</v>
      </c>
      <c r="E110" s="12">
        <v>1625</v>
      </c>
      <c r="F110" s="13">
        <v>6450</v>
      </c>
      <c r="G110" s="12">
        <v>10481250</v>
      </c>
      <c r="H110" s="11" t="s">
        <v>230</v>
      </c>
    </row>
    <row r="111" spans="1:8" ht="15" customHeight="1" x14ac:dyDescent="0.25">
      <c r="A111" s="11" t="s">
        <v>484</v>
      </c>
      <c r="B111" s="11">
        <v>555602</v>
      </c>
      <c r="C111" s="11" t="s">
        <v>665</v>
      </c>
      <c r="D111" s="11" t="s">
        <v>496</v>
      </c>
      <c r="E111" s="12">
        <v>1625</v>
      </c>
      <c r="F111" s="13">
        <v>6925</v>
      </c>
      <c r="G111" s="12">
        <v>11253125</v>
      </c>
      <c r="H111" s="11" t="s">
        <v>231</v>
      </c>
    </row>
    <row r="112" spans="1:8" ht="15" customHeight="1" x14ac:dyDescent="0.25">
      <c r="A112" s="11" t="s">
        <v>484</v>
      </c>
      <c r="B112" s="11">
        <v>555701</v>
      </c>
      <c r="C112" s="11" t="s">
        <v>666</v>
      </c>
      <c r="D112" s="11" t="s">
        <v>496</v>
      </c>
      <c r="E112" s="12">
        <v>3960</v>
      </c>
      <c r="F112" s="13">
        <v>0</v>
      </c>
      <c r="G112" s="12">
        <v>0</v>
      </c>
      <c r="H112" s="11" t="s">
        <v>667</v>
      </c>
    </row>
    <row r="113" spans="1:8" ht="15" customHeight="1" x14ac:dyDescent="0.25">
      <c r="A113" s="11" t="s">
        <v>484</v>
      </c>
      <c r="B113" s="11">
        <v>555702</v>
      </c>
      <c r="C113" s="11" t="s">
        <v>668</v>
      </c>
      <c r="D113" s="11" t="s">
        <v>496</v>
      </c>
      <c r="E113" s="12">
        <v>2195</v>
      </c>
      <c r="F113" s="13">
        <v>0</v>
      </c>
      <c r="G113" s="12">
        <v>0</v>
      </c>
      <c r="H113" s="11" t="s">
        <v>669</v>
      </c>
    </row>
    <row r="114" spans="1:8" ht="15" customHeight="1" x14ac:dyDescent="0.25">
      <c r="A114" s="11" t="s">
        <v>484</v>
      </c>
      <c r="B114" s="11">
        <v>555703</v>
      </c>
      <c r="C114" s="11" t="s">
        <v>670</v>
      </c>
      <c r="D114" s="11" t="s">
        <v>496</v>
      </c>
      <c r="E114" s="12">
        <v>2850</v>
      </c>
      <c r="F114" s="13">
        <v>0</v>
      </c>
      <c r="G114" s="12">
        <v>0</v>
      </c>
      <c r="H114" s="11" t="s">
        <v>48</v>
      </c>
    </row>
    <row r="115" spans="1:8" ht="15" customHeight="1" x14ac:dyDescent="0.25">
      <c r="A115" s="11" t="s">
        <v>484</v>
      </c>
      <c r="B115" s="11">
        <v>555705</v>
      </c>
      <c r="C115" s="11" t="s">
        <v>671</v>
      </c>
      <c r="D115" s="11" t="s">
        <v>499</v>
      </c>
      <c r="E115" s="12">
        <v>2500</v>
      </c>
      <c r="F115" s="13">
        <v>6400</v>
      </c>
      <c r="G115" s="12">
        <v>16000000</v>
      </c>
      <c r="H115" s="11" t="s">
        <v>232</v>
      </c>
    </row>
    <row r="116" spans="1:8" ht="15" customHeight="1" x14ac:dyDescent="0.25">
      <c r="A116" s="11" t="s">
        <v>484</v>
      </c>
      <c r="B116" s="11">
        <v>555706</v>
      </c>
      <c r="C116" s="11" t="s">
        <v>672</v>
      </c>
      <c r="D116" s="11" t="s">
        <v>499</v>
      </c>
      <c r="E116" s="12">
        <v>3050</v>
      </c>
      <c r="F116" s="13">
        <v>0</v>
      </c>
      <c r="G116" s="12">
        <v>0</v>
      </c>
      <c r="H116" s="11" t="s">
        <v>673</v>
      </c>
    </row>
    <row r="117" spans="1:8" ht="15" customHeight="1" x14ac:dyDescent="0.25">
      <c r="A117" s="11" t="s">
        <v>484</v>
      </c>
      <c r="B117" s="11">
        <v>555704</v>
      </c>
      <c r="C117" s="11" t="s">
        <v>674</v>
      </c>
      <c r="D117" s="11" t="s">
        <v>496</v>
      </c>
      <c r="E117" s="12">
        <v>1925</v>
      </c>
      <c r="F117" s="13">
        <v>0</v>
      </c>
      <c r="G117" s="12">
        <v>0</v>
      </c>
      <c r="H117" s="11" t="s">
        <v>675</v>
      </c>
    </row>
    <row r="118" spans="1:8" ht="15" customHeight="1" x14ac:dyDescent="0.25">
      <c r="A118" s="11" t="s">
        <v>484</v>
      </c>
      <c r="B118" s="11">
        <v>555911</v>
      </c>
      <c r="C118" s="11" t="s">
        <v>676</v>
      </c>
      <c r="D118" s="11" t="s">
        <v>499</v>
      </c>
      <c r="E118" s="12">
        <v>2608.5</v>
      </c>
      <c r="F118" s="13">
        <v>2350</v>
      </c>
      <c r="G118" s="12">
        <v>6129975</v>
      </c>
      <c r="H118" s="11" t="s">
        <v>34</v>
      </c>
    </row>
    <row r="119" spans="1:8" ht="15" customHeight="1" x14ac:dyDescent="0.25">
      <c r="A119" s="11" t="s">
        <v>484</v>
      </c>
      <c r="B119" s="11">
        <v>555801</v>
      </c>
      <c r="C119" s="11" t="s">
        <v>677</v>
      </c>
      <c r="D119" s="11" t="s">
        <v>496</v>
      </c>
      <c r="E119" s="12">
        <v>1850</v>
      </c>
      <c r="F119" s="13">
        <v>4908</v>
      </c>
      <c r="G119" s="12">
        <v>9079800</v>
      </c>
      <c r="H119" s="11" t="s">
        <v>233</v>
      </c>
    </row>
    <row r="120" spans="1:8" ht="15" customHeight="1" x14ac:dyDescent="0.25">
      <c r="A120" s="11" t="s">
        <v>484</v>
      </c>
      <c r="B120" s="11">
        <v>555802</v>
      </c>
      <c r="C120" s="11" t="s">
        <v>678</v>
      </c>
      <c r="D120" s="11" t="s">
        <v>496</v>
      </c>
      <c r="E120" s="12">
        <v>1850</v>
      </c>
      <c r="F120" s="13">
        <v>20425</v>
      </c>
      <c r="G120" s="12">
        <v>37786250</v>
      </c>
      <c r="H120" s="11" t="s">
        <v>234</v>
      </c>
    </row>
    <row r="121" spans="1:8" ht="15" customHeight="1" x14ac:dyDescent="0.25">
      <c r="A121" s="11" t="s">
        <v>484</v>
      </c>
      <c r="B121" s="11">
        <v>555803</v>
      </c>
      <c r="C121" s="11" t="s">
        <v>679</v>
      </c>
      <c r="D121" s="11" t="s">
        <v>496</v>
      </c>
      <c r="E121" s="12">
        <v>1850</v>
      </c>
      <c r="F121" s="13">
        <v>1750</v>
      </c>
      <c r="G121" s="12">
        <v>3237500</v>
      </c>
      <c r="H121" s="11" t="s">
        <v>235</v>
      </c>
    </row>
    <row r="122" spans="1:8" ht="15" customHeight="1" x14ac:dyDescent="0.25">
      <c r="A122" s="11" t="s">
        <v>484</v>
      </c>
      <c r="B122" s="11">
        <v>555804</v>
      </c>
      <c r="C122" s="11" t="s">
        <v>680</v>
      </c>
      <c r="D122" s="11" t="s">
        <v>496</v>
      </c>
      <c r="E122" s="12">
        <v>1850</v>
      </c>
      <c r="F122" s="13">
        <v>8750</v>
      </c>
      <c r="G122" s="12">
        <v>16187500</v>
      </c>
      <c r="H122" s="11" t="s">
        <v>236</v>
      </c>
    </row>
    <row r="123" spans="1:8" ht="15" customHeight="1" x14ac:dyDescent="0.25">
      <c r="A123" s="11" t="s">
        <v>484</v>
      </c>
      <c r="B123" s="11">
        <v>555805</v>
      </c>
      <c r="C123" s="11" t="s">
        <v>681</v>
      </c>
      <c r="D123" s="11" t="s">
        <v>496</v>
      </c>
      <c r="E123" s="12">
        <v>1925</v>
      </c>
      <c r="F123" s="13">
        <v>0</v>
      </c>
      <c r="G123" s="12">
        <v>0</v>
      </c>
      <c r="H123" s="11" t="s">
        <v>682</v>
      </c>
    </row>
    <row r="124" spans="1:8" ht="15" customHeight="1" x14ac:dyDescent="0.25">
      <c r="A124" s="11" t="s">
        <v>484</v>
      </c>
      <c r="B124" s="11">
        <v>555806</v>
      </c>
      <c r="C124" s="11" t="s">
        <v>683</v>
      </c>
      <c r="D124" s="11" t="s">
        <v>496</v>
      </c>
      <c r="E124" s="12">
        <v>2200</v>
      </c>
      <c r="F124" s="13">
        <v>0</v>
      </c>
      <c r="G124" s="12">
        <v>0</v>
      </c>
      <c r="H124" s="11" t="s">
        <v>684</v>
      </c>
    </row>
    <row r="125" spans="1:8" ht="15" customHeight="1" x14ac:dyDescent="0.25">
      <c r="A125" s="11" t="s">
        <v>484</v>
      </c>
      <c r="B125" s="11">
        <v>555807</v>
      </c>
      <c r="C125" s="11" t="s">
        <v>685</v>
      </c>
      <c r="D125" s="11" t="s">
        <v>496</v>
      </c>
      <c r="E125" s="12">
        <v>1800</v>
      </c>
      <c r="F125" s="13">
        <v>250</v>
      </c>
      <c r="G125" s="12">
        <v>450000</v>
      </c>
      <c r="H125" s="11" t="s">
        <v>97</v>
      </c>
    </row>
    <row r="126" spans="1:8" ht="15" customHeight="1" x14ac:dyDescent="0.25">
      <c r="A126" s="11" t="s">
        <v>484</v>
      </c>
      <c r="B126" s="11">
        <v>555912</v>
      </c>
      <c r="C126" s="11" t="s">
        <v>686</v>
      </c>
      <c r="D126" s="11" t="s">
        <v>499</v>
      </c>
      <c r="E126" s="12">
        <v>1275</v>
      </c>
      <c r="F126" s="13">
        <v>4000</v>
      </c>
      <c r="G126" s="12">
        <v>5100000</v>
      </c>
      <c r="H126" s="11" t="s">
        <v>38</v>
      </c>
    </row>
    <row r="127" spans="1:8" ht="15" customHeight="1" x14ac:dyDescent="0.25">
      <c r="A127" s="11" t="s">
        <v>484</v>
      </c>
      <c r="B127" s="11">
        <v>555901</v>
      </c>
      <c r="C127" s="11" t="s">
        <v>687</v>
      </c>
      <c r="D127" s="11" t="s">
        <v>496</v>
      </c>
      <c r="E127" s="12">
        <v>1225</v>
      </c>
      <c r="F127" s="13">
        <v>0</v>
      </c>
      <c r="G127" s="12">
        <v>0</v>
      </c>
      <c r="H127" s="11" t="s">
        <v>688</v>
      </c>
    </row>
    <row r="128" spans="1:8" ht="15" customHeight="1" x14ac:dyDescent="0.25">
      <c r="A128" s="11" t="s">
        <v>484</v>
      </c>
      <c r="B128" s="11">
        <v>555902</v>
      </c>
      <c r="C128" s="11" t="s">
        <v>689</v>
      </c>
      <c r="D128" s="11" t="s">
        <v>496</v>
      </c>
      <c r="E128" s="12">
        <v>1225</v>
      </c>
      <c r="F128" s="13">
        <v>488</v>
      </c>
      <c r="G128" s="12">
        <v>597800</v>
      </c>
      <c r="H128" s="11" t="s">
        <v>82</v>
      </c>
    </row>
    <row r="129" spans="1:8" ht="15" customHeight="1" x14ac:dyDescent="0.25">
      <c r="A129" s="11" t="s">
        <v>484</v>
      </c>
      <c r="B129" s="11">
        <v>555903</v>
      </c>
      <c r="C129" s="11" t="s">
        <v>690</v>
      </c>
      <c r="D129" s="11" t="s">
        <v>496</v>
      </c>
      <c r="E129" s="12">
        <v>1225</v>
      </c>
      <c r="F129" s="13">
        <v>1400</v>
      </c>
      <c r="G129" s="12">
        <v>1715000</v>
      </c>
      <c r="H129" s="11" t="s">
        <v>55</v>
      </c>
    </row>
    <row r="130" spans="1:8" ht="15" customHeight="1" x14ac:dyDescent="0.25">
      <c r="A130" s="11" t="s">
        <v>484</v>
      </c>
      <c r="B130" s="11">
        <v>555904</v>
      </c>
      <c r="C130" s="11" t="s">
        <v>691</v>
      </c>
      <c r="D130" s="11" t="s">
        <v>496</v>
      </c>
      <c r="E130" s="12">
        <v>1225</v>
      </c>
      <c r="F130" s="13">
        <v>0</v>
      </c>
      <c r="G130" s="12">
        <v>0</v>
      </c>
      <c r="H130" s="11" t="s">
        <v>692</v>
      </c>
    </row>
    <row r="131" spans="1:8" ht="15" customHeight="1" x14ac:dyDescent="0.25">
      <c r="A131" s="11" t="s">
        <v>484</v>
      </c>
      <c r="B131" s="11">
        <v>555905</v>
      </c>
      <c r="C131" s="11" t="s">
        <v>693</v>
      </c>
      <c r="D131" s="11" t="s">
        <v>496</v>
      </c>
      <c r="E131" s="12">
        <v>1225</v>
      </c>
      <c r="F131" s="13">
        <v>800</v>
      </c>
      <c r="G131" s="12">
        <v>980000</v>
      </c>
      <c r="H131" s="11" t="s">
        <v>68</v>
      </c>
    </row>
    <row r="132" spans="1:8" ht="15" customHeight="1" x14ac:dyDescent="0.25">
      <c r="A132" s="11" t="s">
        <v>484</v>
      </c>
      <c r="B132" s="11">
        <v>555906</v>
      </c>
      <c r="C132" s="11" t="s">
        <v>694</v>
      </c>
      <c r="D132" s="11" t="s">
        <v>496</v>
      </c>
      <c r="E132" s="12">
        <v>1225</v>
      </c>
      <c r="F132" s="13">
        <v>0</v>
      </c>
      <c r="G132" s="12">
        <v>0</v>
      </c>
      <c r="H132" s="11" t="s">
        <v>695</v>
      </c>
    </row>
    <row r="133" spans="1:8" ht="15" customHeight="1" x14ac:dyDescent="0.25">
      <c r="A133" s="11" t="s">
        <v>484</v>
      </c>
      <c r="B133" s="11">
        <v>555910</v>
      </c>
      <c r="C133" s="11" t="s">
        <v>696</v>
      </c>
      <c r="D133" s="11" t="s">
        <v>496</v>
      </c>
      <c r="E133" s="12">
        <v>1500</v>
      </c>
      <c r="F133" s="13">
        <v>9850</v>
      </c>
      <c r="G133" s="12">
        <v>14775000</v>
      </c>
      <c r="H133" s="11" t="s">
        <v>238</v>
      </c>
    </row>
    <row r="134" spans="1:8" ht="15" customHeight="1" x14ac:dyDescent="0.25">
      <c r="A134" s="11" t="s">
        <v>484</v>
      </c>
      <c r="B134" s="11">
        <v>555907</v>
      </c>
      <c r="C134" s="11" t="s">
        <v>697</v>
      </c>
      <c r="D134" s="11" t="s">
        <v>496</v>
      </c>
      <c r="E134" s="12">
        <v>1200</v>
      </c>
      <c r="F134" s="13">
        <v>16650</v>
      </c>
      <c r="G134" s="12">
        <v>19980000</v>
      </c>
      <c r="H134" s="11" t="s">
        <v>239</v>
      </c>
    </row>
    <row r="135" spans="1:8" ht="15" customHeight="1" x14ac:dyDescent="0.25">
      <c r="A135" s="11" t="s">
        <v>484</v>
      </c>
      <c r="B135" s="11">
        <v>555908</v>
      </c>
      <c r="C135" s="11" t="s">
        <v>698</v>
      </c>
      <c r="D135" s="11" t="s">
        <v>496</v>
      </c>
      <c r="E135" s="12">
        <v>1200</v>
      </c>
      <c r="F135" s="13">
        <v>1500</v>
      </c>
      <c r="G135" s="12">
        <v>1800000</v>
      </c>
      <c r="H135" s="11" t="s">
        <v>240</v>
      </c>
    </row>
    <row r="136" spans="1:8" ht="15" customHeight="1" x14ac:dyDescent="0.25">
      <c r="A136" s="11" t="s">
        <v>484</v>
      </c>
      <c r="B136" s="11">
        <v>555111</v>
      </c>
      <c r="C136" s="11" t="s">
        <v>699</v>
      </c>
      <c r="D136" s="11" t="s">
        <v>496</v>
      </c>
      <c r="E136" s="12">
        <v>6400</v>
      </c>
      <c r="F136" s="13">
        <v>3234</v>
      </c>
      <c r="G136" s="12">
        <v>20697600</v>
      </c>
      <c r="H136" s="11" t="s">
        <v>216</v>
      </c>
    </row>
    <row r="137" spans="1:8" ht="15" customHeight="1" x14ac:dyDescent="0.25">
      <c r="A137" s="11" t="s">
        <v>484</v>
      </c>
      <c r="B137" s="11">
        <v>600101</v>
      </c>
      <c r="C137" s="11" t="s">
        <v>700</v>
      </c>
      <c r="D137" s="11" t="s">
        <v>486</v>
      </c>
      <c r="E137" s="12">
        <v>28880</v>
      </c>
      <c r="F137" s="13">
        <v>0</v>
      </c>
      <c r="G137" s="12">
        <v>0</v>
      </c>
      <c r="H137" s="11" t="s">
        <v>701</v>
      </c>
    </row>
    <row r="138" spans="1:8" ht="15" customHeight="1" x14ac:dyDescent="0.25">
      <c r="A138" s="11" t="s">
        <v>484</v>
      </c>
      <c r="B138" s="11">
        <v>140401</v>
      </c>
      <c r="C138" s="11" t="s">
        <v>702</v>
      </c>
      <c r="D138" s="11" t="s">
        <v>486</v>
      </c>
      <c r="E138" s="12">
        <v>56000</v>
      </c>
      <c r="F138" s="13">
        <v>25</v>
      </c>
      <c r="G138" s="12">
        <v>1400000</v>
      </c>
      <c r="H138" s="11" t="s">
        <v>247</v>
      </c>
    </row>
    <row r="139" spans="1:8" ht="15" customHeight="1" x14ac:dyDescent="0.25">
      <c r="A139" s="11" t="s">
        <v>484</v>
      </c>
      <c r="B139" s="11">
        <v>140410</v>
      </c>
      <c r="C139" s="11" t="s">
        <v>703</v>
      </c>
      <c r="D139" s="11" t="s">
        <v>486</v>
      </c>
      <c r="E139" s="12">
        <v>55000</v>
      </c>
      <c r="F139" s="13">
        <v>5</v>
      </c>
      <c r="G139" s="12">
        <v>275000</v>
      </c>
      <c r="H139" s="11" t="s">
        <v>248</v>
      </c>
    </row>
    <row r="140" spans="1:8" ht="15" customHeight="1" x14ac:dyDescent="0.25">
      <c r="A140" s="11" t="s">
        <v>484</v>
      </c>
      <c r="B140" s="11">
        <v>300104</v>
      </c>
      <c r="C140" s="11" t="s">
        <v>704</v>
      </c>
      <c r="D140" s="11" t="s">
        <v>486</v>
      </c>
      <c r="E140" s="12">
        <v>97500</v>
      </c>
      <c r="F140" s="13">
        <v>0</v>
      </c>
      <c r="G140" s="12">
        <v>0</v>
      </c>
      <c r="H140" s="11" t="s">
        <v>705</v>
      </c>
    </row>
    <row r="141" spans="1:8" ht="15" customHeight="1" x14ac:dyDescent="0.25">
      <c r="A141" s="11" t="s">
        <v>484</v>
      </c>
      <c r="B141" s="11">
        <v>444201</v>
      </c>
      <c r="C141" s="11" t="s">
        <v>706</v>
      </c>
      <c r="D141" s="11" t="s">
        <v>642</v>
      </c>
      <c r="E141" s="12">
        <v>11000</v>
      </c>
      <c r="F141" s="13">
        <v>25</v>
      </c>
      <c r="G141" s="12">
        <v>275000</v>
      </c>
      <c r="H141" s="11" t="s">
        <v>249</v>
      </c>
    </row>
    <row r="142" spans="1:8" ht="15" customHeight="1" x14ac:dyDescent="0.25">
      <c r="A142" s="11" t="s">
        <v>484</v>
      </c>
      <c r="B142" s="11">
        <v>130104</v>
      </c>
      <c r="C142" s="11" t="s">
        <v>707</v>
      </c>
      <c r="D142" s="11" t="s">
        <v>486</v>
      </c>
      <c r="E142" s="12">
        <v>316350</v>
      </c>
      <c r="F142" s="13">
        <v>0</v>
      </c>
      <c r="G142" s="12">
        <v>0</v>
      </c>
      <c r="H142" s="11" t="s">
        <v>708</v>
      </c>
    </row>
    <row r="143" spans="1:8" ht="15" customHeight="1" x14ac:dyDescent="0.25">
      <c r="A143" s="11" t="s">
        <v>484</v>
      </c>
      <c r="B143" s="11">
        <v>444202</v>
      </c>
      <c r="C143" s="11" t="s">
        <v>709</v>
      </c>
      <c r="D143" s="11" t="s">
        <v>496</v>
      </c>
      <c r="E143" s="12">
        <v>720</v>
      </c>
      <c r="F143" s="13">
        <v>0</v>
      </c>
      <c r="G143" s="12">
        <v>0</v>
      </c>
      <c r="H143" s="11" t="s">
        <v>710</v>
      </c>
    </row>
    <row r="144" spans="1:8" ht="15" customHeight="1" x14ac:dyDescent="0.25">
      <c r="A144" s="11" t="s">
        <v>484</v>
      </c>
      <c r="B144" s="11">
        <v>600102</v>
      </c>
      <c r="C144" s="11" t="s">
        <v>711</v>
      </c>
      <c r="D144" s="11" t="s">
        <v>486</v>
      </c>
      <c r="E144" s="12">
        <v>75162.857142857101</v>
      </c>
      <c r="F144" s="13">
        <v>42</v>
      </c>
      <c r="G144" s="12">
        <v>3156840</v>
      </c>
      <c r="H144" s="11" t="s">
        <v>89</v>
      </c>
    </row>
    <row r="145" spans="1:8" ht="15" customHeight="1" x14ac:dyDescent="0.25">
      <c r="A145" s="11" t="s">
        <v>484</v>
      </c>
      <c r="B145" s="11">
        <v>110300</v>
      </c>
      <c r="C145" s="11" t="s">
        <v>712</v>
      </c>
      <c r="D145" s="11" t="s">
        <v>496</v>
      </c>
      <c r="E145" s="12">
        <v>1950</v>
      </c>
      <c r="F145" s="13">
        <v>0</v>
      </c>
      <c r="G145" s="12">
        <v>0</v>
      </c>
      <c r="H145" s="11" t="s">
        <v>713</v>
      </c>
    </row>
    <row r="146" spans="1:8" ht="15" customHeight="1" x14ac:dyDescent="0.25">
      <c r="A146" s="11" t="s">
        <v>484</v>
      </c>
      <c r="B146" s="11">
        <v>140301</v>
      </c>
      <c r="C146" s="11" t="s">
        <v>714</v>
      </c>
      <c r="D146" s="11" t="s">
        <v>486</v>
      </c>
      <c r="E146" s="12">
        <v>240000</v>
      </c>
      <c r="F146" s="13">
        <v>0</v>
      </c>
      <c r="G146" s="12">
        <v>0</v>
      </c>
      <c r="H146" s="11" t="s">
        <v>128</v>
      </c>
    </row>
    <row r="147" spans="1:8" ht="15" customHeight="1" x14ac:dyDescent="0.25">
      <c r="A147" s="11" t="s">
        <v>484</v>
      </c>
      <c r="B147" s="11">
        <v>444400</v>
      </c>
      <c r="C147" s="11" t="s">
        <v>715</v>
      </c>
      <c r="D147" s="11" t="s">
        <v>642</v>
      </c>
      <c r="E147" s="12">
        <v>12000</v>
      </c>
      <c r="F147" s="13">
        <v>0</v>
      </c>
      <c r="G147" s="12">
        <v>0</v>
      </c>
      <c r="H147" s="11" t="s">
        <v>716</v>
      </c>
    </row>
    <row r="148" spans="1:8" ht="15" customHeight="1" x14ac:dyDescent="0.25">
      <c r="A148" s="11" t="s">
        <v>484</v>
      </c>
      <c r="B148" s="11">
        <v>200116</v>
      </c>
      <c r="C148" s="11" t="s">
        <v>717</v>
      </c>
      <c r="D148" s="11" t="s">
        <v>499</v>
      </c>
      <c r="E148" s="12">
        <v>34250</v>
      </c>
      <c r="F148" s="13">
        <v>0</v>
      </c>
      <c r="G148" s="12">
        <v>0</v>
      </c>
      <c r="H148" s="11" t="s">
        <v>718</v>
      </c>
    </row>
    <row r="149" spans="1:8" ht="15" customHeight="1" x14ac:dyDescent="0.25">
      <c r="A149" s="11" t="s">
        <v>484</v>
      </c>
      <c r="B149" s="11">
        <v>800102</v>
      </c>
      <c r="C149" s="11" t="s">
        <v>719</v>
      </c>
      <c r="D149" s="11" t="s">
        <v>486</v>
      </c>
      <c r="E149" s="12">
        <v>39680</v>
      </c>
      <c r="F149" s="13">
        <v>0</v>
      </c>
      <c r="G149" s="12">
        <v>0</v>
      </c>
      <c r="H149" s="11" t="s">
        <v>720</v>
      </c>
    </row>
    <row r="150" spans="1:8" ht="15" customHeight="1" x14ac:dyDescent="0.25">
      <c r="A150" s="11" t="s">
        <v>484</v>
      </c>
      <c r="B150" s="11">
        <v>900101</v>
      </c>
      <c r="C150" s="11" t="s">
        <v>721</v>
      </c>
      <c r="D150" s="11" t="s">
        <v>486</v>
      </c>
      <c r="E150" s="12">
        <v>190000</v>
      </c>
      <c r="F150" s="13">
        <v>1</v>
      </c>
      <c r="G150" s="12">
        <v>190000</v>
      </c>
      <c r="H150" s="11" t="s">
        <v>252</v>
      </c>
    </row>
    <row r="151" spans="1:8" ht="15" customHeight="1" x14ac:dyDescent="0.25">
      <c r="A151" s="11" t="s">
        <v>484</v>
      </c>
      <c r="B151" s="11">
        <v>110401</v>
      </c>
      <c r="C151" s="11" t="s">
        <v>722</v>
      </c>
      <c r="D151" s="11" t="s">
        <v>723</v>
      </c>
      <c r="E151" s="12">
        <v>285</v>
      </c>
      <c r="F151" s="13">
        <v>0</v>
      </c>
      <c r="G151" s="12">
        <v>0</v>
      </c>
      <c r="H151" s="11" t="s">
        <v>724</v>
      </c>
    </row>
    <row r="152" spans="1:8" ht="15" customHeight="1" x14ac:dyDescent="0.25">
      <c r="A152" s="11" t="s">
        <v>484</v>
      </c>
      <c r="B152" s="11">
        <v>600103</v>
      </c>
      <c r="C152" s="11" t="s">
        <v>725</v>
      </c>
      <c r="D152" s="11" t="s">
        <v>486</v>
      </c>
      <c r="E152" s="12">
        <v>15000</v>
      </c>
      <c r="F152" s="13">
        <v>180</v>
      </c>
      <c r="G152" s="12">
        <v>2700000</v>
      </c>
      <c r="H152" s="11" t="s">
        <v>98</v>
      </c>
    </row>
    <row r="153" spans="1:8" ht="15" customHeight="1" x14ac:dyDescent="0.25">
      <c r="A153" s="11" t="s">
        <v>484</v>
      </c>
      <c r="B153" s="11">
        <v>600302</v>
      </c>
      <c r="C153" s="11" t="s">
        <v>726</v>
      </c>
      <c r="D153" s="11" t="s">
        <v>538</v>
      </c>
      <c r="E153" s="12">
        <v>20500</v>
      </c>
      <c r="F153" s="13">
        <v>0</v>
      </c>
      <c r="G153" s="12">
        <v>0</v>
      </c>
      <c r="H153" s="11" t="s">
        <v>727</v>
      </c>
    </row>
    <row r="154" spans="1:8" ht="15" customHeight="1" x14ac:dyDescent="0.25">
      <c r="A154" s="11" t="s">
        <v>484</v>
      </c>
      <c r="B154" s="11">
        <v>600104</v>
      </c>
      <c r="C154" s="11" t="s">
        <v>728</v>
      </c>
      <c r="D154" s="11" t="s">
        <v>486</v>
      </c>
      <c r="E154" s="12">
        <v>21500</v>
      </c>
      <c r="F154" s="13">
        <v>0</v>
      </c>
      <c r="G154" s="12">
        <v>0</v>
      </c>
      <c r="H154" s="11" t="s">
        <v>729</v>
      </c>
    </row>
    <row r="155" spans="1:8" ht="15" customHeight="1" x14ac:dyDescent="0.25">
      <c r="A155" s="11" t="s">
        <v>484</v>
      </c>
      <c r="B155" s="11">
        <v>600106</v>
      </c>
      <c r="C155" s="11" t="s">
        <v>730</v>
      </c>
      <c r="D155" s="11" t="s">
        <v>486</v>
      </c>
      <c r="E155" s="12">
        <v>17300</v>
      </c>
      <c r="F155" s="13">
        <v>0</v>
      </c>
      <c r="G155" s="12">
        <v>0</v>
      </c>
      <c r="H155" s="11" t="s">
        <v>731</v>
      </c>
    </row>
    <row r="156" spans="1:8" ht="15" customHeight="1" x14ac:dyDescent="0.25">
      <c r="A156" s="11" t="s">
        <v>484</v>
      </c>
      <c r="B156" s="11">
        <v>600105</v>
      </c>
      <c r="C156" s="11" t="s">
        <v>732</v>
      </c>
      <c r="D156" s="11" t="s">
        <v>723</v>
      </c>
      <c r="E156" s="12">
        <v>160</v>
      </c>
      <c r="F156" s="13">
        <v>2000</v>
      </c>
      <c r="G156" s="12">
        <v>320000</v>
      </c>
      <c r="H156" s="11" t="s">
        <v>255</v>
      </c>
    </row>
    <row r="157" spans="1:8" ht="15" customHeight="1" x14ac:dyDescent="0.25">
      <c r="A157" s="11" t="s">
        <v>484</v>
      </c>
      <c r="B157" s="11">
        <v>555404</v>
      </c>
      <c r="C157" s="11" t="s">
        <v>733</v>
      </c>
      <c r="D157" s="11" t="s">
        <v>496</v>
      </c>
      <c r="E157" s="12">
        <v>600</v>
      </c>
      <c r="F157" s="13">
        <v>0</v>
      </c>
      <c r="G157" s="12">
        <v>0</v>
      </c>
      <c r="H157" s="11" t="s">
        <v>734</v>
      </c>
    </row>
    <row r="158" spans="1:8" ht="15" customHeight="1" x14ac:dyDescent="0.25">
      <c r="A158" s="11" t="s">
        <v>484</v>
      </c>
      <c r="B158" s="11">
        <v>444501</v>
      </c>
      <c r="C158" s="11" t="s">
        <v>735</v>
      </c>
      <c r="D158" s="11" t="s">
        <v>736</v>
      </c>
      <c r="E158" s="12">
        <v>70000</v>
      </c>
      <c r="F158" s="13">
        <v>0</v>
      </c>
      <c r="G158" s="12">
        <v>0</v>
      </c>
      <c r="H158" s="11" t="s">
        <v>737</v>
      </c>
    </row>
    <row r="159" spans="1:8" ht="15" customHeight="1" x14ac:dyDescent="0.25">
      <c r="A159" s="11" t="s">
        <v>484</v>
      </c>
      <c r="B159" s="11">
        <v>444503</v>
      </c>
      <c r="C159" s="11" t="s">
        <v>738</v>
      </c>
      <c r="D159" s="11" t="s">
        <v>499</v>
      </c>
      <c r="E159" s="12">
        <v>720</v>
      </c>
      <c r="F159" s="13">
        <v>0</v>
      </c>
      <c r="G159" s="12">
        <v>0</v>
      </c>
      <c r="H159" s="11" t="s">
        <v>739</v>
      </c>
    </row>
    <row r="160" spans="1:8" ht="15" customHeight="1" x14ac:dyDescent="0.25">
      <c r="A160" s="11" t="s">
        <v>484</v>
      </c>
      <c r="B160" s="11">
        <v>444502</v>
      </c>
      <c r="C160" s="11" t="s">
        <v>740</v>
      </c>
      <c r="D160" s="11" t="s">
        <v>496</v>
      </c>
      <c r="E160" s="12">
        <v>6850</v>
      </c>
      <c r="F160" s="13">
        <v>35</v>
      </c>
      <c r="G160" s="12">
        <v>239750</v>
      </c>
      <c r="H160" s="11" t="s">
        <v>27</v>
      </c>
    </row>
    <row r="161" spans="1:8" ht="15" customHeight="1" x14ac:dyDescent="0.25">
      <c r="A161" s="11" t="s">
        <v>484</v>
      </c>
      <c r="B161" s="11">
        <v>444601</v>
      </c>
      <c r="C161" s="11" t="s">
        <v>741</v>
      </c>
      <c r="D161" s="11" t="s">
        <v>642</v>
      </c>
      <c r="E161" s="12">
        <v>71000</v>
      </c>
      <c r="F161" s="13">
        <v>0</v>
      </c>
      <c r="G161" s="12">
        <v>0</v>
      </c>
      <c r="H161" s="11" t="s">
        <v>742</v>
      </c>
    </row>
    <row r="162" spans="1:8" ht="15" customHeight="1" x14ac:dyDescent="0.25">
      <c r="A162" s="11" t="s">
        <v>484</v>
      </c>
      <c r="B162" s="11">
        <v>444603</v>
      </c>
      <c r="C162" s="11" t="s">
        <v>743</v>
      </c>
      <c r="D162" s="11" t="s">
        <v>642</v>
      </c>
      <c r="E162" s="12">
        <v>85900</v>
      </c>
      <c r="F162" s="13">
        <v>0</v>
      </c>
      <c r="G162" s="12">
        <v>0</v>
      </c>
      <c r="H162" s="11" t="s">
        <v>744</v>
      </c>
    </row>
    <row r="163" spans="1:8" ht="15" customHeight="1" x14ac:dyDescent="0.25">
      <c r="A163" s="11" t="s">
        <v>484</v>
      </c>
      <c r="B163" s="11">
        <v>800103</v>
      </c>
      <c r="C163" s="11" t="s">
        <v>745</v>
      </c>
      <c r="D163" s="11" t="s">
        <v>486</v>
      </c>
      <c r="E163" s="12">
        <v>45288</v>
      </c>
      <c r="F163" s="13">
        <v>0</v>
      </c>
      <c r="G163" s="12">
        <v>0</v>
      </c>
      <c r="H163" s="11" t="s">
        <v>746</v>
      </c>
    </row>
    <row r="164" spans="1:8" ht="15" customHeight="1" x14ac:dyDescent="0.25">
      <c r="A164" s="11" t="s">
        <v>484</v>
      </c>
      <c r="B164" s="11">
        <v>555924</v>
      </c>
      <c r="C164" s="11" t="s">
        <v>747</v>
      </c>
      <c r="D164" s="11" t="s">
        <v>736</v>
      </c>
      <c r="E164" s="12">
        <v>1250</v>
      </c>
      <c r="F164" s="13">
        <v>8000</v>
      </c>
      <c r="G164" s="12">
        <v>10000000</v>
      </c>
      <c r="H164" s="11" t="s">
        <v>218</v>
      </c>
    </row>
    <row r="165" spans="1:8" ht="15" customHeight="1" x14ac:dyDescent="0.25">
      <c r="A165" s="11" t="s">
        <v>484</v>
      </c>
      <c r="B165" s="11">
        <v>555925</v>
      </c>
      <c r="C165" s="11" t="s">
        <v>748</v>
      </c>
      <c r="D165" s="11" t="s">
        <v>736</v>
      </c>
      <c r="E165" s="12">
        <v>1750</v>
      </c>
      <c r="F165" s="13">
        <v>6700</v>
      </c>
      <c r="G165" s="12">
        <v>11725000</v>
      </c>
      <c r="H165" s="11" t="s">
        <v>219</v>
      </c>
    </row>
    <row r="166" spans="1:8" ht="15" customHeight="1" x14ac:dyDescent="0.25">
      <c r="A166" s="11" t="s">
        <v>484</v>
      </c>
      <c r="B166" s="11">
        <v>555926</v>
      </c>
      <c r="C166" s="11" t="s">
        <v>749</v>
      </c>
      <c r="D166" s="11" t="s">
        <v>736</v>
      </c>
      <c r="E166" s="12">
        <v>2400</v>
      </c>
      <c r="F166" s="13">
        <v>8800</v>
      </c>
      <c r="G166" s="12">
        <v>21120000</v>
      </c>
      <c r="H166" s="11" t="s">
        <v>220</v>
      </c>
    </row>
    <row r="167" spans="1:8" ht="15" customHeight="1" x14ac:dyDescent="0.25">
      <c r="A167" s="11" t="s">
        <v>484</v>
      </c>
      <c r="B167" s="11">
        <v>333216</v>
      </c>
      <c r="C167" s="11" t="s">
        <v>750</v>
      </c>
      <c r="D167" s="11" t="s">
        <v>736</v>
      </c>
      <c r="E167" s="12">
        <v>150000</v>
      </c>
      <c r="F167" s="13">
        <v>1</v>
      </c>
      <c r="G167" s="12">
        <v>150000</v>
      </c>
      <c r="H167" s="11" t="s">
        <v>126</v>
      </c>
    </row>
    <row r="168" spans="1:8" ht="15" customHeight="1" x14ac:dyDescent="0.25">
      <c r="A168" s="11" t="s">
        <v>484</v>
      </c>
      <c r="B168" s="11">
        <v>333217</v>
      </c>
      <c r="C168" s="11" t="s">
        <v>751</v>
      </c>
      <c r="D168" s="11" t="s">
        <v>736</v>
      </c>
      <c r="E168" s="12">
        <v>9200</v>
      </c>
      <c r="F168" s="13">
        <v>0</v>
      </c>
      <c r="G168" s="12">
        <v>0</v>
      </c>
      <c r="H168" s="11" t="s">
        <v>752</v>
      </c>
    </row>
    <row r="169" spans="1:8" ht="15" customHeight="1" x14ac:dyDescent="0.25">
      <c r="A169" s="11" t="s">
        <v>484</v>
      </c>
      <c r="B169" s="11">
        <v>333218</v>
      </c>
      <c r="C169" s="11" t="s">
        <v>753</v>
      </c>
      <c r="D169" s="11" t="s">
        <v>736</v>
      </c>
      <c r="E169" s="12">
        <v>15000</v>
      </c>
      <c r="F169" s="13">
        <v>0</v>
      </c>
      <c r="G169" s="12">
        <v>0</v>
      </c>
      <c r="H169" s="11" t="s">
        <v>754</v>
      </c>
    </row>
    <row r="170" spans="1:8" ht="15" customHeight="1" x14ac:dyDescent="0.25">
      <c r="A170" s="11" t="s">
        <v>484</v>
      </c>
      <c r="B170" s="11">
        <v>200114</v>
      </c>
      <c r="C170" s="11" t="s">
        <v>755</v>
      </c>
      <c r="D170" s="11" t="s">
        <v>499</v>
      </c>
      <c r="E170" s="12">
        <v>30500</v>
      </c>
      <c r="F170" s="13">
        <v>0</v>
      </c>
      <c r="G170" s="12">
        <v>0</v>
      </c>
      <c r="H170" s="11" t="s">
        <v>756</v>
      </c>
    </row>
    <row r="171" spans="1:8" ht="15" customHeight="1" x14ac:dyDescent="0.25">
      <c r="A171" s="11" t="s">
        <v>484</v>
      </c>
      <c r="B171" s="11">
        <v>300204</v>
      </c>
      <c r="C171" s="11" t="s">
        <v>757</v>
      </c>
      <c r="D171" s="11" t="s">
        <v>486</v>
      </c>
      <c r="E171" s="12">
        <v>127520.95833333299</v>
      </c>
      <c r="F171" s="13">
        <v>0</v>
      </c>
      <c r="G171" s="12">
        <v>0</v>
      </c>
      <c r="H171" s="11" t="s">
        <v>758</v>
      </c>
    </row>
    <row r="172" spans="1:8" ht="15" customHeight="1" x14ac:dyDescent="0.25">
      <c r="A172" s="11" t="s">
        <v>484</v>
      </c>
      <c r="B172" s="11">
        <v>300205</v>
      </c>
      <c r="C172" s="11" t="s">
        <v>759</v>
      </c>
      <c r="D172" s="11" t="s">
        <v>486</v>
      </c>
      <c r="E172" s="12">
        <v>0</v>
      </c>
      <c r="F172" s="13">
        <v>0</v>
      </c>
      <c r="G172" s="12">
        <v>0</v>
      </c>
      <c r="H172" s="11" t="s">
        <v>760</v>
      </c>
    </row>
    <row r="173" spans="1:8" ht="15" customHeight="1" x14ac:dyDescent="0.25">
      <c r="A173" s="11" t="s">
        <v>484</v>
      </c>
      <c r="B173" s="11">
        <v>110402</v>
      </c>
      <c r="C173" s="11" t="s">
        <v>761</v>
      </c>
      <c r="D173" s="11" t="s">
        <v>723</v>
      </c>
      <c r="E173" s="12">
        <v>285</v>
      </c>
      <c r="F173" s="13">
        <v>0</v>
      </c>
      <c r="G173" s="12">
        <v>0</v>
      </c>
      <c r="H173" s="11" t="s">
        <v>762</v>
      </c>
    </row>
    <row r="174" spans="1:8" ht="15" customHeight="1" x14ac:dyDescent="0.25">
      <c r="A174" s="11" t="s">
        <v>484</v>
      </c>
      <c r="B174" s="11">
        <v>111501</v>
      </c>
      <c r="C174" s="11" t="s">
        <v>763</v>
      </c>
      <c r="D174" s="11" t="s">
        <v>499</v>
      </c>
      <c r="E174" s="12">
        <v>4500</v>
      </c>
      <c r="F174" s="13">
        <v>0</v>
      </c>
      <c r="G174" s="12">
        <v>0</v>
      </c>
      <c r="H174" s="11" t="s">
        <v>764</v>
      </c>
    </row>
    <row r="175" spans="1:8" ht="15" customHeight="1" x14ac:dyDescent="0.25">
      <c r="A175" s="11" t="s">
        <v>484</v>
      </c>
      <c r="B175" s="11">
        <v>444703</v>
      </c>
      <c r="C175" s="11" t="s">
        <v>765</v>
      </c>
      <c r="D175" s="11" t="s">
        <v>736</v>
      </c>
      <c r="E175" s="12">
        <v>9718.75</v>
      </c>
      <c r="F175" s="13">
        <v>0</v>
      </c>
      <c r="G175" s="12">
        <v>0</v>
      </c>
      <c r="H175" s="11" t="s">
        <v>766</v>
      </c>
    </row>
    <row r="176" spans="1:8" ht="15" customHeight="1" x14ac:dyDescent="0.25">
      <c r="A176" s="11" t="s">
        <v>484</v>
      </c>
      <c r="B176" s="11">
        <v>900102</v>
      </c>
      <c r="C176" s="11" t="s">
        <v>767</v>
      </c>
      <c r="D176" s="11" t="s">
        <v>486</v>
      </c>
      <c r="E176" s="12">
        <v>230000</v>
      </c>
      <c r="F176" s="13">
        <v>4</v>
      </c>
      <c r="G176" s="12">
        <v>920000</v>
      </c>
      <c r="H176" s="11" t="s">
        <v>258</v>
      </c>
    </row>
    <row r="177" spans="1:8" ht="15" customHeight="1" x14ac:dyDescent="0.25">
      <c r="A177" s="11" t="s">
        <v>484</v>
      </c>
      <c r="B177" s="11">
        <v>700109</v>
      </c>
      <c r="C177" s="11" t="s">
        <v>768</v>
      </c>
      <c r="D177" s="11" t="s">
        <v>486</v>
      </c>
      <c r="E177" s="12">
        <v>127650</v>
      </c>
      <c r="F177" s="13">
        <v>0</v>
      </c>
      <c r="G177" s="12">
        <v>0</v>
      </c>
      <c r="H177" s="11" t="s">
        <v>769</v>
      </c>
    </row>
    <row r="178" spans="1:8" ht="15" customHeight="1" x14ac:dyDescent="0.25">
      <c r="A178" s="11" t="s">
        <v>484</v>
      </c>
      <c r="B178" s="11">
        <v>555222</v>
      </c>
      <c r="C178" s="11" t="s">
        <v>770</v>
      </c>
      <c r="D178" s="11" t="s">
        <v>496</v>
      </c>
      <c r="E178" s="12">
        <v>7200</v>
      </c>
      <c r="F178" s="13">
        <v>0</v>
      </c>
      <c r="G178" s="12">
        <v>0</v>
      </c>
      <c r="H178" s="11" t="s">
        <v>771</v>
      </c>
    </row>
    <row r="179" spans="1:8" ht="15" customHeight="1" x14ac:dyDescent="0.25">
      <c r="A179" s="11" t="s">
        <v>484</v>
      </c>
      <c r="B179" s="11">
        <v>700104</v>
      </c>
      <c r="C179" s="11" t="s">
        <v>772</v>
      </c>
      <c r="D179" s="11" t="s">
        <v>486</v>
      </c>
      <c r="E179" s="12">
        <v>48724.3125</v>
      </c>
      <c r="F179" s="13">
        <v>192</v>
      </c>
      <c r="G179" s="12">
        <v>9355068</v>
      </c>
      <c r="H179" s="11" t="s">
        <v>268</v>
      </c>
    </row>
    <row r="180" spans="1:8" ht="15" customHeight="1" x14ac:dyDescent="0.25">
      <c r="A180" s="11" t="s">
        <v>484</v>
      </c>
      <c r="B180" s="11">
        <v>111600</v>
      </c>
      <c r="C180" s="11" t="s">
        <v>773</v>
      </c>
      <c r="D180" s="11" t="s">
        <v>499</v>
      </c>
      <c r="E180" s="12">
        <v>650</v>
      </c>
      <c r="F180" s="13">
        <v>1400</v>
      </c>
      <c r="G180" s="12">
        <v>910000</v>
      </c>
      <c r="H180" s="11" t="s">
        <v>269</v>
      </c>
    </row>
    <row r="181" spans="1:8" ht="15" customHeight="1" x14ac:dyDescent="0.25">
      <c r="A181" s="11" t="s">
        <v>484</v>
      </c>
      <c r="B181" s="11">
        <v>333201</v>
      </c>
      <c r="C181" s="11" t="s">
        <v>774</v>
      </c>
      <c r="D181" s="11" t="s">
        <v>496</v>
      </c>
      <c r="E181" s="12">
        <v>200</v>
      </c>
      <c r="F181" s="13">
        <v>94000</v>
      </c>
      <c r="G181" s="12">
        <v>18800000</v>
      </c>
      <c r="H181" s="11" t="s">
        <v>270</v>
      </c>
    </row>
    <row r="182" spans="1:8" ht="15" customHeight="1" x14ac:dyDescent="0.25">
      <c r="A182" s="11" t="s">
        <v>484</v>
      </c>
      <c r="B182" s="11">
        <v>333202</v>
      </c>
      <c r="C182" s="11" t="s">
        <v>775</v>
      </c>
      <c r="D182" s="11" t="s">
        <v>496</v>
      </c>
      <c r="E182" s="12">
        <v>200</v>
      </c>
      <c r="F182" s="13">
        <v>0</v>
      </c>
      <c r="G182" s="12">
        <v>0</v>
      </c>
      <c r="H182" s="11" t="s">
        <v>776</v>
      </c>
    </row>
    <row r="183" spans="1:8" ht="15" customHeight="1" x14ac:dyDescent="0.25">
      <c r="A183" s="11" t="s">
        <v>484</v>
      </c>
      <c r="B183" s="11">
        <v>333203</v>
      </c>
      <c r="C183" s="11" t="s">
        <v>777</v>
      </c>
      <c r="D183" s="11" t="s">
        <v>496</v>
      </c>
      <c r="E183" s="12">
        <v>200</v>
      </c>
      <c r="F183" s="13">
        <v>333000</v>
      </c>
      <c r="G183" s="12">
        <v>66600000</v>
      </c>
      <c r="H183" s="11" t="s">
        <v>271</v>
      </c>
    </row>
    <row r="184" spans="1:8" ht="15" customHeight="1" x14ac:dyDescent="0.25">
      <c r="A184" s="11" t="s">
        <v>484</v>
      </c>
      <c r="B184" s="11">
        <v>333204</v>
      </c>
      <c r="C184" s="11" t="s">
        <v>778</v>
      </c>
      <c r="D184" s="11" t="s">
        <v>496</v>
      </c>
      <c r="E184" s="12">
        <v>235</v>
      </c>
      <c r="F184" s="13">
        <v>96000</v>
      </c>
      <c r="G184" s="12">
        <v>22560000</v>
      </c>
      <c r="H184" s="11" t="s">
        <v>272</v>
      </c>
    </row>
    <row r="185" spans="1:8" ht="15" customHeight="1" x14ac:dyDescent="0.25">
      <c r="A185" s="11" t="s">
        <v>484</v>
      </c>
      <c r="B185" s="11">
        <v>333205</v>
      </c>
      <c r="C185" s="11" t="s">
        <v>779</v>
      </c>
      <c r="D185" s="11" t="s">
        <v>499</v>
      </c>
      <c r="E185" s="12">
        <v>840</v>
      </c>
      <c r="F185" s="13">
        <v>5500</v>
      </c>
      <c r="G185" s="12">
        <v>4620000</v>
      </c>
      <c r="H185" s="11" t="s">
        <v>273</v>
      </c>
    </row>
    <row r="186" spans="1:8" ht="15" customHeight="1" x14ac:dyDescent="0.25">
      <c r="A186" s="11" t="s">
        <v>484</v>
      </c>
      <c r="B186" s="11">
        <v>400106</v>
      </c>
      <c r="C186" s="11" t="s">
        <v>780</v>
      </c>
      <c r="D186" s="11" t="s">
        <v>486</v>
      </c>
      <c r="E186" s="12">
        <v>49750</v>
      </c>
      <c r="F186" s="13">
        <v>10</v>
      </c>
      <c r="G186" s="12">
        <v>497500</v>
      </c>
      <c r="H186" s="11" t="s">
        <v>274</v>
      </c>
    </row>
    <row r="187" spans="1:8" ht="15" customHeight="1" x14ac:dyDescent="0.25">
      <c r="A187" s="11" t="s">
        <v>484</v>
      </c>
      <c r="B187" s="11">
        <v>777201</v>
      </c>
      <c r="C187" s="11" t="s">
        <v>781</v>
      </c>
      <c r="D187" s="11" t="s">
        <v>499</v>
      </c>
      <c r="E187" s="12">
        <v>1800</v>
      </c>
      <c r="F187" s="13">
        <v>0</v>
      </c>
      <c r="G187" s="12">
        <v>0</v>
      </c>
      <c r="H187" s="11" t="s">
        <v>782</v>
      </c>
    </row>
    <row r="188" spans="1:8" ht="15" customHeight="1" x14ac:dyDescent="0.25">
      <c r="A188" s="11" t="s">
        <v>484</v>
      </c>
      <c r="B188" s="11">
        <v>777202</v>
      </c>
      <c r="C188" s="11" t="s">
        <v>783</v>
      </c>
      <c r="D188" s="11" t="s">
        <v>499</v>
      </c>
      <c r="E188" s="12">
        <v>2160</v>
      </c>
      <c r="F188" s="13">
        <v>21784</v>
      </c>
      <c r="G188" s="12">
        <v>47053440</v>
      </c>
      <c r="H188" s="11" t="s">
        <v>276</v>
      </c>
    </row>
    <row r="189" spans="1:8" ht="15" customHeight="1" x14ac:dyDescent="0.25">
      <c r="A189" s="11" t="s">
        <v>484</v>
      </c>
      <c r="B189" s="11">
        <v>777205</v>
      </c>
      <c r="C189" s="11" t="s">
        <v>784</v>
      </c>
      <c r="D189" s="11" t="s">
        <v>499</v>
      </c>
      <c r="E189" s="12">
        <v>1674</v>
      </c>
      <c r="F189" s="13">
        <v>0</v>
      </c>
      <c r="G189" s="12">
        <v>0</v>
      </c>
      <c r="H189" s="11" t="s">
        <v>785</v>
      </c>
    </row>
    <row r="190" spans="1:8" ht="15" customHeight="1" x14ac:dyDescent="0.25">
      <c r="A190" s="11" t="s">
        <v>484</v>
      </c>
      <c r="B190" s="11">
        <v>777207</v>
      </c>
      <c r="C190" s="11" t="s">
        <v>786</v>
      </c>
      <c r="D190" s="11" t="s">
        <v>499</v>
      </c>
      <c r="E190" s="12">
        <v>1415.25</v>
      </c>
      <c r="F190" s="13">
        <v>0</v>
      </c>
      <c r="G190" s="12">
        <v>0</v>
      </c>
      <c r="H190" s="11" t="s">
        <v>787</v>
      </c>
    </row>
    <row r="191" spans="1:8" ht="15" customHeight="1" x14ac:dyDescent="0.25">
      <c r="A191" s="11" t="s">
        <v>484</v>
      </c>
      <c r="B191" s="11">
        <v>777210</v>
      </c>
      <c r="C191" s="11" t="s">
        <v>788</v>
      </c>
      <c r="D191" s="11" t="s">
        <v>496</v>
      </c>
      <c r="E191" s="12">
        <v>2124</v>
      </c>
      <c r="F191" s="13">
        <v>19056</v>
      </c>
      <c r="G191" s="12">
        <v>40474944</v>
      </c>
      <c r="H191" s="11" t="s">
        <v>277</v>
      </c>
    </row>
    <row r="192" spans="1:8" ht="15" customHeight="1" x14ac:dyDescent="0.25">
      <c r="A192" s="11" t="s">
        <v>484</v>
      </c>
      <c r="B192" s="11">
        <v>777211</v>
      </c>
      <c r="C192" s="11" t="s">
        <v>789</v>
      </c>
      <c r="D192" s="11" t="s">
        <v>486</v>
      </c>
      <c r="E192" s="12">
        <v>39500</v>
      </c>
      <c r="F192" s="13">
        <v>228</v>
      </c>
      <c r="G192" s="12">
        <v>9006000</v>
      </c>
      <c r="H192" s="11" t="s">
        <v>154</v>
      </c>
    </row>
    <row r="193" spans="1:8" ht="15" customHeight="1" x14ac:dyDescent="0.25">
      <c r="A193" s="11" t="s">
        <v>484</v>
      </c>
      <c r="B193" s="11">
        <v>777212</v>
      </c>
      <c r="C193" s="11" t="s">
        <v>790</v>
      </c>
      <c r="D193" s="11" t="s">
        <v>496</v>
      </c>
      <c r="E193" s="12">
        <v>0.5</v>
      </c>
      <c r="F193" s="13">
        <v>0</v>
      </c>
      <c r="G193" s="12">
        <v>0</v>
      </c>
      <c r="H193" s="11" t="s">
        <v>791</v>
      </c>
    </row>
    <row r="194" spans="1:8" ht="15" customHeight="1" x14ac:dyDescent="0.25">
      <c r="A194" s="11" t="s">
        <v>484</v>
      </c>
      <c r="B194" s="11">
        <v>777213</v>
      </c>
      <c r="C194" s="11" t="s">
        <v>792</v>
      </c>
      <c r="D194" s="11" t="s">
        <v>496</v>
      </c>
      <c r="E194" s="12">
        <v>1</v>
      </c>
      <c r="F194" s="13">
        <v>0</v>
      </c>
      <c r="G194" s="12">
        <v>0</v>
      </c>
      <c r="H194" s="11" t="s">
        <v>793</v>
      </c>
    </row>
    <row r="195" spans="1:8" ht="15" customHeight="1" x14ac:dyDescent="0.25">
      <c r="A195" s="11" t="s">
        <v>484</v>
      </c>
      <c r="B195" s="11">
        <v>777214</v>
      </c>
      <c r="C195" s="11" t="s">
        <v>794</v>
      </c>
      <c r="D195" s="11" t="s">
        <v>496</v>
      </c>
      <c r="E195" s="12">
        <v>270.8</v>
      </c>
      <c r="F195" s="13">
        <v>3250</v>
      </c>
      <c r="G195" s="12">
        <v>880100</v>
      </c>
      <c r="H195" s="11" t="s">
        <v>278</v>
      </c>
    </row>
    <row r="196" spans="1:8" ht="15" customHeight="1" x14ac:dyDescent="0.25">
      <c r="A196" s="11" t="s">
        <v>484</v>
      </c>
      <c r="B196" s="11">
        <v>777216</v>
      </c>
      <c r="C196" s="11" t="s">
        <v>795</v>
      </c>
      <c r="D196" s="11" t="s">
        <v>496</v>
      </c>
      <c r="E196" s="12">
        <v>1080</v>
      </c>
      <c r="F196" s="13">
        <v>600</v>
      </c>
      <c r="G196" s="12">
        <v>648000</v>
      </c>
      <c r="H196" s="11" t="s">
        <v>279</v>
      </c>
    </row>
    <row r="197" spans="1:8" ht="15" customHeight="1" x14ac:dyDescent="0.25">
      <c r="A197" s="11" t="s">
        <v>484</v>
      </c>
      <c r="B197" s="11">
        <v>333301</v>
      </c>
      <c r="C197" s="11" t="s">
        <v>796</v>
      </c>
      <c r="D197" s="11" t="s">
        <v>499</v>
      </c>
      <c r="E197" s="12">
        <v>186</v>
      </c>
      <c r="F197" s="13">
        <v>1500</v>
      </c>
      <c r="G197" s="12">
        <v>279000</v>
      </c>
      <c r="H197" s="11" t="s">
        <v>292</v>
      </c>
    </row>
    <row r="198" spans="1:8" ht="15" customHeight="1" x14ac:dyDescent="0.25">
      <c r="A198" s="11" t="s">
        <v>484</v>
      </c>
      <c r="B198" s="11">
        <v>333302</v>
      </c>
      <c r="C198" s="11" t="s">
        <v>797</v>
      </c>
      <c r="D198" s="11" t="s">
        <v>499</v>
      </c>
      <c r="E198" s="12">
        <v>189</v>
      </c>
      <c r="F198" s="13">
        <v>1000</v>
      </c>
      <c r="G198" s="12">
        <v>189000</v>
      </c>
      <c r="H198" s="11" t="s">
        <v>293</v>
      </c>
    </row>
    <row r="199" spans="1:8" ht="15" customHeight="1" x14ac:dyDescent="0.25">
      <c r="A199" s="11" t="s">
        <v>484</v>
      </c>
      <c r="B199" s="11">
        <v>333303</v>
      </c>
      <c r="C199" s="11" t="s">
        <v>798</v>
      </c>
      <c r="D199" s="11" t="s">
        <v>499</v>
      </c>
      <c r="E199" s="12">
        <v>186</v>
      </c>
      <c r="F199" s="13">
        <v>1796</v>
      </c>
      <c r="G199" s="12">
        <v>334056</v>
      </c>
      <c r="H199" s="11" t="s">
        <v>294</v>
      </c>
    </row>
    <row r="200" spans="1:8" ht="15" customHeight="1" x14ac:dyDescent="0.25">
      <c r="A200" s="11" t="s">
        <v>484</v>
      </c>
      <c r="B200" s="11">
        <v>333304</v>
      </c>
      <c r="C200" s="11" t="s">
        <v>799</v>
      </c>
      <c r="D200" s="11" t="s">
        <v>499</v>
      </c>
      <c r="E200" s="12">
        <v>186</v>
      </c>
      <c r="F200" s="13">
        <v>1000</v>
      </c>
      <c r="G200" s="12">
        <v>186000</v>
      </c>
      <c r="H200" s="11" t="s">
        <v>295</v>
      </c>
    </row>
    <row r="201" spans="1:8" ht="15" customHeight="1" x14ac:dyDescent="0.25">
      <c r="A201" s="11" t="s">
        <v>484</v>
      </c>
      <c r="B201" s="11">
        <v>333305</v>
      </c>
      <c r="C201" s="11" t="s">
        <v>800</v>
      </c>
      <c r="D201" s="11" t="s">
        <v>499</v>
      </c>
      <c r="E201" s="12">
        <v>186</v>
      </c>
      <c r="F201" s="13">
        <v>1000</v>
      </c>
      <c r="G201" s="12">
        <v>186000</v>
      </c>
      <c r="H201" s="11" t="s">
        <v>296</v>
      </c>
    </row>
    <row r="202" spans="1:8" ht="15" customHeight="1" x14ac:dyDescent="0.25">
      <c r="A202" s="11" t="s">
        <v>484</v>
      </c>
      <c r="B202" s="11">
        <v>333306</v>
      </c>
      <c r="C202" s="11" t="s">
        <v>801</v>
      </c>
      <c r="D202" s="11" t="s">
        <v>499</v>
      </c>
      <c r="E202" s="12">
        <v>186</v>
      </c>
      <c r="F202" s="13">
        <v>1000</v>
      </c>
      <c r="G202" s="12">
        <v>186000</v>
      </c>
      <c r="H202" s="11" t="s">
        <v>297</v>
      </c>
    </row>
    <row r="203" spans="1:8" ht="15" customHeight="1" x14ac:dyDescent="0.25">
      <c r="A203" s="11" t="s">
        <v>484</v>
      </c>
      <c r="B203" s="11">
        <v>110403</v>
      </c>
      <c r="C203" s="11" t="s">
        <v>802</v>
      </c>
      <c r="D203" s="11" t="s">
        <v>486</v>
      </c>
      <c r="E203" s="12">
        <v>285</v>
      </c>
      <c r="F203" s="13">
        <v>0</v>
      </c>
      <c r="G203" s="12">
        <v>0</v>
      </c>
      <c r="H203" s="11" t="s">
        <v>803</v>
      </c>
    </row>
    <row r="204" spans="1:8" ht="15" customHeight="1" x14ac:dyDescent="0.25">
      <c r="A204" s="11" t="s">
        <v>484</v>
      </c>
      <c r="B204" s="11">
        <v>140602</v>
      </c>
      <c r="C204" s="11" t="s">
        <v>804</v>
      </c>
      <c r="D204" s="11" t="s">
        <v>486</v>
      </c>
      <c r="E204" s="12">
        <v>62975</v>
      </c>
      <c r="F204" s="13">
        <v>6</v>
      </c>
      <c r="G204" s="12">
        <v>377850</v>
      </c>
      <c r="H204" s="11" t="s">
        <v>298</v>
      </c>
    </row>
    <row r="205" spans="1:8" ht="15" customHeight="1" x14ac:dyDescent="0.25">
      <c r="A205" s="11" t="s">
        <v>484</v>
      </c>
      <c r="B205" s="11">
        <v>111904</v>
      </c>
      <c r="C205" s="11" t="s">
        <v>805</v>
      </c>
      <c r="D205" s="11" t="s">
        <v>496</v>
      </c>
      <c r="E205" s="12">
        <v>3500</v>
      </c>
      <c r="F205" s="13">
        <v>156</v>
      </c>
      <c r="G205" s="12">
        <v>546000</v>
      </c>
      <c r="H205" s="11" t="s">
        <v>87</v>
      </c>
    </row>
    <row r="206" spans="1:8" ht="15" customHeight="1" x14ac:dyDescent="0.25">
      <c r="A206" s="11" t="s">
        <v>484</v>
      </c>
      <c r="B206" s="11">
        <v>111907</v>
      </c>
      <c r="C206" s="11" t="s">
        <v>806</v>
      </c>
      <c r="D206" s="11" t="s">
        <v>496</v>
      </c>
      <c r="E206" s="12">
        <v>3500</v>
      </c>
      <c r="F206" s="13">
        <v>180</v>
      </c>
      <c r="G206" s="12">
        <v>630000</v>
      </c>
      <c r="H206" s="11" t="s">
        <v>79</v>
      </c>
    </row>
    <row r="207" spans="1:8" ht="15" customHeight="1" x14ac:dyDescent="0.25">
      <c r="A207" s="11" t="s">
        <v>484</v>
      </c>
      <c r="B207" s="11">
        <v>111908</v>
      </c>
      <c r="C207" s="11" t="s">
        <v>807</v>
      </c>
      <c r="D207" s="11" t="s">
        <v>496</v>
      </c>
      <c r="E207" s="12">
        <v>3500</v>
      </c>
      <c r="F207" s="13">
        <v>144</v>
      </c>
      <c r="G207" s="12">
        <v>504000</v>
      </c>
      <c r="H207" s="11" t="s">
        <v>92</v>
      </c>
    </row>
    <row r="208" spans="1:8" ht="15" customHeight="1" x14ac:dyDescent="0.25">
      <c r="A208" s="11" t="s">
        <v>484</v>
      </c>
      <c r="B208" s="11">
        <v>111910</v>
      </c>
      <c r="C208" s="11" t="s">
        <v>808</v>
      </c>
      <c r="D208" s="11" t="s">
        <v>496</v>
      </c>
      <c r="E208" s="12">
        <v>3500</v>
      </c>
      <c r="F208" s="13">
        <v>132</v>
      </c>
      <c r="G208" s="12">
        <v>462000</v>
      </c>
      <c r="H208" s="11" t="s">
        <v>95</v>
      </c>
    </row>
    <row r="209" spans="1:8" ht="15" customHeight="1" x14ac:dyDescent="0.25">
      <c r="A209" s="11" t="s">
        <v>484</v>
      </c>
      <c r="B209" s="11">
        <v>111914</v>
      </c>
      <c r="C209" s="11" t="s">
        <v>809</v>
      </c>
      <c r="D209" s="11" t="s">
        <v>496</v>
      </c>
      <c r="E209" s="12">
        <v>3500</v>
      </c>
      <c r="F209" s="13">
        <v>177</v>
      </c>
      <c r="G209" s="12">
        <v>619500</v>
      </c>
      <c r="H209" s="11" t="s">
        <v>81</v>
      </c>
    </row>
    <row r="210" spans="1:8" ht="15" customHeight="1" x14ac:dyDescent="0.25">
      <c r="A210" s="11" t="s">
        <v>484</v>
      </c>
      <c r="B210" s="11">
        <v>111915</v>
      </c>
      <c r="C210" s="11" t="s">
        <v>810</v>
      </c>
      <c r="D210" s="11" t="s">
        <v>496</v>
      </c>
      <c r="E210" s="12">
        <v>3500</v>
      </c>
      <c r="F210" s="13">
        <v>72</v>
      </c>
      <c r="G210" s="12">
        <v>252000</v>
      </c>
      <c r="H210" s="11" t="s">
        <v>117</v>
      </c>
    </row>
    <row r="211" spans="1:8" ht="15" customHeight="1" x14ac:dyDescent="0.25">
      <c r="A211" s="11" t="s">
        <v>484</v>
      </c>
      <c r="B211" s="11">
        <v>111916</v>
      </c>
      <c r="C211" s="11" t="s">
        <v>811</v>
      </c>
      <c r="D211" s="11" t="s">
        <v>496</v>
      </c>
      <c r="E211" s="12">
        <v>3500</v>
      </c>
      <c r="F211" s="13">
        <v>204</v>
      </c>
      <c r="G211" s="12">
        <v>714000</v>
      </c>
      <c r="H211" s="11" t="s">
        <v>76</v>
      </c>
    </row>
    <row r="212" spans="1:8" ht="15" customHeight="1" x14ac:dyDescent="0.25">
      <c r="A212" s="11" t="s">
        <v>484</v>
      </c>
      <c r="B212" s="11">
        <v>100428</v>
      </c>
      <c r="C212" s="11" t="s">
        <v>812</v>
      </c>
      <c r="D212" s="11" t="s">
        <v>538</v>
      </c>
      <c r="E212" s="12">
        <v>68000</v>
      </c>
      <c r="F212" s="13">
        <v>0</v>
      </c>
      <c r="G212" s="12">
        <v>0</v>
      </c>
      <c r="H212" s="11" t="s">
        <v>813</v>
      </c>
    </row>
    <row r="213" spans="1:8" ht="15" customHeight="1" x14ac:dyDescent="0.25">
      <c r="A213" s="11" t="s">
        <v>484</v>
      </c>
      <c r="B213" s="11">
        <v>111708</v>
      </c>
      <c r="C213" s="11" t="s">
        <v>814</v>
      </c>
      <c r="D213" s="11" t="s">
        <v>496</v>
      </c>
      <c r="E213" s="12">
        <v>11500</v>
      </c>
      <c r="F213" s="13">
        <v>0</v>
      </c>
      <c r="G213" s="12">
        <v>0</v>
      </c>
      <c r="H213" s="11" t="s">
        <v>815</v>
      </c>
    </row>
    <row r="214" spans="1:8" ht="15" customHeight="1" x14ac:dyDescent="0.25">
      <c r="A214" s="11" t="s">
        <v>484</v>
      </c>
      <c r="B214" s="11">
        <v>111709</v>
      </c>
      <c r="C214" s="11" t="s">
        <v>816</v>
      </c>
      <c r="D214" s="11" t="s">
        <v>496</v>
      </c>
      <c r="E214" s="12">
        <v>833.33333333333303</v>
      </c>
      <c r="F214" s="13">
        <v>0</v>
      </c>
      <c r="G214" s="12">
        <v>0</v>
      </c>
      <c r="H214" s="11" t="s">
        <v>817</v>
      </c>
    </row>
    <row r="215" spans="1:8" ht="15" customHeight="1" x14ac:dyDescent="0.25">
      <c r="A215" s="11" t="s">
        <v>484</v>
      </c>
      <c r="B215" s="11">
        <v>111710</v>
      </c>
      <c r="C215" s="11" t="s">
        <v>818</v>
      </c>
      <c r="D215" s="11" t="s">
        <v>736</v>
      </c>
      <c r="E215" s="12">
        <v>2916.6666666666702</v>
      </c>
      <c r="F215" s="13">
        <v>0</v>
      </c>
      <c r="G215" s="12">
        <v>0</v>
      </c>
      <c r="H215" s="11" t="s">
        <v>819</v>
      </c>
    </row>
    <row r="216" spans="1:8" ht="15" customHeight="1" x14ac:dyDescent="0.25">
      <c r="A216" s="11" t="s">
        <v>484</v>
      </c>
      <c r="B216" s="11">
        <v>111711</v>
      </c>
      <c r="C216" s="11" t="s">
        <v>820</v>
      </c>
      <c r="D216" s="11" t="s">
        <v>496</v>
      </c>
      <c r="E216" s="12">
        <v>1500</v>
      </c>
      <c r="F216" s="13">
        <v>0</v>
      </c>
      <c r="G216" s="12">
        <v>0</v>
      </c>
      <c r="H216" s="11" t="s">
        <v>821</v>
      </c>
    </row>
    <row r="217" spans="1:8" ht="15" customHeight="1" x14ac:dyDescent="0.25">
      <c r="A217" s="11" t="s">
        <v>484</v>
      </c>
      <c r="B217" s="11">
        <v>300210</v>
      </c>
      <c r="C217" s="11" t="s">
        <v>822</v>
      </c>
      <c r="D217" s="11" t="s">
        <v>486</v>
      </c>
      <c r="E217" s="12">
        <v>59325</v>
      </c>
      <c r="F217" s="13">
        <v>95</v>
      </c>
      <c r="G217" s="12">
        <v>5635875</v>
      </c>
      <c r="H217" s="11" t="s">
        <v>322</v>
      </c>
    </row>
    <row r="218" spans="1:8" ht="15" customHeight="1" x14ac:dyDescent="0.25">
      <c r="A218" s="11" t="s">
        <v>484</v>
      </c>
      <c r="B218" s="11">
        <v>300209</v>
      </c>
      <c r="C218" s="11" t="s">
        <v>823</v>
      </c>
      <c r="D218" s="11" t="s">
        <v>486</v>
      </c>
      <c r="E218" s="12">
        <v>48563</v>
      </c>
      <c r="F218" s="13">
        <v>262</v>
      </c>
      <c r="G218" s="12">
        <v>12723506</v>
      </c>
      <c r="H218" s="11" t="s">
        <v>332</v>
      </c>
    </row>
    <row r="219" spans="1:8" ht="15" customHeight="1" x14ac:dyDescent="0.25">
      <c r="A219" s="11" t="s">
        <v>484</v>
      </c>
      <c r="B219" s="11">
        <v>110404</v>
      </c>
      <c r="C219" s="11" t="s">
        <v>824</v>
      </c>
      <c r="D219" s="11" t="s">
        <v>486</v>
      </c>
      <c r="E219" s="12">
        <v>27960</v>
      </c>
      <c r="F219" s="13">
        <v>0</v>
      </c>
      <c r="G219" s="12">
        <v>0</v>
      </c>
      <c r="H219" s="11" t="s">
        <v>825</v>
      </c>
    </row>
    <row r="220" spans="1:8" ht="15" customHeight="1" x14ac:dyDescent="0.25">
      <c r="A220" s="11" t="s">
        <v>484</v>
      </c>
      <c r="B220" s="11">
        <v>900103</v>
      </c>
      <c r="C220" s="11" t="s">
        <v>826</v>
      </c>
      <c r="D220" s="11" t="s">
        <v>486</v>
      </c>
      <c r="E220" s="12">
        <v>462000</v>
      </c>
      <c r="F220" s="13">
        <v>1</v>
      </c>
      <c r="G220" s="12">
        <v>462000</v>
      </c>
      <c r="H220" s="11" t="s">
        <v>94</v>
      </c>
    </row>
    <row r="221" spans="1:8" ht="15" customHeight="1" x14ac:dyDescent="0.25">
      <c r="A221" s="11" t="s">
        <v>484</v>
      </c>
      <c r="B221" s="11">
        <v>900105</v>
      </c>
      <c r="C221" s="11" t="s">
        <v>827</v>
      </c>
      <c r="D221" s="11" t="s">
        <v>486</v>
      </c>
      <c r="E221" s="12">
        <v>133200</v>
      </c>
      <c r="F221" s="13">
        <v>8</v>
      </c>
      <c r="G221" s="12">
        <v>1065600</v>
      </c>
      <c r="H221" s="11" t="s">
        <v>333</v>
      </c>
    </row>
    <row r="222" spans="1:8" ht="15" customHeight="1" x14ac:dyDescent="0.25">
      <c r="A222" s="11" t="s">
        <v>484</v>
      </c>
      <c r="B222" s="11">
        <v>900104</v>
      </c>
      <c r="C222" s="11" t="s">
        <v>828</v>
      </c>
      <c r="D222" s="11" t="s">
        <v>486</v>
      </c>
      <c r="E222" s="12">
        <v>197101</v>
      </c>
      <c r="F222" s="13">
        <v>3</v>
      </c>
      <c r="G222" s="12">
        <v>591303</v>
      </c>
      <c r="H222" s="11" t="s">
        <v>334</v>
      </c>
    </row>
    <row r="223" spans="1:8" ht="15" customHeight="1" x14ac:dyDescent="0.25">
      <c r="A223" s="11" t="s">
        <v>484</v>
      </c>
      <c r="B223" s="11">
        <v>130108</v>
      </c>
      <c r="C223" s="11" t="s">
        <v>829</v>
      </c>
      <c r="D223" s="11" t="s">
        <v>486</v>
      </c>
      <c r="E223" s="12">
        <v>15000</v>
      </c>
      <c r="F223" s="13">
        <v>725</v>
      </c>
      <c r="G223" s="12">
        <v>10875000</v>
      </c>
      <c r="H223" s="11" t="s">
        <v>105</v>
      </c>
    </row>
    <row r="224" spans="1:8" ht="15" customHeight="1" x14ac:dyDescent="0.25">
      <c r="A224" s="11" t="s">
        <v>484</v>
      </c>
      <c r="B224" s="11">
        <v>130106</v>
      </c>
      <c r="C224" s="11" t="s">
        <v>830</v>
      </c>
      <c r="D224" s="11" t="s">
        <v>486</v>
      </c>
      <c r="E224" s="12">
        <v>15000</v>
      </c>
      <c r="F224" s="13">
        <v>0</v>
      </c>
      <c r="G224" s="12">
        <v>0</v>
      </c>
      <c r="H224" s="11" t="s">
        <v>831</v>
      </c>
    </row>
    <row r="225" spans="1:8" ht="15" customHeight="1" x14ac:dyDescent="0.25">
      <c r="A225" s="11" t="s">
        <v>484</v>
      </c>
      <c r="B225" s="11">
        <v>800201</v>
      </c>
      <c r="C225" s="11" t="s">
        <v>832</v>
      </c>
      <c r="D225" s="11" t="s">
        <v>486</v>
      </c>
      <c r="E225" s="12">
        <v>24613.333333333299</v>
      </c>
      <c r="F225" s="13">
        <v>0</v>
      </c>
      <c r="G225" s="12">
        <v>0</v>
      </c>
      <c r="H225" s="11" t="s">
        <v>833</v>
      </c>
    </row>
    <row r="226" spans="1:8" ht="15" customHeight="1" x14ac:dyDescent="0.25">
      <c r="A226" s="11" t="s">
        <v>484</v>
      </c>
      <c r="B226" s="11">
        <v>200115</v>
      </c>
      <c r="C226" s="11" t="s">
        <v>834</v>
      </c>
      <c r="D226" s="11" t="s">
        <v>486</v>
      </c>
      <c r="E226" s="12">
        <v>39500</v>
      </c>
      <c r="F226" s="13">
        <v>0</v>
      </c>
      <c r="G226" s="12">
        <v>0</v>
      </c>
      <c r="H226" s="11" t="s">
        <v>36</v>
      </c>
    </row>
    <row r="227" spans="1:8" ht="15" customHeight="1" x14ac:dyDescent="0.25">
      <c r="A227" s="11" t="s">
        <v>484</v>
      </c>
      <c r="B227" s="11">
        <v>400107</v>
      </c>
      <c r="C227" s="11" t="s">
        <v>835</v>
      </c>
      <c r="D227" s="11" t="s">
        <v>486</v>
      </c>
      <c r="E227" s="12">
        <v>109411.764705882</v>
      </c>
      <c r="F227" s="13">
        <v>0</v>
      </c>
      <c r="G227" s="12">
        <v>0</v>
      </c>
      <c r="H227" s="11" t="s">
        <v>836</v>
      </c>
    </row>
    <row r="228" spans="1:8" ht="15" customHeight="1" x14ac:dyDescent="0.25">
      <c r="A228" s="11" t="s">
        <v>484</v>
      </c>
      <c r="B228" s="11">
        <v>800104</v>
      </c>
      <c r="C228" s="11" t="s">
        <v>837</v>
      </c>
      <c r="D228" s="11" t="s">
        <v>486</v>
      </c>
      <c r="E228" s="12">
        <v>35000</v>
      </c>
      <c r="F228" s="13">
        <v>0</v>
      </c>
      <c r="G228" s="12">
        <v>0</v>
      </c>
      <c r="H228" s="11" t="s">
        <v>838</v>
      </c>
    </row>
    <row r="229" spans="1:8" ht="15" customHeight="1" x14ac:dyDescent="0.25">
      <c r="A229" s="11" t="s">
        <v>484</v>
      </c>
      <c r="B229" s="11">
        <v>200118</v>
      </c>
      <c r="C229" s="11" t="s">
        <v>839</v>
      </c>
      <c r="D229" s="11" t="s">
        <v>499</v>
      </c>
      <c r="E229" s="12">
        <v>42350</v>
      </c>
      <c r="F229" s="13">
        <v>0</v>
      </c>
      <c r="G229" s="12">
        <v>0</v>
      </c>
      <c r="H229" s="11" t="s">
        <v>145</v>
      </c>
    </row>
    <row r="230" spans="1:8" ht="15" customHeight="1" x14ac:dyDescent="0.25">
      <c r="A230" s="11" t="s">
        <v>484</v>
      </c>
      <c r="B230" s="11">
        <v>100304</v>
      </c>
      <c r="C230" s="11" t="s">
        <v>840</v>
      </c>
      <c r="D230" s="11" t="s">
        <v>486</v>
      </c>
      <c r="E230" s="12">
        <v>38022.559999999998</v>
      </c>
      <c r="F230" s="13">
        <v>0</v>
      </c>
      <c r="G230" s="12">
        <v>0</v>
      </c>
      <c r="H230" s="11" t="s">
        <v>841</v>
      </c>
    </row>
    <row r="231" spans="1:8" ht="15" customHeight="1" x14ac:dyDescent="0.25">
      <c r="A231" s="11" t="s">
        <v>484</v>
      </c>
      <c r="B231" s="11">
        <v>100306</v>
      </c>
      <c r="C231" s="11" t="s">
        <v>842</v>
      </c>
      <c r="D231" s="11" t="s">
        <v>486</v>
      </c>
      <c r="E231" s="12">
        <v>52152</v>
      </c>
      <c r="F231" s="13">
        <v>0</v>
      </c>
      <c r="G231" s="12">
        <v>0</v>
      </c>
      <c r="H231" s="11" t="s">
        <v>843</v>
      </c>
    </row>
    <row r="232" spans="1:8" ht="15" customHeight="1" x14ac:dyDescent="0.25">
      <c r="A232" s="11" t="s">
        <v>484</v>
      </c>
      <c r="B232" s="11">
        <v>100401</v>
      </c>
      <c r="C232" s="11" t="s">
        <v>844</v>
      </c>
      <c r="D232" s="11" t="s">
        <v>538</v>
      </c>
      <c r="E232" s="12">
        <v>48625</v>
      </c>
      <c r="F232" s="13">
        <v>15</v>
      </c>
      <c r="G232" s="12">
        <v>729375</v>
      </c>
      <c r="H232" s="11" t="s">
        <v>335</v>
      </c>
    </row>
    <row r="233" spans="1:8" ht="15" customHeight="1" x14ac:dyDescent="0.25">
      <c r="A233" s="11" t="s">
        <v>484</v>
      </c>
      <c r="B233" s="11">
        <v>100403</v>
      </c>
      <c r="C233" s="11" t="s">
        <v>845</v>
      </c>
      <c r="D233" s="11" t="s">
        <v>538</v>
      </c>
      <c r="E233" s="12">
        <v>53014.95</v>
      </c>
      <c r="F233" s="13">
        <v>0</v>
      </c>
      <c r="G233" s="12">
        <v>0</v>
      </c>
      <c r="H233" s="11" t="s">
        <v>846</v>
      </c>
    </row>
    <row r="234" spans="1:8" ht="15" customHeight="1" x14ac:dyDescent="0.25">
      <c r="A234" s="11" t="s">
        <v>484</v>
      </c>
      <c r="B234" s="11">
        <v>100404</v>
      </c>
      <c r="C234" s="11" t="s">
        <v>847</v>
      </c>
      <c r="D234" s="11" t="s">
        <v>538</v>
      </c>
      <c r="E234" s="12">
        <v>51900</v>
      </c>
      <c r="F234" s="13">
        <v>26</v>
      </c>
      <c r="G234" s="12">
        <v>1349400</v>
      </c>
      <c r="H234" s="11" t="s">
        <v>336</v>
      </c>
    </row>
    <row r="235" spans="1:8" ht="15" customHeight="1" x14ac:dyDescent="0.25">
      <c r="A235" s="11" t="s">
        <v>484</v>
      </c>
      <c r="B235" s="11">
        <v>100405</v>
      </c>
      <c r="C235" s="11" t="s">
        <v>848</v>
      </c>
      <c r="D235" s="11" t="s">
        <v>538</v>
      </c>
      <c r="E235" s="12">
        <v>51900</v>
      </c>
      <c r="F235" s="13">
        <v>53</v>
      </c>
      <c r="G235" s="12">
        <v>2750700</v>
      </c>
      <c r="H235" s="11" t="s">
        <v>337</v>
      </c>
    </row>
    <row r="236" spans="1:8" ht="15" customHeight="1" x14ac:dyDescent="0.25">
      <c r="A236" s="11" t="s">
        <v>484</v>
      </c>
      <c r="B236" s="11">
        <v>100406</v>
      </c>
      <c r="C236" s="11" t="s">
        <v>849</v>
      </c>
      <c r="D236" s="11" t="s">
        <v>538</v>
      </c>
      <c r="E236" s="12">
        <v>51900</v>
      </c>
      <c r="F236" s="13">
        <v>49</v>
      </c>
      <c r="G236" s="12">
        <v>2543100</v>
      </c>
      <c r="H236" s="11" t="s">
        <v>338</v>
      </c>
    </row>
    <row r="237" spans="1:8" ht="15" customHeight="1" x14ac:dyDescent="0.25">
      <c r="A237" s="11" t="s">
        <v>484</v>
      </c>
      <c r="B237" s="11">
        <v>100407</v>
      </c>
      <c r="C237" s="11" t="s">
        <v>850</v>
      </c>
      <c r="D237" s="11" t="s">
        <v>538</v>
      </c>
      <c r="E237" s="12">
        <v>51900</v>
      </c>
      <c r="F237" s="13">
        <v>30</v>
      </c>
      <c r="G237" s="12">
        <v>1557000</v>
      </c>
      <c r="H237" s="11" t="s">
        <v>339</v>
      </c>
    </row>
    <row r="238" spans="1:8" ht="15" customHeight="1" x14ac:dyDescent="0.25">
      <c r="A238" s="11" t="s">
        <v>484</v>
      </c>
      <c r="B238" s="11">
        <v>100408</v>
      </c>
      <c r="C238" s="11" t="s">
        <v>851</v>
      </c>
      <c r="D238" s="11" t="s">
        <v>538</v>
      </c>
      <c r="E238" s="12">
        <v>51900</v>
      </c>
      <c r="F238" s="13">
        <v>0</v>
      </c>
      <c r="G238" s="12">
        <v>0</v>
      </c>
      <c r="H238" s="11" t="s">
        <v>852</v>
      </c>
    </row>
    <row r="239" spans="1:8" ht="15" customHeight="1" x14ac:dyDescent="0.25">
      <c r="A239" s="11" t="s">
        <v>484</v>
      </c>
      <c r="B239" s="11">
        <v>100409</v>
      </c>
      <c r="C239" s="11" t="s">
        <v>853</v>
      </c>
      <c r="D239" s="11" t="s">
        <v>538</v>
      </c>
      <c r="E239" s="12">
        <v>51900</v>
      </c>
      <c r="F239" s="13">
        <v>25</v>
      </c>
      <c r="G239" s="12">
        <v>1297500</v>
      </c>
      <c r="H239" s="11" t="s">
        <v>340</v>
      </c>
    </row>
    <row r="240" spans="1:8" ht="15" customHeight="1" x14ac:dyDescent="0.25">
      <c r="A240" s="11" t="s">
        <v>484</v>
      </c>
      <c r="B240" s="11">
        <v>100410</v>
      </c>
      <c r="C240" s="11" t="s">
        <v>854</v>
      </c>
      <c r="D240" s="11" t="s">
        <v>538</v>
      </c>
      <c r="E240" s="12">
        <v>51900</v>
      </c>
      <c r="F240" s="13">
        <v>32</v>
      </c>
      <c r="G240" s="12">
        <v>1660800</v>
      </c>
      <c r="H240" s="11" t="s">
        <v>341</v>
      </c>
    </row>
    <row r="241" spans="1:8" ht="15" customHeight="1" x14ac:dyDescent="0.25">
      <c r="A241" s="11" t="s">
        <v>484</v>
      </c>
      <c r="B241" s="11">
        <v>100411</v>
      </c>
      <c r="C241" s="11" t="s">
        <v>855</v>
      </c>
      <c r="D241" s="11" t="s">
        <v>538</v>
      </c>
      <c r="E241" s="12">
        <v>49805</v>
      </c>
      <c r="F241" s="13">
        <v>120</v>
      </c>
      <c r="G241" s="12">
        <v>5976600</v>
      </c>
      <c r="H241" s="11" t="s">
        <v>342</v>
      </c>
    </row>
    <row r="242" spans="1:8" ht="15" customHeight="1" x14ac:dyDescent="0.25">
      <c r="A242" s="11" t="s">
        <v>484</v>
      </c>
      <c r="B242" s="11">
        <v>666101</v>
      </c>
      <c r="C242" s="11" t="s">
        <v>856</v>
      </c>
      <c r="D242" s="11" t="s">
        <v>857</v>
      </c>
      <c r="E242" s="12">
        <v>2500</v>
      </c>
      <c r="F242" s="13">
        <v>0</v>
      </c>
      <c r="G242" s="12">
        <v>0</v>
      </c>
      <c r="H242" s="11" t="s">
        <v>858</v>
      </c>
    </row>
    <row r="243" spans="1:8" ht="15" customHeight="1" x14ac:dyDescent="0.25">
      <c r="A243" s="11" t="s">
        <v>484</v>
      </c>
      <c r="B243" s="11">
        <v>666107</v>
      </c>
      <c r="C243" s="11" t="s">
        <v>859</v>
      </c>
      <c r="D243" s="11" t="s">
        <v>496</v>
      </c>
      <c r="E243" s="12">
        <v>2500</v>
      </c>
      <c r="F243" s="13">
        <v>0</v>
      </c>
      <c r="G243" s="12">
        <v>0</v>
      </c>
      <c r="H243" s="11" t="s">
        <v>860</v>
      </c>
    </row>
    <row r="244" spans="1:8" ht="15" customHeight="1" x14ac:dyDescent="0.25">
      <c r="A244" s="11" t="s">
        <v>484</v>
      </c>
      <c r="B244" s="11">
        <v>666102</v>
      </c>
      <c r="C244" s="11" t="s">
        <v>861</v>
      </c>
      <c r="D244" s="11" t="s">
        <v>857</v>
      </c>
      <c r="E244" s="12">
        <v>1875</v>
      </c>
      <c r="F244" s="13">
        <v>200</v>
      </c>
      <c r="G244" s="12">
        <v>375000</v>
      </c>
      <c r="H244" s="11" t="s">
        <v>343</v>
      </c>
    </row>
    <row r="245" spans="1:8" ht="15" customHeight="1" x14ac:dyDescent="0.25">
      <c r="A245" s="11" t="s">
        <v>484</v>
      </c>
      <c r="B245" s="11">
        <v>666106</v>
      </c>
      <c r="C245" s="11" t="s">
        <v>862</v>
      </c>
      <c r="D245" s="11" t="s">
        <v>857</v>
      </c>
      <c r="E245" s="12">
        <v>1250</v>
      </c>
      <c r="F245" s="13">
        <v>192</v>
      </c>
      <c r="G245" s="12">
        <v>240000</v>
      </c>
      <c r="H245" s="11" t="s">
        <v>344</v>
      </c>
    </row>
    <row r="246" spans="1:8" ht="15" customHeight="1" x14ac:dyDescent="0.25">
      <c r="A246" s="11" t="s">
        <v>484</v>
      </c>
      <c r="B246" s="11">
        <v>666108</v>
      </c>
      <c r="C246" s="11" t="s">
        <v>863</v>
      </c>
      <c r="D246" s="11" t="s">
        <v>496</v>
      </c>
      <c r="E246" s="12">
        <v>1160</v>
      </c>
      <c r="F246" s="13">
        <v>0</v>
      </c>
      <c r="G246" s="12">
        <v>0</v>
      </c>
      <c r="H246" s="11" t="s">
        <v>864</v>
      </c>
    </row>
    <row r="247" spans="1:8" ht="15" customHeight="1" x14ac:dyDescent="0.25">
      <c r="A247" s="11" t="s">
        <v>484</v>
      </c>
      <c r="B247" s="11">
        <v>666105</v>
      </c>
      <c r="C247" s="11" t="s">
        <v>865</v>
      </c>
      <c r="D247" s="11" t="s">
        <v>857</v>
      </c>
      <c r="E247" s="12">
        <v>1140</v>
      </c>
      <c r="F247" s="13">
        <v>0</v>
      </c>
      <c r="G247" s="12">
        <v>0</v>
      </c>
      <c r="H247" s="11" t="s">
        <v>866</v>
      </c>
    </row>
    <row r="248" spans="1:8" ht="15" customHeight="1" x14ac:dyDescent="0.25">
      <c r="A248" s="11" t="s">
        <v>484</v>
      </c>
      <c r="B248" s="11">
        <v>666109</v>
      </c>
      <c r="C248" s="11" t="s">
        <v>867</v>
      </c>
      <c r="D248" s="11" t="s">
        <v>496</v>
      </c>
      <c r="E248" s="12">
        <v>1530</v>
      </c>
      <c r="F248" s="13">
        <v>3750</v>
      </c>
      <c r="G248" s="12">
        <v>5737500</v>
      </c>
      <c r="H248" s="11" t="s">
        <v>345</v>
      </c>
    </row>
    <row r="249" spans="1:8" ht="15" customHeight="1" x14ac:dyDescent="0.25">
      <c r="A249" s="11" t="s">
        <v>484</v>
      </c>
      <c r="B249" s="11">
        <v>666103</v>
      </c>
      <c r="C249" s="11" t="s">
        <v>868</v>
      </c>
      <c r="D249" s="11" t="s">
        <v>857</v>
      </c>
      <c r="E249" s="12">
        <v>2166.6666666666702</v>
      </c>
      <c r="F249" s="13">
        <v>0</v>
      </c>
      <c r="G249" s="12">
        <v>0</v>
      </c>
      <c r="H249" s="11" t="s">
        <v>869</v>
      </c>
    </row>
    <row r="250" spans="1:8" ht="15" customHeight="1" x14ac:dyDescent="0.25">
      <c r="A250" s="11" t="s">
        <v>484</v>
      </c>
      <c r="B250" s="11">
        <v>666104</v>
      </c>
      <c r="C250" s="11" t="s">
        <v>870</v>
      </c>
      <c r="D250" s="11" t="s">
        <v>871</v>
      </c>
      <c r="E250" s="12">
        <v>484364</v>
      </c>
      <c r="F250" s="13">
        <v>0</v>
      </c>
      <c r="G250" s="12">
        <v>0</v>
      </c>
      <c r="H250" s="11" t="s">
        <v>872</v>
      </c>
    </row>
    <row r="251" spans="1:8" ht="15" customHeight="1" x14ac:dyDescent="0.25">
      <c r="A251" s="11" t="s">
        <v>484</v>
      </c>
      <c r="B251" s="11">
        <v>800401</v>
      </c>
      <c r="C251" s="11" t="s">
        <v>873</v>
      </c>
      <c r="D251" s="11" t="s">
        <v>642</v>
      </c>
      <c r="E251" s="12">
        <v>20277.777777777799</v>
      </c>
      <c r="F251" s="13">
        <v>0</v>
      </c>
      <c r="G251" s="12">
        <v>0</v>
      </c>
      <c r="H251" s="11" t="s">
        <v>874</v>
      </c>
    </row>
    <row r="252" spans="1:8" ht="15" customHeight="1" x14ac:dyDescent="0.25">
      <c r="A252" s="11" t="s">
        <v>484</v>
      </c>
      <c r="B252" s="11">
        <v>800400</v>
      </c>
      <c r="C252" s="11" t="s">
        <v>875</v>
      </c>
      <c r="D252" s="11" t="s">
        <v>642</v>
      </c>
      <c r="E252" s="12">
        <v>21250</v>
      </c>
      <c r="F252" s="13">
        <v>0</v>
      </c>
      <c r="G252" s="12">
        <v>0</v>
      </c>
      <c r="H252" s="11" t="s">
        <v>876</v>
      </c>
    </row>
    <row r="253" spans="1:8" ht="15" customHeight="1" x14ac:dyDescent="0.25">
      <c r="A253" s="11" t="s">
        <v>484</v>
      </c>
      <c r="B253" s="11">
        <v>800402</v>
      </c>
      <c r="C253" s="11" t="s">
        <v>877</v>
      </c>
      <c r="D253" s="11" t="s">
        <v>642</v>
      </c>
      <c r="E253" s="12">
        <v>21354.166666666701</v>
      </c>
      <c r="F253" s="13">
        <v>0</v>
      </c>
      <c r="G253" s="12">
        <v>0</v>
      </c>
      <c r="H253" s="11" t="s">
        <v>878</v>
      </c>
    </row>
    <row r="254" spans="1:8" ht="15" customHeight="1" x14ac:dyDescent="0.25">
      <c r="A254" s="11" t="s">
        <v>484</v>
      </c>
      <c r="B254" s="11">
        <v>800403</v>
      </c>
      <c r="C254" s="11" t="s">
        <v>879</v>
      </c>
      <c r="D254" s="11" t="s">
        <v>642</v>
      </c>
      <c r="E254" s="12">
        <v>17083.333333333299</v>
      </c>
      <c r="F254" s="13">
        <v>0</v>
      </c>
      <c r="G254" s="12">
        <v>0</v>
      </c>
      <c r="H254" s="11" t="s">
        <v>880</v>
      </c>
    </row>
    <row r="255" spans="1:8" ht="15" customHeight="1" x14ac:dyDescent="0.25">
      <c r="A255" s="11" t="s">
        <v>484</v>
      </c>
      <c r="B255" s="11">
        <v>100503</v>
      </c>
      <c r="C255" s="11" t="s">
        <v>881</v>
      </c>
      <c r="D255" s="11" t="s">
        <v>736</v>
      </c>
      <c r="E255" s="12">
        <v>119000</v>
      </c>
      <c r="F255" s="13">
        <v>0</v>
      </c>
      <c r="G255" s="12">
        <v>0</v>
      </c>
      <c r="H255" s="11" t="s">
        <v>882</v>
      </c>
    </row>
    <row r="256" spans="1:8" ht="15" customHeight="1" x14ac:dyDescent="0.25">
      <c r="A256" s="11" t="s">
        <v>484</v>
      </c>
      <c r="B256" s="11">
        <v>100508</v>
      </c>
      <c r="C256" s="11" t="s">
        <v>883</v>
      </c>
      <c r="D256" s="11" t="s">
        <v>736</v>
      </c>
      <c r="E256" s="12">
        <v>97500</v>
      </c>
      <c r="F256" s="13">
        <v>0</v>
      </c>
      <c r="G256" s="12">
        <v>0</v>
      </c>
      <c r="H256" s="11" t="s">
        <v>884</v>
      </c>
    </row>
    <row r="257" spans="1:8" ht="15" customHeight="1" x14ac:dyDescent="0.25">
      <c r="A257" s="11" t="s">
        <v>484</v>
      </c>
      <c r="B257" s="11">
        <v>100509</v>
      </c>
      <c r="C257" s="11" t="s">
        <v>885</v>
      </c>
      <c r="D257" s="11" t="s">
        <v>736</v>
      </c>
      <c r="E257" s="12">
        <v>97500</v>
      </c>
      <c r="F257" s="13">
        <v>0</v>
      </c>
      <c r="G257" s="12">
        <v>0</v>
      </c>
      <c r="H257" s="11" t="s">
        <v>886</v>
      </c>
    </row>
    <row r="258" spans="1:8" ht="15" customHeight="1" x14ac:dyDescent="0.25">
      <c r="A258" s="11" t="s">
        <v>484</v>
      </c>
      <c r="B258" s="11">
        <v>100510</v>
      </c>
      <c r="C258" s="11" t="s">
        <v>887</v>
      </c>
      <c r="D258" s="11" t="s">
        <v>736</v>
      </c>
      <c r="E258" s="12">
        <v>97500</v>
      </c>
      <c r="F258" s="13">
        <v>0</v>
      </c>
      <c r="G258" s="12">
        <v>0</v>
      </c>
      <c r="H258" s="11" t="s">
        <v>888</v>
      </c>
    </row>
    <row r="259" spans="1:8" ht="15" customHeight="1" x14ac:dyDescent="0.25">
      <c r="A259" s="11" t="s">
        <v>484</v>
      </c>
      <c r="B259" s="11">
        <v>100511</v>
      </c>
      <c r="C259" s="11" t="s">
        <v>889</v>
      </c>
      <c r="D259" s="11" t="s">
        <v>736</v>
      </c>
      <c r="E259" s="12">
        <v>87000</v>
      </c>
      <c r="F259" s="13">
        <v>0</v>
      </c>
      <c r="G259" s="12">
        <v>0</v>
      </c>
      <c r="H259" s="11" t="s">
        <v>890</v>
      </c>
    </row>
    <row r="260" spans="1:8" ht="15" customHeight="1" x14ac:dyDescent="0.25">
      <c r="A260" s="11" t="s">
        <v>484</v>
      </c>
      <c r="B260" s="11">
        <v>100512</v>
      </c>
      <c r="C260" s="11" t="s">
        <v>891</v>
      </c>
      <c r="D260" s="11" t="s">
        <v>736</v>
      </c>
      <c r="E260" s="12">
        <v>97500</v>
      </c>
      <c r="F260" s="13">
        <v>0</v>
      </c>
      <c r="G260" s="12">
        <v>0</v>
      </c>
      <c r="H260" s="11" t="s">
        <v>892</v>
      </c>
    </row>
    <row r="261" spans="1:8" ht="15" customHeight="1" x14ac:dyDescent="0.25">
      <c r="A261" s="11" t="s">
        <v>484</v>
      </c>
      <c r="B261" s="11">
        <v>100513</v>
      </c>
      <c r="C261" s="11" t="s">
        <v>893</v>
      </c>
      <c r="D261" s="11" t="s">
        <v>736</v>
      </c>
      <c r="E261" s="12">
        <v>97500</v>
      </c>
      <c r="F261" s="13">
        <v>0</v>
      </c>
      <c r="G261" s="12">
        <v>0</v>
      </c>
      <c r="H261" s="11" t="s">
        <v>894</v>
      </c>
    </row>
    <row r="262" spans="1:8" ht="15" customHeight="1" x14ac:dyDescent="0.25">
      <c r="A262" s="11" t="s">
        <v>484</v>
      </c>
      <c r="B262" s="11">
        <v>100504</v>
      </c>
      <c r="C262" s="11" t="s">
        <v>895</v>
      </c>
      <c r="D262" s="11" t="s">
        <v>736</v>
      </c>
      <c r="E262" s="12">
        <v>103000</v>
      </c>
      <c r="F262" s="13">
        <v>0</v>
      </c>
      <c r="G262" s="12">
        <v>0</v>
      </c>
      <c r="H262" s="11" t="s">
        <v>896</v>
      </c>
    </row>
    <row r="263" spans="1:8" ht="15" customHeight="1" x14ac:dyDescent="0.25">
      <c r="A263" s="11" t="s">
        <v>484</v>
      </c>
      <c r="B263" s="11">
        <v>100514</v>
      </c>
      <c r="C263" s="11" t="s">
        <v>897</v>
      </c>
      <c r="D263" s="11" t="s">
        <v>736</v>
      </c>
      <c r="E263" s="12">
        <v>129500</v>
      </c>
      <c r="F263" s="13">
        <v>0</v>
      </c>
      <c r="G263" s="12">
        <v>0</v>
      </c>
      <c r="H263" s="11" t="s">
        <v>898</v>
      </c>
    </row>
    <row r="264" spans="1:8" ht="15" customHeight="1" x14ac:dyDescent="0.25">
      <c r="A264" s="11" t="s">
        <v>484</v>
      </c>
      <c r="B264" s="11">
        <v>100515</v>
      </c>
      <c r="C264" s="11" t="s">
        <v>899</v>
      </c>
      <c r="D264" s="11" t="s">
        <v>736</v>
      </c>
      <c r="E264" s="12">
        <v>171700</v>
      </c>
      <c r="F264" s="13">
        <v>0</v>
      </c>
      <c r="G264" s="12">
        <v>0</v>
      </c>
      <c r="H264" s="11" t="s">
        <v>900</v>
      </c>
    </row>
    <row r="265" spans="1:8" ht="15" customHeight="1" x14ac:dyDescent="0.25">
      <c r="A265" s="11" t="s">
        <v>484</v>
      </c>
      <c r="B265" s="11">
        <v>100516</v>
      </c>
      <c r="C265" s="11" t="s">
        <v>901</v>
      </c>
      <c r="D265" s="11" t="s">
        <v>736</v>
      </c>
      <c r="E265" s="12">
        <v>173000</v>
      </c>
      <c r="F265" s="13">
        <v>0</v>
      </c>
      <c r="G265" s="12">
        <v>0</v>
      </c>
      <c r="H265" s="11" t="s">
        <v>902</v>
      </c>
    </row>
    <row r="266" spans="1:8" ht="15" customHeight="1" x14ac:dyDescent="0.25">
      <c r="A266" s="11" t="s">
        <v>484</v>
      </c>
      <c r="B266" s="11">
        <v>100505</v>
      </c>
      <c r="C266" s="11" t="s">
        <v>903</v>
      </c>
      <c r="D266" s="11" t="s">
        <v>736</v>
      </c>
      <c r="E266" s="12">
        <v>103000</v>
      </c>
      <c r="F266" s="13">
        <v>0</v>
      </c>
      <c r="G266" s="12">
        <v>0</v>
      </c>
      <c r="H266" s="11" t="s">
        <v>904</v>
      </c>
    </row>
    <row r="267" spans="1:8" ht="15" customHeight="1" x14ac:dyDescent="0.25">
      <c r="A267" s="11" t="s">
        <v>484</v>
      </c>
      <c r="B267" s="11">
        <v>100517</v>
      </c>
      <c r="C267" s="11" t="s">
        <v>905</v>
      </c>
      <c r="D267" s="11" t="s">
        <v>736</v>
      </c>
      <c r="E267" s="12">
        <v>103000</v>
      </c>
      <c r="F267" s="13">
        <v>0</v>
      </c>
      <c r="G267" s="12">
        <v>0</v>
      </c>
      <c r="H267" s="11" t="s">
        <v>906</v>
      </c>
    </row>
    <row r="268" spans="1:8" ht="15" customHeight="1" x14ac:dyDescent="0.25">
      <c r="A268" s="11" t="s">
        <v>484</v>
      </c>
      <c r="B268" s="11">
        <v>100518</v>
      </c>
      <c r="C268" s="11" t="s">
        <v>907</v>
      </c>
      <c r="D268" s="11" t="s">
        <v>736</v>
      </c>
      <c r="E268" s="12">
        <v>103000</v>
      </c>
      <c r="F268" s="13">
        <v>0</v>
      </c>
      <c r="G268" s="12">
        <v>0</v>
      </c>
      <c r="H268" s="11" t="s">
        <v>908</v>
      </c>
    </row>
    <row r="269" spans="1:8" ht="15" customHeight="1" x14ac:dyDescent="0.25">
      <c r="A269" s="11" t="s">
        <v>484</v>
      </c>
      <c r="B269" s="11">
        <v>100506</v>
      </c>
      <c r="C269" s="11" t="s">
        <v>909</v>
      </c>
      <c r="D269" s="11" t="s">
        <v>736</v>
      </c>
      <c r="E269" s="12">
        <v>103000</v>
      </c>
      <c r="F269" s="13">
        <v>0</v>
      </c>
      <c r="G269" s="12">
        <v>0</v>
      </c>
      <c r="H269" s="11" t="s">
        <v>910</v>
      </c>
    </row>
    <row r="270" spans="1:8" ht="15" customHeight="1" x14ac:dyDescent="0.25">
      <c r="A270" s="11" t="s">
        <v>484</v>
      </c>
      <c r="B270" s="11">
        <v>100519</v>
      </c>
      <c r="C270" s="11" t="s">
        <v>911</v>
      </c>
      <c r="D270" s="11" t="s">
        <v>736</v>
      </c>
      <c r="E270" s="12">
        <v>108000</v>
      </c>
      <c r="F270" s="13">
        <v>0</v>
      </c>
      <c r="G270" s="12">
        <v>0</v>
      </c>
      <c r="H270" s="11" t="s">
        <v>912</v>
      </c>
    </row>
    <row r="271" spans="1:8" ht="15" customHeight="1" x14ac:dyDescent="0.25">
      <c r="A271" s="11" t="s">
        <v>484</v>
      </c>
      <c r="B271" s="11">
        <v>100520</v>
      </c>
      <c r="C271" s="11" t="s">
        <v>913</v>
      </c>
      <c r="D271" s="11" t="s">
        <v>736</v>
      </c>
      <c r="E271" s="12">
        <v>111200</v>
      </c>
      <c r="F271" s="13">
        <v>0</v>
      </c>
      <c r="G271" s="12">
        <v>0</v>
      </c>
      <c r="H271" s="11" t="s">
        <v>914</v>
      </c>
    </row>
    <row r="272" spans="1:8" ht="15" customHeight="1" x14ac:dyDescent="0.25">
      <c r="A272" s="11" t="s">
        <v>484</v>
      </c>
      <c r="B272" s="11">
        <v>100507</v>
      </c>
      <c r="C272" s="11" t="s">
        <v>915</v>
      </c>
      <c r="D272" s="11" t="s">
        <v>736</v>
      </c>
      <c r="E272" s="12">
        <v>105600</v>
      </c>
      <c r="F272" s="13">
        <v>0</v>
      </c>
      <c r="G272" s="12">
        <v>0</v>
      </c>
      <c r="H272" s="11" t="s">
        <v>916</v>
      </c>
    </row>
    <row r="273" spans="1:8" ht="15" customHeight="1" x14ac:dyDescent="0.25">
      <c r="A273" s="11" t="s">
        <v>484</v>
      </c>
      <c r="B273" s="11">
        <v>100521</v>
      </c>
      <c r="C273" s="11" t="s">
        <v>917</v>
      </c>
      <c r="D273" s="11" t="s">
        <v>736</v>
      </c>
      <c r="E273" s="12">
        <v>171700</v>
      </c>
      <c r="F273" s="13">
        <v>0</v>
      </c>
      <c r="G273" s="12">
        <v>0</v>
      </c>
      <c r="H273" s="11" t="s">
        <v>918</v>
      </c>
    </row>
    <row r="274" spans="1:8" ht="15" customHeight="1" x14ac:dyDescent="0.25">
      <c r="A274" s="11" t="s">
        <v>484</v>
      </c>
      <c r="B274" s="11">
        <v>100522</v>
      </c>
      <c r="C274" s="11" t="s">
        <v>919</v>
      </c>
      <c r="D274" s="11" t="s">
        <v>736</v>
      </c>
      <c r="E274" s="12">
        <v>119000</v>
      </c>
      <c r="F274" s="13">
        <v>0</v>
      </c>
      <c r="G274" s="12">
        <v>0</v>
      </c>
      <c r="H274" s="11" t="s">
        <v>920</v>
      </c>
    </row>
    <row r="275" spans="1:8" ht="15" customHeight="1" x14ac:dyDescent="0.25">
      <c r="A275" s="11" t="s">
        <v>484</v>
      </c>
      <c r="B275" s="11">
        <v>300211</v>
      </c>
      <c r="C275" s="11" t="s">
        <v>921</v>
      </c>
      <c r="D275" s="11" t="s">
        <v>922</v>
      </c>
      <c r="E275" s="12">
        <v>115000</v>
      </c>
      <c r="F275" s="13">
        <v>0</v>
      </c>
      <c r="G275" s="12">
        <v>0</v>
      </c>
      <c r="H275" s="11" t="s">
        <v>923</v>
      </c>
    </row>
    <row r="276" spans="1:8" ht="15" customHeight="1" x14ac:dyDescent="0.25">
      <c r="A276" s="11" t="s">
        <v>484</v>
      </c>
      <c r="B276" s="11">
        <v>444704</v>
      </c>
      <c r="C276" s="11" t="s">
        <v>924</v>
      </c>
      <c r="D276" s="11" t="s">
        <v>496</v>
      </c>
      <c r="E276" s="12">
        <v>3433.3333333333298</v>
      </c>
      <c r="F276" s="13">
        <v>0</v>
      </c>
      <c r="G276" s="12">
        <v>0</v>
      </c>
      <c r="H276" s="11" t="s">
        <v>925</v>
      </c>
    </row>
    <row r="277" spans="1:8" ht="15" customHeight="1" x14ac:dyDescent="0.25">
      <c r="A277" s="11" t="s">
        <v>484</v>
      </c>
      <c r="B277" s="11">
        <v>444103</v>
      </c>
      <c r="C277" s="11" t="s">
        <v>926</v>
      </c>
      <c r="D277" s="11" t="s">
        <v>486</v>
      </c>
      <c r="E277" s="12">
        <v>16650</v>
      </c>
      <c r="F277" s="13">
        <v>0</v>
      </c>
      <c r="G277" s="12">
        <v>0</v>
      </c>
      <c r="H277" s="11" t="s">
        <v>927</v>
      </c>
    </row>
    <row r="278" spans="1:8" ht="15" customHeight="1" x14ac:dyDescent="0.25">
      <c r="A278" s="11" t="s">
        <v>484</v>
      </c>
      <c r="B278" s="11">
        <v>800501</v>
      </c>
      <c r="C278" s="11" t="s">
        <v>928</v>
      </c>
      <c r="D278" s="11" t="s">
        <v>486</v>
      </c>
      <c r="E278" s="12">
        <v>13000</v>
      </c>
      <c r="F278" s="13">
        <v>0</v>
      </c>
      <c r="G278" s="12">
        <v>0</v>
      </c>
      <c r="H278" s="11" t="s">
        <v>929</v>
      </c>
    </row>
    <row r="279" spans="1:8" ht="15" customHeight="1" x14ac:dyDescent="0.25">
      <c r="A279" s="11" t="s">
        <v>484</v>
      </c>
      <c r="B279" s="11">
        <v>800502</v>
      </c>
      <c r="C279" s="11" t="s">
        <v>930</v>
      </c>
      <c r="D279" s="11" t="s">
        <v>486</v>
      </c>
      <c r="E279" s="12">
        <v>44473.333333333299</v>
      </c>
      <c r="F279" s="13">
        <v>555</v>
      </c>
      <c r="G279" s="12">
        <v>24682700</v>
      </c>
      <c r="H279" s="11" t="s">
        <v>162</v>
      </c>
    </row>
    <row r="280" spans="1:8" ht="15" customHeight="1" x14ac:dyDescent="0.25">
      <c r="A280" s="11" t="s">
        <v>484</v>
      </c>
      <c r="B280" s="11">
        <v>800504</v>
      </c>
      <c r="C280" s="11" t="s">
        <v>931</v>
      </c>
      <c r="D280" s="11" t="s">
        <v>486</v>
      </c>
      <c r="E280" s="12">
        <v>35306.666666666701</v>
      </c>
      <c r="F280" s="13">
        <v>0</v>
      </c>
      <c r="G280" s="12">
        <v>0</v>
      </c>
      <c r="H280" s="11" t="s">
        <v>932</v>
      </c>
    </row>
    <row r="281" spans="1:8" ht="15" customHeight="1" x14ac:dyDescent="0.25">
      <c r="A281" s="11" t="s">
        <v>484</v>
      </c>
      <c r="B281" s="11">
        <v>800505</v>
      </c>
      <c r="C281" s="11" t="s">
        <v>933</v>
      </c>
      <c r="D281" s="11" t="s">
        <v>486</v>
      </c>
      <c r="E281" s="12">
        <v>0</v>
      </c>
      <c r="F281" s="13">
        <v>0</v>
      </c>
      <c r="G281" s="12">
        <v>0</v>
      </c>
      <c r="H281" s="11" t="s">
        <v>934</v>
      </c>
    </row>
    <row r="282" spans="1:8" ht="15" customHeight="1" x14ac:dyDescent="0.25">
      <c r="A282" s="11" t="s">
        <v>484</v>
      </c>
      <c r="B282" s="11">
        <v>800506</v>
      </c>
      <c r="C282" s="11" t="s">
        <v>935</v>
      </c>
      <c r="D282" s="11" t="s">
        <v>486</v>
      </c>
      <c r="E282" s="12">
        <v>27240</v>
      </c>
      <c r="F282" s="13">
        <v>465</v>
      </c>
      <c r="G282" s="12">
        <v>12666600</v>
      </c>
      <c r="H282" s="11" t="s">
        <v>394</v>
      </c>
    </row>
    <row r="283" spans="1:8" ht="15" customHeight="1" x14ac:dyDescent="0.25">
      <c r="A283" s="11" t="s">
        <v>484</v>
      </c>
      <c r="B283" s="11">
        <v>666203</v>
      </c>
      <c r="C283" s="11" t="s">
        <v>936</v>
      </c>
      <c r="D283" s="11" t="s">
        <v>499</v>
      </c>
      <c r="E283" s="12">
        <v>1000</v>
      </c>
      <c r="F283" s="13">
        <v>375</v>
      </c>
      <c r="G283" s="12">
        <v>375000</v>
      </c>
      <c r="H283" s="11" t="s">
        <v>395</v>
      </c>
    </row>
    <row r="284" spans="1:8" ht="15" customHeight="1" x14ac:dyDescent="0.25">
      <c r="A284" s="11" t="s">
        <v>484</v>
      </c>
      <c r="B284" s="11">
        <v>333401</v>
      </c>
      <c r="C284" s="11" t="s">
        <v>937</v>
      </c>
      <c r="D284" s="11" t="s">
        <v>496</v>
      </c>
      <c r="E284" s="12">
        <v>270</v>
      </c>
      <c r="F284" s="13">
        <v>0</v>
      </c>
      <c r="G284" s="12">
        <v>0</v>
      </c>
      <c r="H284" s="11" t="s">
        <v>83</v>
      </c>
    </row>
    <row r="285" spans="1:8" ht="15" customHeight="1" x14ac:dyDescent="0.25">
      <c r="A285" s="11" t="s">
        <v>484</v>
      </c>
      <c r="B285" s="11">
        <v>333402</v>
      </c>
      <c r="C285" s="11" t="s">
        <v>938</v>
      </c>
      <c r="D285" s="11" t="s">
        <v>496</v>
      </c>
      <c r="E285" s="12">
        <v>370</v>
      </c>
      <c r="F285" s="13">
        <v>600</v>
      </c>
      <c r="G285" s="12">
        <v>222000</v>
      </c>
      <c r="H285" s="11" t="s">
        <v>396</v>
      </c>
    </row>
    <row r="286" spans="1:8" ht="15" customHeight="1" x14ac:dyDescent="0.25">
      <c r="A286" s="11" t="s">
        <v>484</v>
      </c>
      <c r="B286" s="11">
        <v>444204</v>
      </c>
      <c r="C286" s="11" t="s">
        <v>939</v>
      </c>
      <c r="D286" s="11" t="s">
        <v>499</v>
      </c>
      <c r="E286" s="12">
        <v>2925</v>
      </c>
      <c r="F286" s="13">
        <v>1225</v>
      </c>
      <c r="G286" s="12">
        <v>3583125</v>
      </c>
      <c r="H286" s="11" t="s">
        <v>397</v>
      </c>
    </row>
    <row r="287" spans="1:8" ht="15" customHeight="1" x14ac:dyDescent="0.25">
      <c r="A287" s="11" t="s">
        <v>484</v>
      </c>
      <c r="B287" s="11">
        <v>444205</v>
      </c>
      <c r="C287" s="11" t="s">
        <v>940</v>
      </c>
      <c r="D287" s="11" t="s">
        <v>499</v>
      </c>
      <c r="E287" s="12">
        <v>3620</v>
      </c>
      <c r="F287" s="13">
        <v>675</v>
      </c>
      <c r="G287" s="12">
        <v>2443500</v>
      </c>
      <c r="H287" s="11" t="s">
        <v>398</v>
      </c>
    </row>
    <row r="288" spans="1:8" ht="15" customHeight="1" x14ac:dyDescent="0.25">
      <c r="A288" s="11" t="s">
        <v>484</v>
      </c>
      <c r="B288" s="11">
        <v>444206</v>
      </c>
      <c r="C288" s="11" t="s">
        <v>941</v>
      </c>
      <c r="D288" s="11" t="s">
        <v>499</v>
      </c>
      <c r="E288" s="12">
        <v>1950</v>
      </c>
      <c r="F288" s="13">
        <v>1043</v>
      </c>
      <c r="G288" s="12">
        <v>2033850</v>
      </c>
      <c r="H288" s="11" t="s">
        <v>399</v>
      </c>
    </row>
    <row r="289" spans="1:8" ht="15" customHeight="1" x14ac:dyDescent="0.25">
      <c r="A289" s="11" t="s">
        <v>484</v>
      </c>
      <c r="B289" s="11">
        <v>333403</v>
      </c>
      <c r="C289" s="11" t="s">
        <v>942</v>
      </c>
      <c r="D289" s="11" t="s">
        <v>499</v>
      </c>
      <c r="E289" s="12">
        <v>1100</v>
      </c>
      <c r="F289" s="13">
        <v>2300</v>
      </c>
      <c r="G289" s="12">
        <v>2530000</v>
      </c>
      <c r="H289" s="11" t="s">
        <v>400</v>
      </c>
    </row>
    <row r="290" spans="1:8" ht="15" customHeight="1" x14ac:dyDescent="0.25">
      <c r="A290" s="11" t="s">
        <v>484</v>
      </c>
      <c r="B290" s="11">
        <v>333404</v>
      </c>
      <c r="C290" s="11" t="s">
        <v>943</v>
      </c>
      <c r="D290" s="11" t="s">
        <v>496</v>
      </c>
      <c r="E290" s="12">
        <v>350</v>
      </c>
      <c r="F290" s="13">
        <v>14850</v>
      </c>
      <c r="G290" s="12">
        <v>5197500</v>
      </c>
      <c r="H290" s="11" t="s">
        <v>401</v>
      </c>
    </row>
    <row r="291" spans="1:8" ht="15" customHeight="1" x14ac:dyDescent="0.25">
      <c r="A291" s="11" t="s">
        <v>484</v>
      </c>
      <c r="B291" s="11">
        <v>333405</v>
      </c>
      <c r="C291" s="11" t="s">
        <v>944</v>
      </c>
      <c r="D291" s="11" t="s">
        <v>496</v>
      </c>
      <c r="E291" s="12">
        <v>470</v>
      </c>
      <c r="F291" s="13">
        <v>5800</v>
      </c>
      <c r="G291" s="12">
        <v>2726000</v>
      </c>
      <c r="H291" s="11" t="s">
        <v>402</v>
      </c>
    </row>
    <row r="292" spans="1:8" ht="15" customHeight="1" x14ac:dyDescent="0.25">
      <c r="A292" s="11" t="s">
        <v>484</v>
      </c>
      <c r="B292" s="11">
        <v>666201</v>
      </c>
      <c r="C292" s="11" t="s">
        <v>945</v>
      </c>
      <c r="D292" s="11" t="s">
        <v>499</v>
      </c>
      <c r="E292" s="12">
        <v>0</v>
      </c>
      <c r="F292" s="13">
        <v>0</v>
      </c>
      <c r="G292" s="12">
        <v>0</v>
      </c>
      <c r="H292" s="11" t="s">
        <v>946</v>
      </c>
    </row>
    <row r="293" spans="1:8" ht="15" customHeight="1" x14ac:dyDescent="0.25">
      <c r="A293" s="11" t="s">
        <v>484</v>
      </c>
      <c r="B293" s="11">
        <v>666202</v>
      </c>
      <c r="C293" s="11" t="s">
        <v>947</v>
      </c>
      <c r="D293" s="11" t="s">
        <v>857</v>
      </c>
      <c r="E293" s="12">
        <v>1003.63636363636</v>
      </c>
      <c r="F293" s="13">
        <v>0</v>
      </c>
      <c r="G293" s="12">
        <v>0</v>
      </c>
      <c r="H293" s="11" t="s">
        <v>948</v>
      </c>
    </row>
    <row r="294" spans="1:8" ht="15" customHeight="1" x14ac:dyDescent="0.25">
      <c r="A294" s="11" t="s">
        <v>484</v>
      </c>
      <c r="B294" s="11">
        <v>777300</v>
      </c>
      <c r="C294" s="11" t="s">
        <v>949</v>
      </c>
      <c r="D294" s="11" t="s">
        <v>499</v>
      </c>
      <c r="E294" s="12">
        <v>465</v>
      </c>
      <c r="F294" s="13">
        <v>0</v>
      </c>
      <c r="G294" s="12">
        <v>0</v>
      </c>
      <c r="H294" s="11" t="s">
        <v>950</v>
      </c>
    </row>
    <row r="295" spans="1:8" ht="15" customHeight="1" x14ac:dyDescent="0.25">
      <c r="A295" s="11" t="s">
        <v>484</v>
      </c>
      <c r="B295" s="11">
        <v>900201</v>
      </c>
      <c r="C295" s="11" t="s">
        <v>951</v>
      </c>
      <c r="D295" s="11" t="s">
        <v>486</v>
      </c>
      <c r="E295" s="12">
        <v>109.09090909090899</v>
      </c>
      <c r="F295" s="13">
        <v>0</v>
      </c>
      <c r="G295" s="12">
        <v>0</v>
      </c>
      <c r="H295" s="11" t="s">
        <v>952</v>
      </c>
    </row>
    <row r="296" spans="1:8" ht="15" customHeight="1" x14ac:dyDescent="0.25">
      <c r="A296" s="11" t="s">
        <v>484</v>
      </c>
      <c r="B296" s="11">
        <v>900202</v>
      </c>
      <c r="C296" s="11" t="s">
        <v>953</v>
      </c>
      <c r="D296" s="11" t="s">
        <v>499</v>
      </c>
      <c r="E296" s="12">
        <v>2430.5555555555602</v>
      </c>
      <c r="F296" s="13">
        <v>0</v>
      </c>
      <c r="G296" s="12">
        <v>0</v>
      </c>
      <c r="H296" s="11" t="s">
        <v>954</v>
      </c>
    </row>
    <row r="297" spans="1:8" ht="15" customHeight="1" x14ac:dyDescent="0.25">
      <c r="A297" s="11" t="s">
        <v>484</v>
      </c>
      <c r="B297" s="11">
        <v>900203</v>
      </c>
      <c r="C297" s="11" t="s">
        <v>955</v>
      </c>
      <c r="D297" s="11" t="s">
        <v>486</v>
      </c>
      <c r="E297" s="12">
        <v>277500</v>
      </c>
      <c r="F297" s="13">
        <v>1</v>
      </c>
      <c r="G297" s="12">
        <v>277500</v>
      </c>
      <c r="H297" s="11" t="s">
        <v>405</v>
      </c>
    </row>
    <row r="298" spans="1:8" ht="15" customHeight="1" x14ac:dyDescent="0.25">
      <c r="A298" s="11" t="s">
        <v>484</v>
      </c>
      <c r="B298" s="11">
        <v>900204</v>
      </c>
      <c r="C298" s="11" t="s">
        <v>956</v>
      </c>
      <c r="D298" s="11" t="s">
        <v>486</v>
      </c>
      <c r="E298" s="12">
        <v>219780</v>
      </c>
      <c r="F298" s="13">
        <v>0</v>
      </c>
      <c r="G298" s="12">
        <v>0</v>
      </c>
      <c r="H298" s="11" t="s">
        <v>957</v>
      </c>
    </row>
    <row r="299" spans="1:8" ht="15" customHeight="1" x14ac:dyDescent="0.25">
      <c r="A299" s="11" t="s">
        <v>484</v>
      </c>
      <c r="B299" s="11">
        <v>900205</v>
      </c>
      <c r="C299" s="11" t="s">
        <v>958</v>
      </c>
      <c r="D299" s="11" t="s">
        <v>499</v>
      </c>
      <c r="E299" s="12">
        <v>6805.5555555555602</v>
      </c>
      <c r="F299" s="13">
        <v>39</v>
      </c>
      <c r="G299" s="12">
        <v>265416.66666666698</v>
      </c>
      <c r="H299" s="11" t="s">
        <v>173</v>
      </c>
    </row>
    <row r="300" spans="1:8" ht="15" customHeight="1" x14ac:dyDescent="0.25">
      <c r="A300" s="11" t="s">
        <v>484</v>
      </c>
      <c r="B300" s="11">
        <v>900206</v>
      </c>
      <c r="C300" s="11" t="s">
        <v>959</v>
      </c>
      <c r="D300" s="11" t="s">
        <v>486</v>
      </c>
      <c r="E300" s="12">
        <v>158175</v>
      </c>
      <c r="F300" s="13">
        <v>0</v>
      </c>
      <c r="G300" s="12">
        <v>0</v>
      </c>
      <c r="H300" s="11" t="s">
        <v>960</v>
      </c>
    </row>
    <row r="301" spans="1:8" ht="15" customHeight="1" x14ac:dyDescent="0.25">
      <c r="A301" s="11" t="s">
        <v>484</v>
      </c>
      <c r="B301" s="11">
        <v>900207</v>
      </c>
      <c r="C301" s="11" t="s">
        <v>961</v>
      </c>
      <c r="D301" s="11" t="s">
        <v>499</v>
      </c>
      <c r="E301" s="12">
        <v>7309.165</v>
      </c>
      <c r="F301" s="13">
        <v>25</v>
      </c>
      <c r="G301" s="12">
        <v>182729.125</v>
      </c>
      <c r="H301" s="11" t="s">
        <v>406</v>
      </c>
    </row>
    <row r="302" spans="1:8" ht="15" customHeight="1" x14ac:dyDescent="0.25">
      <c r="A302" s="11" t="s">
        <v>484</v>
      </c>
      <c r="B302" s="11">
        <v>900208</v>
      </c>
      <c r="C302" s="11" t="s">
        <v>962</v>
      </c>
      <c r="D302" s="11" t="s">
        <v>499</v>
      </c>
      <c r="E302" s="12">
        <v>6750</v>
      </c>
      <c r="F302" s="13">
        <v>0</v>
      </c>
      <c r="G302" s="12">
        <v>0</v>
      </c>
      <c r="H302" s="11" t="s">
        <v>963</v>
      </c>
    </row>
    <row r="303" spans="1:8" ht="15" customHeight="1" x14ac:dyDescent="0.25">
      <c r="A303" s="11" t="s">
        <v>484</v>
      </c>
      <c r="B303" s="11">
        <v>900209</v>
      </c>
      <c r="C303" s="11" t="s">
        <v>964</v>
      </c>
      <c r="D303" s="11" t="s">
        <v>486</v>
      </c>
      <c r="E303" s="12">
        <v>215000</v>
      </c>
      <c r="F303" s="13">
        <v>0</v>
      </c>
      <c r="G303" s="12">
        <v>0</v>
      </c>
      <c r="H303" s="11" t="s">
        <v>965</v>
      </c>
    </row>
    <row r="304" spans="1:8" ht="15" customHeight="1" x14ac:dyDescent="0.25">
      <c r="A304" s="11" t="s">
        <v>484</v>
      </c>
      <c r="B304" s="11">
        <v>900210</v>
      </c>
      <c r="C304" s="11" t="s">
        <v>966</v>
      </c>
      <c r="D304" s="11" t="s">
        <v>486</v>
      </c>
      <c r="E304" s="12">
        <v>130000</v>
      </c>
      <c r="F304" s="13">
        <v>160</v>
      </c>
      <c r="G304" s="12">
        <v>20800000</v>
      </c>
      <c r="H304" s="11" t="s">
        <v>407</v>
      </c>
    </row>
    <row r="305" spans="1:8" ht="15" customHeight="1" x14ac:dyDescent="0.25">
      <c r="A305" s="11" t="s">
        <v>484</v>
      </c>
      <c r="B305" s="11">
        <v>600301</v>
      </c>
      <c r="C305" s="11" t="s">
        <v>967</v>
      </c>
      <c r="D305" s="11" t="s">
        <v>486</v>
      </c>
      <c r="E305" s="12">
        <v>24420</v>
      </c>
      <c r="F305" s="13">
        <v>0</v>
      </c>
      <c r="G305" s="12">
        <v>0</v>
      </c>
      <c r="H305" s="11" t="s">
        <v>968</v>
      </c>
    </row>
    <row r="306" spans="1:8" ht="15" customHeight="1" x14ac:dyDescent="0.25">
      <c r="A306" s="11" t="s">
        <v>484</v>
      </c>
      <c r="B306" s="11">
        <v>111804</v>
      </c>
      <c r="C306" s="11" t="s">
        <v>969</v>
      </c>
      <c r="D306" s="11" t="s">
        <v>496</v>
      </c>
      <c r="E306" s="12">
        <v>3125</v>
      </c>
      <c r="F306" s="13">
        <v>0</v>
      </c>
      <c r="G306" s="12">
        <v>0</v>
      </c>
      <c r="H306" s="11" t="s">
        <v>970</v>
      </c>
    </row>
    <row r="307" spans="1:8" ht="15" customHeight="1" x14ac:dyDescent="0.25">
      <c r="A307" s="11" t="s">
        <v>484</v>
      </c>
      <c r="B307" s="11">
        <v>111806</v>
      </c>
      <c r="C307" s="11" t="s">
        <v>971</v>
      </c>
      <c r="D307" s="11" t="s">
        <v>496</v>
      </c>
      <c r="E307" s="12">
        <v>12500</v>
      </c>
      <c r="F307" s="13">
        <v>0</v>
      </c>
      <c r="G307" s="12">
        <v>0</v>
      </c>
      <c r="H307" s="11" t="s">
        <v>972</v>
      </c>
    </row>
    <row r="308" spans="1:8" ht="15" customHeight="1" x14ac:dyDescent="0.25">
      <c r="A308" s="11" t="s">
        <v>484</v>
      </c>
      <c r="B308" s="11">
        <v>111807</v>
      </c>
      <c r="C308" s="11" t="s">
        <v>973</v>
      </c>
      <c r="D308" s="11" t="s">
        <v>496</v>
      </c>
      <c r="E308" s="12">
        <v>150000</v>
      </c>
      <c r="F308" s="13">
        <v>0</v>
      </c>
      <c r="G308" s="12">
        <v>0</v>
      </c>
      <c r="H308" s="11" t="s">
        <v>974</v>
      </c>
    </row>
    <row r="309" spans="1:8" ht="15" customHeight="1" x14ac:dyDescent="0.25">
      <c r="A309" s="11" t="s">
        <v>484</v>
      </c>
      <c r="B309" s="11">
        <v>111808</v>
      </c>
      <c r="C309" s="11" t="s">
        <v>975</v>
      </c>
      <c r="D309" s="11" t="s">
        <v>496</v>
      </c>
      <c r="E309" s="12">
        <v>6000</v>
      </c>
      <c r="F309" s="13">
        <v>0</v>
      </c>
      <c r="G309" s="12">
        <v>0</v>
      </c>
      <c r="H309" s="11" t="s">
        <v>976</v>
      </c>
    </row>
    <row r="310" spans="1:8" ht="15" customHeight="1" x14ac:dyDescent="0.25">
      <c r="A310" s="11" t="s">
        <v>484</v>
      </c>
      <c r="B310" s="11">
        <v>111809</v>
      </c>
      <c r="C310" s="11" t="s">
        <v>977</v>
      </c>
      <c r="D310" s="11" t="s">
        <v>496</v>
      </c>
      <c r="E310" s="12">
        <v>479.16666666666703</v>
      </c>
      <c r="F310" s="13">
        <v>4872</v>
      </c>
      <c r="G310" s="12">
        <v>2334500</v>
      </c>
      <c r="H310" s="11" t="s">
        <v>51</v>
      </c>
    </row>
    <row r="311" spans="1:8" ht="15" customHeight="1" x14ac:dyDescent="0.25">
      <c r="A311" s="11" t="s">
        <v>484</v>
      </c>
      <c r="B311" s="11">
        <v>111815</v>
      </c>
      <c r="C311" s="11" t="s">
        <v>978</v>
      </c>
      <c r="D311" s="11" t="s">
        <v>496</v>
      </c>
      <c r="E311" s="12">
        <v>12500</v>
      </c>
      <c r="F311" s="13">
        <v>0</v>
      </c>
      <c r="G311" s="12">
        <v>0</v>
      </c>
      <c r="H311" s="11" t="s">
        <v>979</v>
      </c>
    </row>
    <row r="312" spans="1:8" ht="15" customHeight="1" x14ac:dyDescent="0.25">
      <c r="A312" s="11" t="s">
        <v>484</v>
      </c>
      <c r="B312" s="11">
        <v>111819</v>
      </c>
      <c r="C312" s="11" t="s">
        <v>980</v>
      </c>
      <c r="D312" s="11" t="s">
        <v>496</v>
      </c>
      <c r="E312" s="12">
        <v>11500</v>
      </c>
      <c r="F312" s="13">
        <v>22</v>
      </c>
      <c r="G312" s="12">
        <v>253000</v>
      </c>
      <c r="H312" s="11" t="s">
        <v>115</v>
      </c>
    </row>
    <row r="313" spans="1:8" ht="15" customHeight="1" x14ac:dyDescent="0.25">
      <c r="A313" s="11" t="s">
        <v>484</v>
      </c>
      <c r="B313" s="11">
        <v>111820</v>
      </c>
      <c r="C313" s="11" t="s">
        <v>981</v>
      </c>
      <c r="D313" s="11" t="s">
        <v>496</v>
      </c>
      <c r="E313" s="12">
        <v>11500</v>
      </c>
      <c r="F313" s="13">
        <v>0</v>
      </c>
      <c r="G313" s="12">
        <v>0</v>
      </c>
      <c r="H313" s="11" t="s">
        <v>982</v>
      </c>
    </row>
    <row r="314" spans="1:8" ht="15" customHeight="1" x14ac:dyDescent="0.25">
      <c r="A314" s="11" t="s">
        <v>484</v>
      </c>
      <c r="B314" s="11">
        <v>200103</v>
      </c>
      <c r="C314" s="11" t="s">
        <v>983</v>
      </c>
      <c r="D314" s="11" t="s">
        <v>486</v>
      </c>
      <c r="E314" s="12">
        <v>54750</v>
      </c>
      <c r="F314" s="13">
        <v>0</v>
      </c>
      <c r="G314" s="12">
        <v>0</v>
      </c>
      <c r="H314" s="11" t="s">
        <v>984</v>
      </c>
    </row>
    <row r="315" spans="1:8" ht="15" customHeight="1" x14ac:dyDescent="0.25">
      <c r="A315" s="11" t="s">
        <v>484</v>
      </c>
      <c r="B315" s="11">
        <v>200104</v>
      </c>
      <c r="C315" s="11" t="s">
        <v>985</v>
      </c>
      <c r="D315" s="11" t="s">
        <v>486</v>
      </c>
      <c r="E315" s="12">
        <v>74940</v>
      </c>
      <c r="F315" s="13">
        <v>0</v>
      </c>
      <c r="G315" s="12">
        <v>0</v>
      </c>
      <c r="H315" s="11" t="s">
        <v>986</v>
      </c>
    </row>
    <row r="316" spans="1:8" ht="15" customHeight="1" x14ac:dyDescent="0.25">
      <c r="A316" s="11" t="s">
        <v>484</v>
      </c>
      <c r="B316" s="11">
        <v>900301</v>
      </c>
      <c r="C316" s="11" t="s">
        <v>987</v>
      </c>
      <c r="D316" s="11" t="s">
        <v>499</v>
      </c>
      <c r="E316" s="12">
        <v>3583.3333333333298</v>
      </c>
      <c r="F316" s="13">
        <v>194</v>
      </c>
      <c r="G316" s="12">
        <v>695166.66666666698</v>
      </c>
      <c r="H316" s="11" t="s">
        <v>168</v>
      </c>
    </row>
    <row r="317" spans="1:8" ht="15" customHeight="1" x14ac:dyDescent="0.25">
      <c r="A317" s="11" t="s">
        <v>484</v>
      </c>
      <c r="B317" s="11">
        <v>200105</v>
      </c>
      <c r="C317" s="11" t="s">
        <v>988</v>
      </c>
      <c r="D317" s="11" t="s">
        <v>486</v>
      </c>
      <c r="E317" s="12">
        <v>25640</v>
      </c>
      <c r="F317" s="13">
        <v>0</v>
      </c>
      <c r="G317" s="12">
        <v>0</v>
      </c>
      <c r="H317" s="11" t="s">
        <v>989</v>
      </c>
    </row>
    <row r="318" spans="1:8" ht="15" customHeight="1" x14ac:dyDescent="0.25">
      <c r="A318" s="11" t="s">
        <v>484</v>
      </c>
      <c r="B318" s="11">
        <v>444801</v>
      </c>
      <c r="C318" s="11" t="s">
        <v>990</v>
      </c>
      <c r="D318" s="11" t="s">
        <v>496</v>
      </c>
      <c r="E318" s="12">
        <v>500</v>
      </c>
      <c r="F318" s="13">
        <v>7500</v>
      </c>
      <c r="G318" s="12">
        <v>3750000</v>
      </c>
      <c r="H318" s="11" t="s">
        <v>411</v>
      </c>
    </row>
    <row r="319" spans="1:8" ht="15" customHeight="1" x14ac:dyDescent="0.25">
      <c r="A319" s="11" t="s">
        <v>484</v>
      </c>
      <c r="B319" s="11">
        <v>444802</v>
      </c>
      <c r="C319" s="11" t="s">
        <v>991</v>
      </c>
      <c r="D319" s="11" t="s">
        <v>496</v>
      </c>
      <c r="E319" s="12">
        <v>150</v>
      </c>
      <c r="F319" s="13">
        <v>37200</v>
      </c>
      <c r="G319" s="12">
        <v>5580000</v>
      </c>
      <c r="H319" s="11" t="s">
        <v>359</v>
      </c>
    </row>
    <row r="320" spans="1:8" ht="15" customHeight="1" x14ac:dyDescent="0.25">
      <c r="A320" s="11" t="s">
        <v>484</v>
      </c>
      <c r="B320" s="11">
        <v>777412</v>
      </c>
      <c r="C320" s="11" t="s">
        <v>992</v>
      </c>
      <c r="D320" s="11" t="s">
        <v>496</v>
      </c>
      <c r="E320" s="12">
        <v>190</v>
      </c>
      <c r="F320" s="13">
        <v>1600</v>
      </c>
      <c r="G320" s="12">
        <v>304000</v>
      </c>
      <c r="H320" s="11" t="s">
        <v>412</v>
      </c>
    </row>
    <row r="321" spans="1:8" ht="15" customHeight="1" x14ac:dyDescent="0.25">
      <c r="A321" s="11" t="s">
        <v>484</v>
      </c>
      <c r="B321" s="11">
        <v>777403</v>
      </c>
      <c r="C321" s="11" t="s">
        <v>993</v>
      </c>
      <c r="D321" s="11" t="s">
        <v>496</v>
      </c>
      <c r="E321" s="12">
        <v>324</v>
      </c>
      <c r="F321" s="13">
        <v>73000</v>
      </c>
      <c r="G321" s="12">
        <v>23652000</v>
      </c>
      <c r="H321" s="11" t="s">
        <v>28</v>
      </c>
    </row>
    <row r="322" spans="1:8" ht="15" customHeight="1" x14ac:dyDescent="0.25">
      <c r="A322" s="11" t="s">
        <v>484</v>
      </c>
      <c r="B322" s="11">
        <v>777405</v>
      </c>
      <c r="C322" s="11" t="s">
        <v>994</v>
      </c>
      <c r="D322" s="11" t="s">
        <v>486</v>
      </c>
      <c r="E322" s="12">
        <v>42800</v>
      </c>
      <c r="F322" s="13">
        <v>75</v>
      </c>
      <c r="G322" s="12">
        <v>3210000</v>
      </c>
      <c r="H322" s="11" t="s">
        <v>413</v>
      </c>
    </row>
    <row r="323" spans="1:8" ht="15" customHeight="1" x14ac:dyDescent="0.25">
      <c r="A323" s="11" t="s">
        <v>484</v>
      </c>
      <c r="B323" s="11">
        <v>777406</v>
      </c>
      <c r="C323" s="11" t="s">
        <v>995</v>
      </c>
      <c r="D323" s="11" t="s">
        <v>486</v>
      </c>
      <c r="E323" s="12">
        <v>42800</v>
      </c>
      <c r="F323" s="13">
        <v>161</v>
      </c>
      <c r="G323" s="12">
        <v>6890800</v>
      </c>
      <c r="H323" s="11" t="s">
        <v>414</v>
      </c>
    </row>
    <row r="324" spans="1:8" ht="15" customHeight="1" x14ac:dyDescent="0.25">
      <c r="A324" s="11" t="s">
        <v>484</v>
      </c>
      <c r="B324" s="11">
        <v>777407</v>
      </c>
      <c r="C324" s="11" t="s">
        <v>996</v>
      </c>
      <c r="D324" s="11" t="s">
        <v>486</v>
      </c>
      <c r="E324" s="12">
        <v>42800</v>
      </c>
      <c r="F324" s="13">
        <v>49</v>
      </c>
      <c r="G324" s="12">
        <v>2097200</v>
      </c>
      <c r="H324" s="11" t="s">
        <v>415</v>
      </c>
    </row>
    <row r="325" spans="1:8" ht="15" customHeight="1" x14ac:dyDescent="0.25">
      <c r="A325" s="11" t="s">
        <v>484</v>
      </c>
      <c r="B325" s="11">
        <v>777408</v>
      </c>
      <c r="C325" s="11" t="s">
        <v>997</v>
      </c>
      <c r="D325" s="11" t="s">
        <v>486</v>
      </c>
      <c r="E325" s="12">
        <v>27500</v>
      </c>
      <c r="F325" s="13">
        <v>44</v>
      </c>
      <c r="G325" s="12">
        <v>1210000</v>
      </c>
      <c r="H325" s="11" t="s">
        <v>416</v>
      </c>
    </row>
    <row r="326" spans="1:8" ht="15" customHeight="1" x14ac:dyDescent="0.25">
      <c r="A326" s="11" t="s">
        <v>484</v>
      </c>
      <c r="B326" s="11">
        <v>777409</v>
      </c>
      <c r="C326" s="11" t="s">
        <v>998</v>
      </c>
      <c r="D326" s="11" t="s">
        <v>486</v>
      </c>
      <c r="E326" s="12">
        <v>21150</v>
      </c>
      <c r="F326" s="13">
        <v>24</v>
      </c>
      <c r="G326" s="12">
        <v>507600</v>
      </c>
      <c r="H326" s="11" t="s">
        <v>101</v>
      </c>
    </row>
    <row r="327" spans="1:8" ht="15" customHeight="1" x14ac:dyDescent="0.25">
      <c r="A327" s="11" t="s">
        <v>484</v>
      </c>
      <c r="B327" s="11">
        <v>777411</v>
      </c>
      <c r="C327" s="11" t="s">
        <v>999</v>
      </c>
      <c r="D327" s="11" t="s">
        <v>496</v>
      </c>
      <c r="E327" s="12">
        <v>882</v>
      </c>
      <c r="F327" s="13">
        <v>0</v>
      </c>
      <c r="G327" s="12">
        <v>0</v>
      </c>
      <c r="H327" s="11" t="s">
        <v>64</v>
      </c>
    </row>
    <row r="328" spans="1:8" ht="15" customHeight="1" x14ac:dyDescent="0.25">
      <c r="A328" s="11" t="s">
        <v>484</v>
      </c>
      <c r="B328" s="11">
        <v>777410</v>
      </c>
      <c r="C328" s="11" t="s">
        <v>1000</v>
      </c>
      <c r="D328" s="11" t="s">
        <v>496</v>
      </c>
      <c r="E328" s="12">
        <v>1134</v>
      </c>
      <c r="F328" s="13">
        <v>90000</v>
      </c>
      <c r="G328" s="12">
        <v>102060000</v>
      </c>
      <c r="H328" s="11" t="s">
        <v>417</v>
      </c>
    </row>
    <row r="329" spans="1:8" ht="15" customHeight="1" x14ac:dyDescent="0.25">
      <c r="A329" s="11" t="s">
        <v>484</v>
      </c>
      <c r="B329" s="11">
        <v>666301</v>
      </c>
      <c r="C329" s="11" t="s">
        <v>1001</v>
      </c>
      <c r="D329" s="11" t="s">
        <v>736</v>
      </c>
      <c r="E329" s="12">
        <v>16000</v>
      </c>
      <c r="F329" s="13">
        <v>307</v>
      </c>
      <c r="G329" s="12">
        <v>4912000</v>
      </c>
      <c r="H329" s="11" t="s">
        <v>418</v>
      </c>
    </row>
    <row r="330" spans="1:8" ht="15" customHeight="1" x14ac:dyDescent="0.25">
      <c r="A330" s="11" t="s">
        <v>484</v>
      </c>
      <c r="B330" s="11">
        <v>666302</v>
      </c>
      <c r="C330" s="11" t="s">
        <v>1002</v>
      </c>
      <c r="D330" s="11" t="s">
        <v>736</v>
      </c>
      <c r="E330" s="12">
        <v>8000</v>
      </c>
      <c r="F330" s="13">
        <v>0</v>
      </c>
      <c r="G330" s="12">
        <v>0</v>
      </c>
      <c r="H330" s="11" t="s">
        <v>1003</v>
      </c>
    </row>
    <row r="331" spans="1:8" ht="15" customHeight="1" x14ac:dyDescent="0.25">
      <c r="A331" s="11" t="s">
        <v>484</v>
      </c>
      <c r="B331" s="11">
        <v>300306</v>
      </c>
      <c r="C331" s="11" t="s">
        <v>1004</v>
      </c>
      <c r="D331" s="11" t="s">
        <v>1005</v>
      </c>
      <c r="E331" s="12">
        <v>48000</v>
      </c>
      <c r="F331" s="13">
        <v>0</v>
      </c>
      <c r="G331" s="12">
        <v>0</v>
      </c>
      <c r="H331" s="11" t="s">
        <v>1006</v>
      </c>
    </row>
    <row r="332" spans="1:8" ht="15" customHeight="1" x14ac:dyDescent="0.25">
      <c r="A332" s="11" t="s">
        <v>484</v>
      </c>
      <c r="B332" s="11">
        <v>444803</v>
      </c>
      <c r="C332" s="11" t="s">
        <v>1007</v>
      </c>
      <c r="D332" s="11" t="s">
        <v>496</v>
      </c>
      <c r="E332" s="12">
        <v>175000</v>
      </c>
      <c r="F332" s="13">
        <v>0</v>
      </c>
      <c r="G332" s="12">
        <v>0</v>
      </c>
      <c r="H332" s="11" t="s">
        <v>1008</v>
      </c>
    </row>
    <row r="333" spans="1:8" ht="15" customHeight="1" x14ac:dyDescent="0.25">
      <c r="A333" s="11" t="s">
        <v>484</v>
      </c>
      <c r="B333" s="11">
        <v>444901</v>
      </c>
      <c r="C333" s="11" t="s">
        <v>1009</v>
      </c>
      <c r="D333" s="11" t="s">
        <v>736</v>
      </c>
      <c r="E333" s="12">
        <v>16000</v>
      </c>
      <c r="F333" s="13">
        <v>0</v>
      </c>
      <c r="G333" s="12">
        <v>0</v>
      </c>
      <c r="H333" s="11" t="s">
        <v>1010</v>
      </c>
    </row>
    <row r="334" spans="1:8" ht="15" customHeight="1" x14ac:dyDescent="0.25">
      <c r="A334" s="11" t="s">
        <v>484</v>
      </c>
      <c r="B334" s="11">
        <v>200106</v>
      </c>
      <c r="C334" s="11" t="s">
        <v>1011</v>
      </c>
      <c r="D334" s="11" t="s">
        <v>486</v>
      </c>
      <c r="E334" s="12">
        <v>60000</v>
      </c>
      <c r="F334" s="13">
        <v>25</v>
      </c>
      <c r="G334" s="12">
        <v>1500000</v>
      </c>
      <c r="H334" s="11" t="s">
        <v>419</v>
      </c>
    </row>
    <row r="335" spans="1:8" ht="15" customHeight="1" x14ac:dyDescent="0.25">
      <c r="A335" s="11" t="s">
        <v>484</v>
      </c>
      <c r="B335" s="11">
        <v>999801</v>
      </c>
      <c r="C335" s="11" t="s">
        <v>1012</v>
      </c>
      <c r="D335" s="11" t="s">
        <v>486</v>
      </c>
      <c r="E335" s="12">
        <v>38923.334000000003</v>
      </c>
      <c r="F335" s="13">
        <v>0</v>
      </c>
      <c r="G335" s="12">
        <v>0</v>
      </c>
      <c r="H335" s="11" t="s">
        <v>1013</v>
      </c>
    </row>
    <row r="336" spans="1:8" ht="15" customHeight="1" x14ac:dyDescent="0.25">
      <c r="A336" s="11" t="s">
        <v>484</v>
      </c>
      <c r="B336" s="11">
        <v>999802</v>
      </c>
      <c r="C336" s="11" t="s">
        <v>1014</v>
      </c>
      <c r="D336" s="11" t="s">
        <v>486</v>
      </c>
      <c r="E336" s="12">
        <v>50000</v>
      </c>
      <c r="F336" s="13">
        <v>0</v>
      </c>
      <c r="G336" s="12">
        <v>0</v>
      </c>
      <c r="H336" s="11" t="s">
        <v>1015</v>
      </c>
    </row>
    <row r="337" spans="1:8" ht="15" customHeight="1" x14ac:dyDescent="0.25">
      <c r="A337" s="11" t="s">
        <v>484</v>
      </c>
      <c r="B337" s="11">
        <v>140701</v>
      </c>
      <c r="C337" s="11" t="s">
        <v>1016</v>
      </c>
      <c r="D337" s="11" t="s">
        <v>486</v>
      </c>
      <c r="E337" s="12">
        <v>33149</v>
      </c>
      <c r="F337" s="13">
        <v>0</v>
      </c>
      <c r="G337" s="12">
        <v>0</v>
      </c>
      <c r="H337" s="11" t="s">
        <v>1017</v>
      </c>
    </row>
    <row r="338" spans="1:8" ht="15" customHeight="1" x14ac:dyDescent="0.25">
      <c r="A338" s="11" t="s">
        <v>484</v>
      </c>
      <c r="B338" s="11">
        <v>140703</v>
      </c>
      <c r="C338" s="11" t="s">
        <v>1018</v>
      </c>
      <c r="D338" s="11" t="s">
        <v>486</v>
      </c>
      <c r="E338" s="12">
        <v>18980</v>
      </c>
      <c r="F338" s="13">
        <v>0</v>
      </c>
      <c r="G338" s="12">
        <v>0</v>
      </c>
      <c r="H338" s="11" t="s">
        <v>1019</v>
      </c>
    </row>
    <row r="339" spans="1:8" ht="15" customHeight="1" x14ac:dyDescent="0.25">
      <c r="A339" s="11" t="s">
        <v>484</v>
      </c>
      <c r="B339" s="11">
        <v>140705</v>
      </c>
      <c r="C339" s="11" t="s">
        <v>1020</v>
      </c>
      <c r="D339" s="11" t="s">
        <v>486</v>
      </c>
      <c r="E339" s="12">
        <v>18980</v>
      </c>
      <c r="F339" s="13">
        <v>0</v>
      </c>
      <c r="G339" s="12">
        <v>0</v>
      </c>
      <c r="H339" s="11" t="s">
        <v>1021</v>
      </c>
    </row>
    <row r="340" spans="1:8" ht="15" customHeight="1" x14ac:dyDescent="0.25">
      <c r="A340" s="11" t="s">
        <v>484</v>
      </c>
      <c r="B340" s="11">
        <v>444902</v>
      </c>
      <c r="C340" s="11" t="s">
        <v>1022</v>
      </c>
      <c r="D340" s="11" t="s">
        <v>642</v>
      </c>
      <c r="E340" s="12">
        <v>11000</v>
      </c>
      <c r="F340" s="13">
        <v>90</v>
      </c>
      <c r="G340" s="12">
        <v>990000</v>
      </c>
      <c r="H340" s="11" t="s">
        <v>67</v>
      </c>
    </row>
    <row r="341" spans="1:8" ht="15" customHeight="1" x14ac:dyDescent="0.25">
      <c r="A341" s="11" t="s">
        <v>484</v>
      </c>
      <c r="B341" s="11">
        <v>110405</v>
      </c>
      <c r="C341" s="11" t="s">
        <v>1023</v>
      </c>
      <c r="D341" s="11" t="s">
        <v>723</v>
      </c>
      <c r="E341" s="12">
        <v>285</v>
      </c>
      <c r="F341" s="13">
        <v>0</v>
      </c>
      <c r="G341" s="12">
        <v>0</v>
      </c>
      <c r="H341" s="11" t="s">
        <v>1024</v>
      </c>
    </row>
    <row r="342" spans="1:8" ht="15" customHeight="1" x14ac:dyDescent="0.25">
      <c r="A342" s="11" t="s">
        <v>484</v>
      </c>
      <c r="B342" s="11">
        <v>300302</v>
      </c>
      <c r="C342" s="11" t="s">
        <v>1025</v>
      </c>
      <c r="D342" s="11" t="s">
        <v>499</v>
      </c>
      <c r="E342" s="12">
        <v>58275</v>
      </c>
      <c r="F342" s="13">
        <v>0</v>
      </c>
      <c r="G342" s="12">
        <v>0</v>
      </c>
      <c r="H342" s="11" t="s">
        <v>1026</v>
      </c>
    </row>
    <row r="343" spans="1:8" ht="15" customHeight="1" x14ac:dyDescent="0.25">
      <c r="A343" s="11" t="s">
        <v>484</v>
      </c>
      <c r="B343" s="11">
        <v>300303</v>
      </c>
      <c r="C343" s="11" t="s">
        <v>1027</v>
      </c>
      <c r="D343" s="11" t="s">
        <v>499</v>
      </c>
      <c r="E343" s="12">
        <v>55250</v>
      </c>
      <c r="F343" s="13">
        <v>0</v>
      </c>
      <c r="G343" s="12">
        <v>0</v>
      </c>
      <c r="H343" s="11" t="s">
        <v>1028</v>
      </c>
    </row>
    <row r="344" spans="1:8" ht="15" customHeight="1" x14ac:dyDescent="0.25">
      <c r="A344" s="11" t="s">
        <v>484</v>
      </c>
      <c r="B344" s="11">
        <v>400112</v>
      </c>
      <c r="C344" s="11" t="s">
        <v>1029</v>
      </c>
      <c r="D344" s="11" t="s">
        <v>486</v>
      </c>
      <c r="E344" s="12">
        <v>29000</v>
      </c>
      <c r="F344" s="13">
        <v>0</v>
      </c>
      <c r="G344" s="12">
        <v>0</v>
      </c>
      <c r="H344" s="11" t="s">
        <v>1030</v>
      </c>
    </row>
    <row r="345" spans="1:8" ht="15" customHeight="1" x14ac:dyDescent="0.25">
      <c r="A345" s="11" t="s">
        <v>484</v>
      </c>
      <c r="B345" s="11">
        <v>900302</v>
      </c>
      <c r="C345" s="11" t="s">
        <v>1031</v>
      </c>
      <c r="D345" s="11" t="s">
        <v>1032</v>
      </c>
      <c r="E345" s="12">
        <v>9375</v>
      </c>
      <c r="F345" s="13">
        <v>0</v>
      </c>
      <c r="G345" s="12">
        <v>0</v>
      </c>
      <c r="H345" s="11" t="s">
        <v>1033</v>
      </c>
    </row>
    <row r="346" spans="1:8" ht="15" customHeight="1" x14ac:dyDescent="0.25">
      <c r="A346" s="11" t="s">
        <v>484</v>
      </c>
      <c r="B346" s="11">
        <v>111901</v>
      </c>
      <c r="C346" s="11" t="s">
        <v>1034</v>
      </c>
      <c r="D346" s="11" t="s">
        <v>496</v>
      </c>
      <c r="E346" s="12">
        <v>18000</v>
      </c>
      <c r="F346" s="13">
        <v>0</v>
      </c>
      <c r="G346" s="12">
        <v>0</v>
      </c>
      <c r="H346" s="11" t="s">
        <v>1035</v>
      </c>
    </row>
    <row r="347" spans="1:8" ht="15" customHeight="1" x14ac:dyDescent="0.25">
      <c r="A347" s="11" t="s">
        <v>484</v>
      </c>
      <c r="B347" s="11">
        <v>444903</v>
      </c>
      <c r="C347" s="11" t="s">
        <v>1036</v>
      </c>
      <c r="D347" s="11" t="s">
        <v>496</v>
      </c>
      <c r="E347" s="12">
        <v>3958</v>
      </c>
      <c r="F347" s="13">
        <v>168</v>
      </c>
      <c r="G347" s="12">
        <v>664944</v>
      </c>
      <c r="H347" s="11" t="s">
        <v>440</v>
      </c>
    </row>
    <row r="348" spans="1:8" ht="15" customHeight="1" x14ac:dyDescent="0.25">
      <c r="A348" s="11" t="s">
        <v>484</v>
      </c>
      <c r="B348" s="11">
        <v>400301</v>
      </c>
      <c r="C348" s="11" t="s">
        <v>1037</v>
      </c>
      <c r="D348" s="11" t="s">
        <v>499</v>
      </c>
      <c r="E348" s="12">
        <v>2573.3333333333298</v>
      </c>
      <c r="F348" s="13">
        <v>0</v>
      </c>
      <c r="G348" s="12">
        <v>0</v>
      </c>
      <c r="H348" s="11" t="s">
        <v>1038</v>
      </c>
    </row>
    <row r="349" spans="1:8" ht="15" customHeight="1" x14ac:dyDescent="0.25">
      <c r="A349" s="11" t="s">
        <v>484</v>
      </c>
      <c r="B349" s="11">
        <v>400302</v>
      </c>
      <c r="C349" s="11" t="s">
        <v>1039</v>
      </c>
      <c r="D349" s="11" t="s">
        <v>499</v>
      </c>
      <c r="E349" s="12">
        <v>4108.5</v>
      </c>
      <c r="F349" s="13">
        <v>0</v>
      </c>
      <c r="G349" s="12">
        <v>0</v>
      </c>
      <c r="H349" s="11" t="s">
        <v>1040</v>
      </c>
    </row>
    <row r="350" spans="1:8" ht="15" customHeight="1" x14ac:dyDescent="0.25">
      <c r="A350" s="11" t="s">
        <v>484</v>
      </c>
      <c r="B350" s="11">
        <v>400303</v>
      </c>
      <c r="C350" s="11" t="s">
        <v>1041</v>
      </c>
      <c r="D350" s="11" t="s">
        <v>499</v>
      </c>
      <c r="E350" s="12">
        <v>12375</v>
      </c>
      <c r="F350" s="13">
        <v>0</v>
      </c>
      <c r="G350" s="12">
        <v>0</v>
      </c>
      <c r="H350" s="11" t="s">
        <v>1042</v>
      </c>
    </row>
    <row r="351" spans="1:8" ht="15" customHeight="1" x14ac:dyDescent="0.25">
      <c r="A351" s="11" t="s">
        <v>484</v>
      </c>
      <c r="B351" s="11">
        <v>140801</v>
      </c>
      <c r="C351" s="11" t="s">
        <v>1043</v>
      </c>
      <c r="D351" s="11" t="s">
        <v>486</v>
      </c>
      <c r="E351" s="12">
        <v>45807.701999999997</v>
      </c>
      <c r="F351" s="13">
        <v>0</v>
      </c>
      <c r="G351" s="12">
        <v>0</v>
      </c>
      <c r="H351" s="11" t="s">
        <v>1044</v>
      </c>
    </row>
    <row r="352" spans="1:8" ht="15" customHeight="1" x14ac:dyDescent="0.25">
      <c r="A352" s="11" t="s">
        <v>484</v>
      </c>
      <c r="B352" s="11">
        <v>140802</v>
      </c>
      <c r="C352" s="11" t="s">
        <v>1045</v>
      </c>
      <c r="D352" s="11" t="s">
        <v>486</v>
      </c>
      <c r="E352" s="12">
        <v>40000</v>
      </c>
      <c r="F352" s="13">
        <v>0</v>
      </c>
      <c r="G352" s="12">
        <v>0</v>
      </c>
      <c r="H352" s="11" t="s">
        <v>1046</v>
      </c>
    </row>
    <row r="353" spans="1:8" ht="15" customHeight="1" x14ac:dyDescent="0.25">
      <c r="A353" s="11" t="s">
        <v>484</v>
      </c>
      <c r="B353" s="11">
        <v>444904</v>
      </c>
      <c r="C353" s="11" t="s">
        <v>1047</v>
      </c>
      <c r="D353" s="11" t="s">
        <v>496</v>
      </c>
      <c r="E353" s="12">
        <v>136</v>
      </c>
      <c r="F353" s="13">
        <v>100</v>
      </c>
      <c r="G353" s="12">
        <v>13600</v>
      </c>
      <c r="H353" s="11" t="s">
        <v>441</v>
      </c>
    </row>
    <row r="354" spans="1:8" ht="15" customHeight="1" x14ac:dyDescent="0.25">
      <c r="A354" s="11" t="s">
        <v>484</v>
      </c>
      <c r="B354" s="11">
        <v>140803</v>
      </c>
      <c r="C354" s="11" t="s">
        <v>1048</v>
      </c>
      <c r="D354" s="11" t="s">
        <v>486</v>
      </c>
      <c r="E354" s="12">
        <v>93333.333333333299</v>
      </c>
      <c r="F354" s="13">
        <v>0</v>
      </c>
      <c r="G354" s="12">
        <v>0</v>
      </c>
      <c r="H354" s="11" t="s">
        <v>1049</v>
      </c>
    </row>
    <row r="355" spans="1:8" ht="15" customHeight="1" x14ac:dyDescent="0.25">
      <c r="A355" s="11" t="s">
        <v>484</v>
      </c>
      <c r="B355" s="11">
        <v>333501</v>
      </c>
      <c r="C355" s="11" t="s">
        <v>1050</v>
      </c>
      <c r="D355" s="11" t="s">
        <v>499</v>
      </c>
      <c r="E355" s="12">
        <v>3000</v>
      </c>
      <c r="F355" s="13">
        <v>0</v>
      </c>
      <c r="G355" s="12">
        <v>0</v>
      </c>
      <c r="H355" s="11" t="s">
        <v>1051</v>
      </c>
    </row>
    <row r="356" spans="1:8" ht="15" customHeight="1" x14ac:dyDescent="0.25">
      <c r="A356" s="11" t="s">
        <v>484</v>
      </c>
      <c r="B356" s="11">
        <v>200119</v>
      </c>
      <c r="C356" s="11" t="s">
        <v>1052</v>
      </c>
      <c r="D356" s="11" t="s">
        <v>486</v>
      </c>
      <c r="E356" s="12">
        <v>8000</v>
      </c>
      <c r="F356" s="13">
        <v>150</v>
      </c>
      <c r="G356" s="12">
        <v>1200000</v>
      </c>
      <c r="H356" s="11" t="s">
        <v>442</v>
      </c>
    </row>
    <row r="357" spans="1:8" ht="15" customHeight="1" x14ac:dyDescent="0.25">
      <c r="A357" s="11" t="s">
        <v>484</v>
      </c>
      <c r="B357" s="11">
        <v>140101</v>
      </c>
      <c r="C357" s="11" t="s">
        <v>1053</v>
      </c>
      <c r="D357" s="11" t="s">
        <v>486</v>
      </c>
      <c r="E357" s="12">
        <v>48500</v>
      </c>
      <c r="F357" s="13">
        <v>0</v>
      </c>
      <c r="G357" s="12">
        <v>0</v>
      </c>
      <c r="H357" s="11" t="s">
        <v>1054</v>
      </c>
    </row>
    <row r="358" spans="1:8" ht="15" customHeight="1" x14ac:dyDescent="0.25">
      <c r="A358" s="11" t="s">
        <v>484</v>
      </c>
      <c r="B358" s="11">
        <v>140804</v>
      </c>
      <c r="C358" s="11" t="s">
        <v>1055</v>
      </c>
      <c r="D358" s="11" t="s">
        <v>486</v>
      </c>
      <c r="E358" s="12">
        <v>36000</v>
      </c>
      <c r="F358" s="13">
        <v>0</v>
      </c>
      <c r="G358" s="12">
        <v>0</v>
      </c>
      <c r="H358" s="11" t="s">
        <v>1056</v>
      </c>
    </row>
    <row r="359" spans="1:8" ht="15" customHeight="1" x14ac:dyDescent="0.25">
      <c r="A359" s="11" t="s">
        <v>484</v>
      </c>
      <c r="B359" s="11">
        <v>400401</v>
      </c>
      <c r="C359" s="11" t="s">
        <v>1057</v>
      </c>
      <c r="D359" s="11" t="s">
        <v>486</v>
      </c>
      <c r="E359" s="12">
        <v>90000</v>
      </c>
      <c r="F359" s="13">
        <v>0</v>
      </c>
      <c r="G359" s="12">
        <v>0</v>
      </c>
      <c r="H359" s="11" t="s">
        <v>1058</v>
      </c>
    </row>
    <row r="360" spans="1:8" ht="15" customHeight="1" x14ac:dyDescent="0.25">
      <c r="A360" s="11" t="s">
        <v>484</v>
      </c>
      <c r="B360" s="11">
        <v>200109</v>
      </c>
      <c r="C360" s="11" t="s">
        <v>1059</v>
      </c>
      <c r="D360" s="11" t="s">
        <v>486</v>
      </c>
      <c r="E360" s="12">
        <v>41800</v>
      </c>
      <c r="F360" s="13">
        <v>0</v>
      </c>
      <c r="G360" s="12">
        <v>0</v>
      </c>
      <c r="H360" s="11" t="s">
        <v>1060</v>
      </c>
    </row>
    <row r="361" spans="1:8" ht="15" customHeight="1" x14ac:dyDescent="0.25">
      <c r="A361" s="11" t="s">
        <v>484</v>
      </c>
      <c r="B361" s="11">
        <v>200110</v>
      </c>
      <c r="C361" s="11" t="s">
        <v>1061</v>
      </c>
      <c r="D361" s="11" t="s">
        <v>486</v>
      </c>
      <c r="E361" s="12">
        <v>32400</v>
      </c>
      <c r="F361" s="13">
        <v>25</v>
      </c>
      <c r="G361" s="12">
        <v>810000</v>
      </c>
      <c r="H361" s="11" t="s">
        <v>443</v>
      </c>
    </row>
    <row r="362" spans="1:8" ht="15" customHeight="1" x14ac:dyDescent="0.25">
      <c r="A362" s="11" t="s">
        <v>484</v>
      </c>
      <c r="B362" s="11">
        <v>333502</v>
      </c>
      <c r="C362" s="11" t="s">
        <v>1062</v>
      </c>
      <c r="D362" s="11" t="s">
        <v>499</v>
      </c>
      <c r="E362" s="12">
        <v>180</v>
      </c>
      <c r="F362" s="13">
        <v>10000</v>
      </c>
      <c r="G362" s="12">
        <v>1800000</v>
      </c>
      <c r="H362" s="11" t="s">
        <v>444</v>
      </c>
    </row>
    <row r="363" spans="1:8" ht="15" customHeight="1" x14ac:dyDescent="0.25">
      <c r="A363" s="11" t="s">
        <v>484</v>
      </c>
      <c r="B363" s="11">
        <v>333503</v>
      </c>
      <c r="C363" s="11" t="s">
        <v>1063</v>
      </c>
      <c r="D363" s="11" t="s">
        <v>499</v>
      </c>
      <c r="E363" s="12">
        <v>69</v>
      </c>
      <c r="F363" s="13">
        <v>57600</v>
      </c>
      <c r="G363" s="12">
        <v>3974400</v>
      </c>
      <c r="H363" s="11" t="s">
        <v>445</v>
      </c>
    </row>
    <row r="364" spans="1:8" ht="15" customHeight="1" x14ac:dyDescent="0.25">
      <c r="A364" s="11" t="s">
        <v>484</v>
      </c>
      <c r="B364" s="11">
        <v>333504</v>
      </c>
      <c r="C364" s="11" t="s">
        <v>1064</v>
      </c>
      <c r="D364" s="11" t="s">
        <v>499</v>
      </c>
      <c r="E364" s="12">
        <v>200</v>
      </c>
      <c r="F364" s="13">
        <v>1800</v>
      </c>
      <c r="G364" s="12">
        <v>360000</v>
      </c>
      <c r="H364" s="11" t="s">
        <v>446</v>
      </c>
    </row>
    <row r="365" spans="1:8" ht="15" customHeight="1" x14ac:dyDescent="0.25">
      <c r="A365" s="11" t="s">
        <v>484</v>
      </c>
      <c r="B365" s="11">
        <v>333505</v>
      </c>
      <c r="C365" s="11" t="s">
        <v>1065</v>
      </c>
      <c r="D365" s="11" t="s">
        <v>499</v>
      </c>
      <c r="E365" s="12">
        <v>73</v>
      </c>
      <c r="F365" s="13">
        <v>0</v>
      </c>
      <c r="G365" s="12">
        <v>0</v>
      </c>
      <c r="H365" s="11" t="s">
        <v>1066</v>
      </c>
    </row>
    <row r="366" spans="1:8" ht="15" customHeight="1" x14ac:dyDescent="0.25">
      <c r="A366" s="11" t="s">
        <v>484</v>
      </c>
      <c r="B366" s="11">
        <v>300401</v>
      </c>
      <c r="C366" s="11" t="s">
        <v>1067</v>
      </c>
      <c r="D366" s="11" t="s">
        <v>496</v>
      </c>
      <c r="E366" s="12">
        <v>19447.916666666701</v>
      </c>
      <c r="F366" s="13">
        <v>14</v>
      </c>
      <c r="G366" s="12">
        <v>272270.83333333302</v>
      </c>
      <c r="H366" s="11" t="s">
        <v>114</v>
      </c>
    </row>
    <row r="367" spans="1:8" ht="15" customHeight="1" x14ac:dyDescent="0.25">
      <c r="A367" s="11" t="s">
        <v>484</v>
      </c>
      <c r="B367" s="11">
        <v>900307</v>
      </c>
      <c r="C367" s="11" t="s">
        <v>1068</v>
      </c>
      <c r="D367" s="11" t="s">
        <v>1069</v>
      </c>
      <c r="E367" s="12">
        <v>95000</v>
      </c>
      <c r="F367" s="13">
        <v>0</v>
      </c>
      <c r="G367" s="12">
        <v>0</v>
      </c>
      <c r="H367" s="11" t="s">
        <v>1070</v>
      </c>
    </row>
    <row r="368" spans="1:8" ht="15" customHeight="1" x14ac:dyDescent="0.25">
      <c r="A368" s="11" t="s">
        <v>484</v>
      </c>
      <c r="B368" s="11">
        <v>900303</v>
      </c>
      <c r="C368" s="11" t="s">
        <v>1071</v>
      </c>
      <c r="D368" s="11" t="s">
        <v>1072</v>
      </c>
      <c r="E368" s="12">
        <v>72700</v>
      </c>
      <c r="F368" s="13">
        <v>0</v>
      </c>
      <c r="G368" s="12">
        <v>0</v>
      </c>
      <c r="H368" s="11" t="s">
        <v>1073</v>
      </c>
    </row>
    <row r="369" spans="1:8" ht="15" customHeight="1" x14ac:dyDescent="0.25">
      <c r="A369" s="11" t="s">
        <v>484</v>
      </c>
      <c r="B369" s="11">
        <v>120107</v>
      </c>
      <c r="C369" s="11" t="s">
        <v>1074</v>
      </c>
      <c r="D369" s="11" t="s">
        <v>486</v>
      </c>
      <c r="E369" s="12">
        <v>28200</v>
      </c>
      <c r="F369" s="13">
        <v>0</v>
      </c>
      <c r="G369" s="12">
        <v>0</v>
      </c>
      <c r="H369" s="11" t="s">
        <v>1075</v>
      </c>
    </row>
    <row r="370" spans="1:8" ht="15" customHeight="1" x14ac:dyDescent="0.25">
      <c r="A370" s="11" t="s">
        <v>484</v>
      </c>
      <c r="B370" s="11">
        <v>120101</v>
      </c>
      <c r="C370" s="11" t="s">
        <v>1076</v>
      </c>
      <c r="D370" s="11" t="s">
        <v>486</v>
      </c>
      <c r="E370" s="12">
        <v>33600</v>
      </c>
      <c r="F370" s="13">
        <v>375</v>
      </c>
      <c r="G370" s="12">
        <v>12600000</v>
      </c>
      <c r="H370" s="11" t="s">
        <v>447</v>
      </c>
    </row>
    <row r="371" spans="1:8" ht="15" customHeight="1" x14ac:dyDescent="0.25">
      <c r="A371" s="11" t="s">
        <v>484</v>
      </c>
      <c r="B371" s="11">
        <v>120102</v>
      </c>
      <c r="C371" s="11" t="s">
        <v>1077</v>
      </c>
      <c r="D371" s="11" t="s">
        <v>642</v>
      </c>
      <c r="E371" s="12">
        <v>20526.315789473701</v>
      </c>
      <c r="F371" s="13">
        <v>1014.6</v>
      </c>
      <c r="G371" s="12">
        <v>20826000</v>
      </c>
      <c r="H371" s="11" t="s">
        <v>166</v>
      </c>
    </row>
    <row r="372" spans="1:8" ht="15" customHeight="1" x14ac:dyDescent="0.25">
      <c r="A372" s="11" t="s">
        <v>484</v>
      </c>
      <c r="B372" s="11">
        <v>120103</v>
      </c>
      <c r="C372" s="11" t="s">
        <v>1078</v>
      </c>
      <c r="D372" s="11" t="s">
        <v>542</v>
      </c>
      <c r="E372" s="12">
        <v>16041.666666666701</v>
      </c>
      <c r="F372" s="13">
        <v>0</v>
      </c>
      <c r="G372" s="12">
        <v>0</v>
      </c>
      <c r="H372" s="11" t="s">
        <v>1079</v>
      </c>
    </row>
    <row r="373" spans="1:8" ht="15" customHeight="1" x14ac:dyDescent="0.25">
      <c r="A373" s="11" t="s">
        <v>484</v>
      </c>
      <c r="B373" s="11">
        <v>120118</v>
      </c>
      <c r="C373" s="11" t="s">
        <v>1080</v>
      </c>
      <c r="D373" s="11" t="s">
        <v>499</v>
      </c>
      <c r="E373" s="12">
        <v>11358.333333333299</v>
      </c>
      <c r="F373" s="13">
        <v>0</v>
      </c>
      <c r="G373" s="12">
        <v>0</v>
      </c>
      <c r="H373" s="11" t="s">
        <v>1081</v>
      </c>
    </row>
    <row r="374" spans="1:8" ht="15" customHeight="1" x14ac:dyDescent="0.25">
      <c r="A374" s="11" t="s">
        <v>484</v>
      </c>
      <c r="B374" s="11">
        <v>110407</v>
      </c>
      <c r="C374" s="11" t="s">
        <v>1082</v>
      </c>
      <c r="D374" s="11" t="s">
        <v>723</v>
      </c>
      <c r="E374" s="12">
        <v>285</v>
      </c>
      <c r="F374" s="13">
        <v>0</v>
      </c>
      <c r="G374" s="12">
        <v>0</v>
      </c>
      <c r="H374" s="11" t="s">
        <v>1083</v>
      </c>
    </row>
    <row r="375" spans="1:8" ht="15" customHeight="1" x14ac:dyDescent="0.25">
      <c r="A375" s="11" t="s">
        <v>484</v>
      </c>
      <c r="B375" s="11">
        <v>222201</v>
      </c>
      <c r="C375" s="11" t="s">
        <v>1084</v>
      </c>
      <c r="D375" s="11" t="s">
        <v>499</v>
      </c>
      <c r="E375" s="12">
        <v>1500</v>
      </c>
      <c r="F375" s="13">
        <v>276</v>
      </c>
      <c r="G375" s="12">
        <v>414000</v>
      </c>
      <c r="H375" s="11" t="s">
        <v>456</v>
      </c>
    </row>
    <row r="376" spans="1:8" ht="15" customHeight="1" x14ac:dyDescent="0.25">
      <c r="A376" s="11" t="s">
        <v>484</v>
      </c>
      <c r="B376" s="11">
        <v>222202</v>
      </c>
      <c r="C376" s="11" t="s">
        <v>1085</v>
      </c>
      <c r="D376" s="11" t="s">
        <v>499</v>
      </c>
      <c r="E376" s="12">
        <v>1416.6666666666699</v>
      </c>
      <c r="F376" s="13">
        <v>2820</v>
      </c>
      <c r="G376" s="12">
        <v>3995000</v>
      </c>
      <c r="H376" s="11" t="s">
        <v>155</v>
      </c>
    </row>
    <row r="377" spans="1:8" ht="15" customHeight="1" x14ac:dyDescent="0.25">
      <c r="A377" s="11" t="s">
        <v>484</v>
      </c>
      <c r="B377" s="11">
        <v>222203</v>
      </c>
      <c r="C377" s="11" t="s">
        <v>1086</v>
      </c>
      <c r="D377" s="11" t="s">
        <v>499</v>
      </c>
      <c r="E377" s="12">
        <v>1916.6666666666699</v>
      </c>
      <c r="F377" s="13">
        <v>0</v>
      </c>
      <c r="G377" s="12">
        <v>0</v>
      </c>
      <c r="H377" s="11" t="s">
        <v>1087</v>
      </c>
    </row>
    <row r="378" spans="1:8" ht="15" customHeight="1" x14ac:dyDescent="0.25">
      <c r="A378" s="11" t="s">
        <v>484</v>
      </c>
      <c r="B378" s="11">
        <v>222204</v>
      </c>
      <c r="C378" s="11" t="s">
        <v>1088</v>
      </c>
      <c r="D378" s="11" t="s">
        <v>499</v>
      </c>
      <c r="E378" s="12">
        <v>1916.6666666666699</v>
      </c>
      <c r="F378" s="13">
        <v>2460</v>
      </c>
      <c r="G378" s="12">
        <v>4715000</v>
      </c>
      <c r="H378" s="11" t="s">
        <v>156</v>
      </c>
    </row>
    <row r="379" spans="1:8" ht="15" customHeight="1" x14ac:dyDescent="0.25">
      <c r="A379" s="11" t="s">
        <v>484</v>
      </c>
      <c r="B379" s="11">
        <v>130301</v>
      </c>
      <c r="C379" s="11" t="s">
        <v>1089</v>
      </c>
      <c r="D379" s="11" t="s">
        <v>486</v>
      </c>
      <c r="E379" s="12">
        <v>67710</v>
      </c>
      <c r="F379" s="13">
        <v>0</v>
      </c>
      <c r="G379" s="12">
        <v>0</v>
      </c>
      <c r="H379" s="11" t="s">
        <v>1090</v>
      </c>
    </row>
    <row r="380" spans="1:8" ht="15" customHeight="1" x14ac:dyDescent="0.25">
      <c r="A380" s="11" t="s">
        <v>484</v>
      </c>
      <c r="B380" s="11">
        <v>130302</v>
      </c>
      <c r="C380" s="11" t="s">
        <v>1091</v>
      </c>
      <c r="D380" s="11" t="s">
        <v>486</v>
      </c>
      <c r="E380" s="12">
        <v>44000</v>
      </c>
      <c r="F380" s="13">
        <v>0</v>
      </c>
      <c r="G380" s="12">
        <v>0</v>
      </c>
      <c r="H380" s="11" t="s">
        <v>1092</v>
      </c>
    </row>
    <row r="381" spans="1:8" ht="15" customHeight="1" x14ac:dyDescent="0.25">
      <c r="A381" s="11" t="s">
        <v>484</v>
      </c>
      <c r="B381" s="11">
        <v>130303</v>
      </c>
      <c r="C381" s="11" t="s">
        <v>1093</v>
      </c>
      <c r="D381" s="11" t="s">
        <v>486</v>
      </c>
      <c r="E381" s="12">
        <v>8400</v>
      </c>
      <c r="F381" s="13">
        <v>0</v>
      </c>
      <c r="G381" s="12">
        <v>0</v>
      </c>
      <c r="H381" s="11" t="s">
        <v>1094</v>
      </c>
    </row>
    <row r="382" spans="1:8" ht="15" customHeight="1" x14ac:dyDescent="0.25">
      <c r="A382" s="11" t="s">
        <v>484</v>
      </c>
      <c r="B382" s="11">
        <v>130316</v>
      </c>
      <c r="C382" s="11" t="s">
        <v>1095</v>
      </c>
      <c r="D382" s="11" t="s">
        <v>486</v>
      </c>
      <c r="E382" s="12">
        <v>34000</v>
      </c>
      <c r="F382" s="13">
        <v>0</v>
      </c>
      <c r="G382" s="12">
        <v>0</v>
      </c>
      <c r="H382" s="11" t="s">
        <v>1096</v>
      </c>
    </row>
    <row r="383" spans="1:8" ht="15" customHeight="1" x14ac:dyDescent="0.25">
      <c r="A383" s="11" t="s">
        <v>484</v>
      </c>
      <c r="B383" s="11">
        <v>130304</v>
      </c>
      <c r="C383" s="11" t="s">
        <v>1097</v>
      </c>
      <c r="D383" s="11" t="s">
        <v>486</v>
      </c>
      <c r="E383" s="12">
        <v>19500</v>
      </c>
      <c r="F383" s="13">
        <v>0</v>
      </c>
      <c r="G383" s="12">
        <v>0</v>
      </c>
      <c r="H383" s="11" t="s">
        <v>1098</v>
      </c>
    </row>
    <row r="384" spans="1:8" ht="15" customHeight="1" x14ac:dyDescent="0.25">
      <c r="A384" s="11" t="s">
        <v>484</v>
      </c>
      <c r="B384" s="11">
        <v>130305</v>
      </c>
      <c r="C384" s="11" t="s">
        <v>1099</v>
      </c>
      <c r="D384" s="11" t="s">
        <v>486</v>
      </c>
      <c r="E384" s="12">
        <v>56499</v>
      </c>
      <c r="F384" s="13">
        <v>350</v>
      </c>
      <c r="G384" s="12">
        <v>19774650</v>
      </c>
      <c r="H384" s="11" t="s">
        <v>458</v>
      </c>
    </row>
    <row r="385" spans="1:8" ht="15" customHeight="1" x14ac:dyDescent="0.25">
      <c r="A385" s="11" t="s">
        <v>484</v>
      </c>
      <c r="B385" s="11">
        <v>130306</v>
      </c>
      <c r="C385" s="11" t="s">
        <v>1100</v>
      </c>
      <c r="D385" s="11" t="s">
        <v>486</v>
      </c>
      <c r="E385" s="12">
        <v>48396</v>
      </c>
      <c r="F385" s="13">
        <v>140</v>
      </c>
      <c r="G385" s="12">
        <v>6775440</v>
      </c>
      <c r="H385" s="11" t="s">
        <v>459</v>
      </c>
    </row>
    <row r="386" spans="1:8" ht="15" customHeight="1" x14ac:dyDescent="0.25">
      <c r="A386" s="11" t="s">
        <v>484</v>
      </c>
      <c r="B386" s="11">
        <v>130307</v>
      </c>
      <c r="C386" s="11" t="s">
        <v>1101</v>
      </c>
      <c r="D386" s="11" t="s">
        <v>486</v>
      </c>
      <c r="E386" s="12">
        <v>47175</v>
      </c>
      <c r="F386" s="13">
        <v>0</v>
      </c>
      <c r="G386" s="12">
        <v>0</v>
      </c>
      <c r="H386" s="11" t="s">
        <v>1102</v>
      </c>
    </row>
    <row r="387" spans="1:8" ht="15" customHeight="1" x14ac:dyDescent="0.25">
      <c r="A387" s="11" t="s">
        <v>484</v>
      </c>
      <c r="B387" s="11">
        <v>130308</v>
      </c>
      <c r="C387" s="11" t="s">
        <v>1103</v>
      </c>
      <c r="D387" s="11" t="s">
        <v>486</v>
      </c>
      <c r="E387" s="12">
        <v>41625</v>
      </c>
      <c r="F387" s="13">
        <v>0</v>
      </c>
      <c r="G387" s="12">
        <v>0</v>
      </c>
      <c r="H387" s="11" t="s">
        <v>1104</v>
      </c>
    </row>
    <row r="388" spans="1:8" ht="15" customHeight="1" x14ac:dyDescent="0.25">
      <c r="A388" s="11" t="s">
        <v>484</v>
      </c>
      <c r="B388" s="11">
        <v>130314</v>
      </c>
      <c r="C388" s="11" t="s">
        <v>1105</v>
      </c>
      <c r="D388" s="11" t="s">
        <v>486</v>
      </c>
      <c r="E388" s="12">
        <v>9400</v>
      </c>
      <c r="F388" s="13">
        <v>0</v>
      </c>
      <c r="G388" s="12">
        <v>0</v>
      </c>
      <c r="H388" s="11" t="s">
        <v>1106</v>
      </c>
    </row>
    <row r="389" spans="1:8" ht="15" customHeight="1" x14ac:dyDescent="0.25">
      <c r="A389" s="11" t="s">
        <v>484</v>
      </c>
      <c r="B389" s="11">
        <v>130317</v>
      </c>
      <c r="C389" s="11" t="s">
        <v>1107</v>
      </c>
      <c r="D389" s="11" t="s">
        <v>486</v>
      </c>
      <c r="E389" s="12">
        <v>10200</v>
      </c>
      <c r="F389" s="13">
        <v>0</v>
      </c>
      <c r="G389" s="12">
        <v>0</v>
      </c>
      <c r="H389" s="11" t="s">
        <v>1108</v>
      </c>
    </row>
    <row r="390" spans="1:8" ht="15" customHeight="1" x14ac:dyDescent="0.25">
      <c r="A390" s="11" t="s">
        <v>484</v>
      </c>
      <c r="B390" s="11">
        <v>130310</v>
      </c>
      <c r="C390" s="11" t="s">
        <v>1109</v>
      </c>
      <c r="D390" s="11" t="s">
        <v>486</v>
      </c>
      <c r="E390" s="12">
        <v>9590.4</v>
      </c>
      <c r="F390" s="13">
        <v>0</v>
      </c>
      <c r="G390" s="12">
        <v>0</v>
      </c>
      <c r="H390" s="11" t="s">
        <v>1110</v>
      </c>
    </row>
    <row r="391" spans="1:8" ht="15" customHeight="1" x14ac:dyDescent="0.25">
      <c r="A391" s="11" t="s">
        <v>484</v>
      </c>
      <c r="B391" s="11">
        <v>130311</v>
      </c>
      <c r="C391" s="11" t="s">
        <v>1111</v>
      </c>
      <c r="D391" s="11" t="s">
        <v>486</v>
      </c>
      <c r="E391" s="12">
        <v>9190.7999999999993</v>
      </c>
      <c r="F391" s="13">
        <v>0</v>
      </c>
      <c r="G391" s="12">
        <v>0</v>
      </c>
      <c r="H391" s="11" t="s">
        <v>1112</v>
      </c>
    </row>
    <row r="392" spans="1:8" ht="15" customHeight="1" x14ac:dyDescent="0.25">
      <c r="A392" s="11" t="s">
        <v>484</v>
      </c>
      <c r="B392" s="11">
        <v>130312</v>
      </c>
      <c r="C392" s="11" t="s">
        <v>1113</v>
      </c>
      <c r="D392" s="11" t="s">
        <v>486</v>
      </c>
      <c r="E392" s="12">
        <v>37900</v>
      </c>
      <c r="F392" s="13">
        <v>20</v>
      </c>
      <c r="G392" s="12">
        <v>758000</v>
      </c>
      <c r="H392" s="11" t="s">
        <v>460</v>
      </c>
    </row>
    <row r="393" spans="1:8" ht="15" customHeight="1" x14ac:dyDescent="0.25">
      <c r="A393" s="11" t="s">
        <v>484</v>
      </c>
      <c r="B393" s="11">
        <v>130315</v>
      </c>
      <c r="C393" s="11" t="s">
        <v>1114</v>
      </c>
      <c r="D393" s="11" t="s">
        <v>486</v>
      </c>
      <c r="E393" s="12">
        <v>41500</v>
      </c>
      <c r="F393" s="13">
        <v>0</v>
      </c>
      <c r="G393" s="12">
        <v>0</v>
      </c>
      <c r="H393" s="11" t="s">
        <v>1115</v>
      </c>
    </row>
    <row r="394" spans="1:8" ht="15" customHeight="1" x14ac:dyDescent="0.25">
      <c r="A394" s="11" t="s">
        <v>484</v>
      </c>
      <c r="B394" s="11">
        <v>130313</v>
      </c>
      <c r="C394" s="11" t="s">
        <v>1116</v>
      </c>
      <c r="D394" s="11" t="s">
        <v>486</v>
      </c>
      <c r="E394" s="12">
        <v>56408.2</v>
      </c>
      <c r="F394" s="13">
        <v>0</v>
      </c>
      <c r="G394" s="12">
        <v>0</v>
      </c>
      <c r="H394" s="11" t="s">
        <v>1117</v>
      </c>
    </row>
    <row r="395" spans="1:8" ht="15" customHeight="1" x14ac:dyDescent="0.25">
      <c r="A395" s="11" t="s">
        <v>484</v>
      </c>
      <c r="B395" s="11">
        <v>666401</v>
      </c>
      <c r="C395" s="11" t="s">
        <v>1118</v>
      </c>
      <c r="D395" s="11" t="s">
        <v>871</v>
      </c>
      <c r="E395" s="12">
        <v>820</v>
      </c>
      <c r="F395" s="13">
        <v>475</v>
      </c>
      <c r="G395" s="12">
        <v>389500</v>
      </c>
      <c r="H395" s="11" t="s">
        <v>461</v>
      </c>
    </row>
    <row r="396" spans="1:8" ht="15" customHeight="1" x14ac:dyDescent="0.25">
      <c r="A396" s="11" t="s">
        <v>484</v>
      </c>
      <c r="B396" s="11">
        <v>666402</v>
      </c>
      <c r="C396" s="11" t="s">
        <v>1119</v>
      </c>
      <c r="D396" s="11" t="s">
        <v>871</v>
      </c>
      <c r="E396" s="12">
        <v>920</v>
      </c>
      <c r="F396" s="13">
        <v>0</v>
      </c>
      <c r="G396" s="12">
        <v>0</v>
      </c>
      <c r="H396" s="11" t="s">
        <v>1120</v>
      </c>
    </row>
    <row r="397" spans="1:8" ht="15" customHeight="1" x14ac:dyDescent="0.25">
      <c r="A397" s="11" t="s">
        <v>484</v>
      </c>
      <c r="B397" s="11">
        <v>900304</v>
      </c>
      <c r="C397" s="11" t="s">
        <v>1121</v>
      </c>
      <c r="D397" s="11" t="s">
        <v>486</v>
      </c>
      <c r="E397" s="12">
        <v>149000</v>
      </c>
      <c r="F397" s="13">
        <v>0</v>
      </c>
      <c r="G397" s="12">
        <v>0</v>
      </c>
      <c r="H397" s="11" t="s">
        <v>1122</v>
      </c>
    </row>
    <row r="398" spans="1:8" ht="15" customHeight="1" x14ac:dyDescent="0.25">
      <c r="A398" s="11" t="s">
        <v>484</v>
      </c>
      <c r="B398" s="11">
        <v>900305</v>
      </c>
      <c r="C398" s="11" t="s">
        <v>1123</v>
      </c>
      <c r="D398" s="11" t="s">
        <v>736</v>
      </c>
      <c r="E398" s="12">
        <v>120000</v>
      </c>
      <c r="F398" s="13">
        <v>0</v>
      </c>
      <c r="G398" s="12">
        <v>0</v>
      </c>
      <c r="H398" s="11" t="s">
        <v>1124</v>
      </c>
    </row>
    <row r="399" spans="1:8" ht="15" customHeight="1" x14ac:dyDescent="0.25">
      <c r="A399" s="11" t="s">
        <v>484</v>
      </c>
      <c r="B399" s="11">
        <v>111902</v>
      </c>
      <c r="C399" s="11" t="s">
        <v>1125</v>
      </c>
      <c r="D399" s="11" t="s">
        <v>496</v>
      </c>
      <c r="E399" s="12">
        <v>9000</v>
      </c>
      <c r="F399" s="13">
        <v>0</v>
      </c>
      <c r="G399" s="12">
        <v>0</v>
      </c>
      <c r="H399" s="11" t="s">
        <v>1126</v>
      </c>
    </row>
    <row r="400" spans="1:8" ht="15" customHeight="1" x14ac:dyDescent="0.25">
      <c r="A400" s="11" t="s">
        <v>484</v>
      </c>
      <c r="B400" s="11">
        <v>200120</v>
      </c>
      <c r="C400" s="11" t="s">
        <v>1127</v>
      </c>
      <c r="D400" s="11" t="s">
        <v>486</v>
      </c>
      <c r="E400" s="12">
        <v>188000</v>
      </c>
      <c r="F400" s="13">
        <v>72</v>
      </c>
      <c r="G400" s="12">
        <v>13536000</v>
      </c>
      <c r="H400" s="11" t="s">
        <v>473</v>
      </c>
    </row>
    <row r="401" spans="1:8" ht="15" customHeight="1" x14ac:dyDescent="0.25">
      <c r="A401" s="11" t="s">
        <v>484</v>
      </c>
      <c r="B401" s="11">
        <v>900306</v>
      </c>
      <c r="C401" s="11" t="s">
        <v>1128</v>
      </c>
      <c r="D401" s="11" t="s">
        <v>499</v>
      </c>
      <c r="E401" s="12">
        <v>15540</v>
      </c>
      <c r="F401" s="13">
        <v>33</v>
      </c>
      <c r="G401" s="12">
        <v>512820</v>
      </c>
      <c r="H401" s="11" t="s">
        <v>474</v>
      </c>
    </row>
    <row r="402" spans="1:8" ht="15" customHeight="1" x14ac:dyDescent="0.25">
      <c r="A402" s="11" t="s">
        <v>484</v>
      </c>
      <c r="B402" s="11">
        <v>200111</v>
      </c>
      <c r="C402" s="11" t="s">
        <v>1129</v>
      </c>
      <c r="D402" s="11" t="s">
        <v>499</v>
      </c>
      <c r="E402" s="12">
        <v>6611.1111111111104</v>
      </c>
      <c r="F402" s="13">
        <v>288</v>
      </c>
      <c r="G402" s="12">
        <v>1904000</v>
      </c>
      <c r="H402" s="11" t="s">
        <v>171</v>
      </c>
    </row>
    <row r="403" spans="1:8" ht="15" customHeight="1" x14ac:dyDescent="0.25">
      <c r="A403" s="11" t="s">
        <v>484</v>
      </c>
      <c r="B403" s="11">
        <v>140901</v>
      </c>
      <c r="C403" s="11" t="s">
        <v>1130</v>
      </c>
      <c r="D403" s="11" t="s">
        <v>486</v>
      </c>
      <c r="E403" s="12">
        <v>36000</v>
      </c>
      <c r="F403" s="13">
        <v>0</v>
      </c>
      <c r="G403" s="12">
        <v>0</v>
      </c>
      <c r="H403" s="11" t="s">
        <v>1131</v>
      </c>
    </row>
    <row r="404" spans="1:8" ht="15" customHeight="1" x14ac:dyDescent="0.25">
      <c r="A404" s="11" t="s">
        <v>484</v>
      </c>
      <c r="B404" s="11">
        <v>900401</v>
      </c>
      <c r="C404" s="11" t="s">
        <v>1132</v>
      </c>
      <c r="D404" s="11" t="s">
        <v>642</v>
      </c>
      <c r="E404" s="12">
        <v>155000</v>
      </c>
      <c r="F404" s="13">
        <v>0</v>
      </c>
      <c r="G404" s="12">
        <v>0</v>
      </c>
      <c r="H404" s="11" t="s">
        <v>1133</v>
      </c>
    </row>
    <row r="405" spans="1:8" ht="15" customHeight="1" x14ac:dyDescent="0.25">
      <c r="A405" s="11" t="s">
        <v>484</v>
      </c>
      <c r="B405" s="11">
        <v>900402</v>
      </c>
      <c r="C405" s="11" t="s">
        <v>1134</v>
      </c>
      <c r="D405" s="11" t="s">
        <v>642</v>
      </c>
      <c r="E405" s="12">
        <v>155000</v>
      </c>
      <c r="F405" s="13">
        <v>0</v>
      </c>
      <c r="G405" s="12">
        <v>0</v>
      </c>
      <c r="H405" s="11" t="s">
        <v>1135</v>
      </c>
    </row>
    <row r="406" spans="1:8" ht="15" customHeight="1" x14ac:dyDescent="0.25">
      <c r="A406" s="11" t="s">
        <v>484</v>
      </c>
      <c r="B406" s="11">
        <v>900403</v>
      </c>
      <c r="C406" s="11" t="s">
        <v>1136</v>
      </c>
      <c r="D406" s="11" t="s">
        <v>642</v>
      </c>
      <c r="E406" s="12">
        <v>155000</v>
      </c>
      <c r="F406" s="13">
        <v>0</v>
      </c>
      <c r="G406" s="12">
        <v>0</v>
      </c>
      <c r="H406" s="11" t="s">
        <v>1137</v>
      </c>
    </row>
    <row r="407" spans="1:8" ht="15" customHeight="1" x14ac:dyDescent="0.25">
      <c r="A407" s="11" t="s">
        <v>484</v>
      </c>
      <c r="B407" s="11">
        <v>900404</v>
      </c>
      <c r="C407" s="11" t="s">
        <v>1138</v>
      </c>
      <c r="D407" s="11" t="s">
        <v>642</v>
      </c>
      <c r="E407" s="12">
        <v>155000</v>
      </c>
      <c r="F407" s="13">
        <v>0</v>
      </c>
      <c r="G407" s="12">
        <v>0</v>
      </c>
      <c r="H407" s="11" t="s">
        <v>1139</v>
      </c>
    </row>
    <row r="408" spans="1:8" ht="15" customHeight="1" x14ac:dyDescent="0.25">
      <c r="A408" s="11" t="s">
        <v>484</v>
      </c>
      <c r="B408" s="11">
        <v>900405</v>
      </c>
      <c r="C408" s="11" t="s">
        <v>1140</v>
      </c>
      <c r="D408" s="11" t="s">
        <v>642</v>
      </c>
      <c r="E408" s="12">
        <v>155000</v>
      </c>
      <c r="F408" s="13">
        <v>0</v>
      </c>
      <c r="G408" s="12">
        <v>0</v>
      </c>
      <c r="H408" s="11" t="s">
        <v>1141</v>
      </c>
    </row>
    <row r="409" spans="1:8" ht="15" customHeight="1" x14ac:dyDescent="0.25">
      <c r="A409" s="11" t="s">
        <v>484</v>
      </c>
      <c r="B409" s="11">
        <v>900406</v>
      </c>
      <c r="C409" s="11" t="s">
        <v>1142</v>
      </c>
      <c r="D409" s="11" t="s">
        <v>642</v>
      </c>
      <c r="E409" s="12">
        <v>155000</v>
      </c>
      <c r="F409" s="13">
        <v>0</v>
      </c>
      <c r="G409" s="12">
        <v>0</v>
      </c>
      <c r="H409" s="11" t="s">
        <v>1143</v>
      </c>
    </row>
    <row r="410" spans="1:8" ht="15" customHeight="1" x14ac:dyDescent="0.25">
      <c r="A410" s="11" t="s">
        <v>484</v>
      </c>
      <c r="B410" s="11">
        <v>900407</v>
      </c>
      <c r="C410" s="11" t="s">
        <v>1144</v>
      </c>
      <c r="D410" s="11" t="s">
        <v>642</v>
      </c>
      <c r="E410" s="12">
        <v>155000</v>
      </c>
      <c r="F410" s="13">
        <v>0</v>
      </c>
      <c r="G410" s="12">
        <v>0</v>
      </c>
      <c r="H410" s="11" t="s">
        <v>1145</v>
      </c>
    </row>
    <row r="411" spans="1:8" ht="15" customHeight="1" x14ac:dyDescent="0.25">
      <c r="A411" s="11" t="s">
        <v>484</v>
      </c>
      <c r="B411" s="11">
        <v>900408</v>
      </c>
      <c r="C411" s="11" t="s">
        <v>1146</v>
      </c>
      <c r="D411" s="11" t="s">
        <v>642</v>
      </c>
      <c r="E411" s="12">
        <v>155000</v>
      </c>
      <c r="F411" s="13">
        <v>0</v>
      </c>
      <c r="G411" s="12">
        <v>0</v>
      </c>
      <c r="H411" s="11" t="s">
        <v>1147</v>
      </c>
    </row>
    <row r="412" spans="1:8" ht="15" customHeight="1" x14ac:dyDescent="0.25">
      <c r="A412" s="11" t="s">
        <v>484</v>
      </c>
      <c r="B412" s="11">
        <v>400602</v>
      </c>
      <c r="C412" s="11" t="s">
        <v>1148</v>
      </c>
      <c r="D412" s="11" t="s">
        <v>486</v>
      </c>
      <c r="E412" s="12">
        <v>62160</v>
      </c>
      <c r="F412" s="13">
        <v>0</v>
      </c>
      <c r="G412" s="12">
        <v>0</v>
      </c>
      <c r="H412" s="11" t="s">
        <v>1149</v>
      </c>
    </row>
    <row r="413" spans="1:8" ht="15" customHeight="1" x14ac:dyDescent="0.25">
      <c r="A413" s="11" t="s">
        <v>484</v>
      </c>
      <c r="B413" s="11">
        <v>400601</v>
      </c>
      <c r="C413" s="11" t="s">
        <v>1150</v>
      </c>
      <c r="D413" s="11" t="s">
        <v>486</v>
      </c>
      <c r="E413" s="12">
        <v>55000</v>
      </c>
      <c r="F413" s="13">
        <v>0</v>
      </c>
      <c r="G413" s="12">
        <v>0</v>
      </c>
      <c r="H413" s="11" t="s">
        <v>1151</v>
      </c>
    </row>
    <row r="414" spans="1:8" ht="15" customHeight="1" x14ac:dyDescent="0.25">
      <c r="A414" s="11" t="s">
        <v>484</v>
      </c>
      <c r="B414" s="11">
        <v>900501</v>
      </c>
      <c r="C414" s="11" t="s">
        <v>1152</v>
      </c>
      <c r="D414" s="11" t="s">
        <v>486</v>
      </c>
      <c r="E414" s="12">
        <v>98000</v>
      </c>
      <c r="F414" s="13">
        <v>108</v>
      </c>
      <c r="G414" s="12">
        <v>10584000</v>
      </c>
      <c r="H414" s="11" t="s">
        <v>476</v>
      </c>
    </row>
    <row r="415" spans="1:8" ht="15" customHeight="1" x14ac:dyDescent="0.25">
      <c r="A415" s="11" t="s">
        <v>484</v>
      </c>
      <c r="B415" s="11">
        <v>700105</v>
      </c>
      <c r="C415" s="11" t="s">
        <v>1153</v>
      </c>
      <c r="D415" s="11" t="s">
        <v>486</v>
      </c>
      <c r="E415" s="12">
        <v>54922.875</v>
      </c>
      <c r="F415" s="13">
        <v>80</v>
      </c>
      <c r="G415" s="12">
        <v>4393830</v>
      </c>
      <c r="H415" s="11" t="s">
        <v>477</v>
      </c>
    </row>
    <row r="416" spans="1:8" ht="15" customHeight="1" x14ac:dyDescent="0.25">
      <c r="A416" s="11" t="s">
        <v>484</v>
      </c>
      <c r="B416" s="11">
        <v>300207</v>
      </c>
      <c r="C416" s="11" t="s">
        <v>1154</v>
      </c>
      <c r="D416" s="11" t="s">
        <v>546</v>
      </c>
      <c r="E416" s="12">
        <v>65</v>
      </c>
      <c r="F416" s="13">
        <v>0</v>
      </c>
      <c r="G416" s="12">
        <v>0</v>
      </c>
      <c r="H416" s="11" t="s">
        <v>1155</v>
      </c>
    </row>
    <row r="417" spans="1:8" ht="15" customHeight="1" x14ac:dyDescent="0.25">
      <c r="A417" s="11" t="s">
        <v>484</v>
      </c>
      <c r="B417" s="11">
        <v>333406</v>
      </c>
      <c r="C417" s="11" t="s">
        <v>1156</v>
      </c>
      <c r="D417" s="11" t="s">
        <v>499</v>
      </c>
      <c r="E417" s="12">
        <v>295</v>
      </c>
      <c r="F417" s="13">
        <v>2200</v>
      </c>
      <c r="G417" s="12">
        <v>649000</v>
      </c>
      <c r="H417" s="11" t="s">
        <v>45</v>
      </c>
    </row>
    <row r="418" spans="1:8" ht="15" customHeight="1" x14ac:dyDescent="0.25">
      <c r="A418" s="11" t="s">
        <v>484</v>
      </c>
      <c r="B418" s="11">
        <v>140805</v>
      </c>
      <c r="C418" s="11" t="s">
        <v>1157</v>
      </c>
      <c r="D418" s="11" t="s">
        <v>499</v>
      </c>
      <c r="E418" s="12">
        <v>49350</v>
      </c>
      <c r="F418" s="13">
        <v>19</v>
      </c>
      <c r="G418" s="12">
        <v>937650</v>
      </c>
      <c r="H418" s="11" t="s">
        <v>202</v>
      </c>
    </row>
    <row r="419" spans="1:8" ht="15" customHeight="1" x14ac:dyDescent="0.25">
      <c r="A419" s="11" t="s">
        <v>484</v>
      </c>
      <c r="B419" s="11">
        <v>140806</v>
      </c>
      <c r="C419" s="11" t="s">
        <v>1158</v>
      </c>
      <c r="D419" s="11" t="s">
        <v>499</v>
      </c>
      <c r="E419" s="12">
        <v>67600</v>
      </c>
      <c r="F419" s="13">
        <v>74</v>
      </c>
      <c r="G419" s="12">
        <v>5002400</v>
      </c>
      <c r="H419" s="11" t="s">
        <v>201</v>
      </c>
    </row>
    <row r="420" spans="1:8" ht="15" customHeight="1" x14ac:dyDescent="0.25">
      <c r="A420" s="11" t="s">
        <v>484</v>
      </c>
      <c r="B420" s="11">
        <v>555913</v>
      </c>
      <c r="C420" s="11" t="s">
        <v>1159</v>
      </c>
      <c r="D420" s="11" t="s">
        <v>499</v>
      </c>
      <c r="E420" s="12">
        <v>3050</v>
      </c>
      <c r="F420" s="13">
        <v>21800</v>
      </c>
      <c r="G420" s="12">
        <v>66490000</v>
      </c>
      <c r="H420" s="11" t="s">
        <v>237</v>
      </c>
    </row>
    <row r="421" spans="1:8" ht="15" customHeight="1" x14ac:dyDescent="0.25">
      <c r="A421" s="11" t="s">
        <v>484</v>
      </c>
      <c r="B421" s="11">
        <v>900308</v>
      </c>
      <c r="C421" s="11" t="s">
        <v>1160</v>
      </c>
      <c r="D421" s="11" t="s">
        <v>496</v>
      </c>
      <c r="E421" s="12">
        <v>4166.6666666666697</v>
      </c>
      <c r="F421" s="13">
        <v>0</v>
      </c>
      <c r="G421" s="12">
        <v>0</v>
      </c>
      <c r="H421" s="11" t="s">
        <v>1161</v>
      </c>
    </row>
    <row r="422" spans="1:8" ht="15" customHeight="1" x14ac:dyDescent="0.25">
      <c r="A422" s="11" t="s">
        <v>484</v>
      </c>
      <c r="B422" s="11">
        <v>900309</v>
      </c>
      <c r="C422" s="11" t="s">
        <v>1162</v>
      </c>
      <c r="D422" s="11" t="s">
        <v>496</v>
      </c>
      <c r="E422" s="12">
        <v>3583.3333333333298</v>
      </c>
      <c r="F422" s="13">
        <v>0</v>
      </c>
      <c r="G422" s="12">
        <v>0</v>
      </c>
      <c r="H422" s="11" t="s">
        <v>1163</v>
      </c>
    </row>
    <row r="423" spans="1:8" ht="15" customHeight="1" x14ac:dyDescent="0.25">
      <c r="A423" s="11" t="s">
        <v>484</v>
      </c>
      <c r="B423" s="11">
        <v>900310</v>
      </c>
      <c r="C423" s="11" t="s">
        <v>1164</v>
      </c>
      <c r="D423" s="11" t="s">
        <v>496</v>
      </c>
      <c r="E423" s="12">
        <v>3583.3333333333298</v>
      </c>
      <c r="F423" s="13">
        <v>7</v>
      </c>
      <c r="G423" s="12">
        <v>25083.333333333299</v>
      </c>
      <c r="H423" s="11" t="s">
        <v>176</v>
      </c>
    </row>
    <row r="424" spans="1:8" ht="15" customHeight="1" x14ac:dyDescent="0.25">
      <c r="A424" s="11" t="s">
        <v>484</v>
      </c>
      <c r="B424" s="11">
        <v>900211</v>
      </c>
      <c r="C424" s="11" t="s">
        <v>1165</v>
      </c>
      <c r="D424" s="11" t="s">
        <v>496</v>
      </c>
      <c r="E424" s="12">
        <v>7500</v>
      </c>
      <c r="F424" s="13">
        <v>0</v>
      </c>
      <c r="G424" s="12">
        <v>0</v>
      </c>
      <c r="H424" s="11" t="s">
        <v>1166</v>
      </c>
    </row>
    <row r="425" spans="1:8" ht="15" customHeight="1" x14ac:dyDescent="0.25">
      <c r="A425" s="11" t="s">
        <v>484</v>
      </c>
      <c r="B425" s="11">
        <v>300403</v>
      </c>
      <c r="C425" s="11" t="s">
        <v>1167</v>
      </c>
      <c r="D425" s="11" t="s">
        <v>538</v>
      </c>
      <c r="E425" s="12">
        <v>48000</v>
      </c>
      <c r="F425" s="13">
        <v>0</v>
      </c>
      <c r="G425" s="12">
        <v>0</v>
      </c>
      <c r="H425" s="11" t="s">
        <v>26</v>
      </c>
    </row>
    <row r="426" spans="1:8" ht="15" customHeight="1" x14ac:dyDescent="0.25">
      <c r="A426" s="11" t="s">
        <v>484</v>
      </c>
      <c r="B426" s="11">
        <v>111810</v>
      </c>
      <c r="C426" s="11" t="s">
        <v>1168</v>
      </c>
      <c r="D426" s="11" t="s">
        <v>496</v>
      </c>
      <c r="E426" s="12">
        <v>220000</v>
      </c>
      <c r="F426" s="13">
        <v>0</v>
      </c>
      <c r="G426" s="12">
        <v>0</v>
      </c>
      <c r="H426" s="11" t="s">
        <v>1169</v>
      </c>
    </row>
    <row r="427" spans="1:8" ht="15" customHeight="1" x14ac:dyDescent="0.25">
      <c r="A427" s="11" t="s">
        <v>484</v>
      </c>
      <c r="B427" s="11">
        <v>900212</v>
      </c>
      <c r="C427" s="11" t="s">
        <v>1170</v>
      </c>
      <c r="D427" s="11" t="s">
        <v>496</v>
      </c>
      <c r="E427" s="12">
        <v>7000</v>
      </c>
      <c r="F427" s="13">
        <v>0</v>
      </c>
      <c r="G427" s="12">
        <v>0</v>
      </c>
      <c r="H427" s="11" t="s">
        <v>1171</v>
      </c>
    </row>
    <row r="428" spans="1:8" ht="15" customHeight="1" x14ac:dyDescent="0.25">
      <c r="A428" s="11" t="s">
        <v>484</v>
      </c>
      <c r="B428" s="11">
        <v>900213</v>
      </c>
      <c r="C428" s="11" t="s">
        <v>1172</v>
      </c>
      <c r="D428" s="11" t="s">
        <v>496</v>
      </c>
      <c r="E428" s="12">
        <v>7000</v>
      </c>
      <c r="F428" s="13">
        <v>0</v>
      </c>
      <c r="G428" s="12">
        <v>0</v>
      </c>
      <c r="H428" s="11" t="s">
        <v>1173</v>
      </c>
    </row>
    <row r="429" spans="1:8" ht="15" customHeight="1" x14ac:dyDescent="0.25">
      <c r="A429" s="11" t="s">
        <v>484</v>
      </c>
      <c r="B429" s="11">
        <v>900214</v>
      </c>
      <c r="C429" s="11" t="s">
        <v>1174</v>
      </c>
      <c r="D429" s="11" t="s">
        <v>496</v>
      </c>
      <c r="E429" s="12">
        <v>7000</v>
      </c>
      <c r="F429" s="13">
        <v>0</v>
      </c>
      <c r="G429" s="12">
        <v>0</v>
      </c>
      <c r="H429" s="11" t="s">
        <v>1175</v>
      </c>
    </row>
    <row r="430" spans="1:8" ht="15" customHeight="1" x14ac:dyDescent="0.25">
      <c r="A430" s="11" t="s">
        <v>484</v>
      </c>
      <c r="B430" s="11">
        <v>900311</v>
      </c>
      <c r="C430" s="11" t="s">
        <v>1176</v>
      </c>
      <c r="D430" s="11" t="s">
        <v>496</v>
      </c>
      <c r="E430" s="12">
        <v>4000</v>
      </c>
      <c r="F430" s="13">
        <v>0</v>
      </c>
      <c r="G430" s="12">
        <v>0</v>
      </c>
      <c r="H430" s="11" t="s">
        <v>1177</v>
      </c>
    </row>
    <row r="431" spans="1:8" ht="15" customHeight="1" x14ac:dyDescent="0.25">
      <c r="A431" s="11" t="s">
        <v>484</v>
      </c>
      <c r="B431" s="11">
        <v>900312</v>
      </c>
      <c r="C431" s="11" t="s">
        <v>1178</v>
      </c>
      <c r="D431" s="11" t="s">
        <v>496</v>
      </c>
      <c r="E431" s="12">
        <v>4000</v>
      </c>
      <c r="F431" s="13">
        <v>0</v>
      </c>
      <c r="G431" s="12">
        <v>0</v>
      </c>
      <c r="H431" s="11" t="s">
        <v>1179</v>
      </c>
    </row>
    <row r="432" spans="1:8" ht="15" customHeight="1" x14ac:dyDescent="0.25">
      <c r="A432" s="11" t="s">
        <v>484</v>
      </c>
      <c r="B432" s="11">
        <v>900313</v>
      </c>
      <c r="C432" s="11" t="s">
        <v>1180</v>
      </c>
      <c r="D432" s="11" t="s">
        <v>496</v>
      </c>
      <c r="E432" s="12">
        <v>4000</v>
      </c>
      <c r="F432" s="13">
        <v>0</v>
      </c>
      <c r="G432" s="12">
        <v>0</v>
      </c>
      <c r="H432" s="11" t="s">
        <v>1181</v>
      </c>
    </row>
    <row r="433" spans="1:8" ht="15" customHeight="1" x14ac:dyDescent="0.25">
      <c r="A433" s="11" t="s">
        <v>484</v>
      </c>
      <c r="B433" s="11">
        <v>900215</v>
      </c>
      <c r="C433" s="11" t="s">
        <v>1182</v>
      </c>
      <c r="D433" s="11" t="s">
        <v>496</v>
      </c>
      <c r="E433" s="12">
        <v>147000</v>
      </c>
      <c r="F433" s="13">
        <v>0</v>
      </c>
      <c r="G433" s="12">
        <v>0</v>
      </c>
      <c r="H433" s="11" t="s">
        <v>1183</v>
      </c>
    </row>
    <row r="434" spans="1:8" ht="15" customHeight="1" x14ac:dyDescent="0.25">
      <c r="A434" s="11" t="s">
        <v>484</v>
      </c>
      <c r="B434" s="11">
        <v>900216</v>
      </c>
      <c r="C434" s="11" t="s">
        <v>1184</v>
      </c>
      <c r="D434" s="11" t="s">
        <v>496</v>
      </c>
      <c r="E434" s="12">
        <v>147000</v>
      </c>
      <c r="F434" s="13">
        <v>0</v>
      </c>
      <c r="G434" s="12">
        <v>0</v>
      </c>
      <c r="H434" s="11" t="s">
        <v>1185</v>
      </c>
    </row>
    <row r="435" spans="1:8" ht="15" customHeight="1" x14ac:dyDescent="0.25">
      <c r="A435" s="11" t="s">
        <v>484</v>
      </c>
      <c r="B435" s="11">
        <v>900217</v>
      </c>
      <c r="C435" s="11" t="s">
        <v>1186</v>
      </c>
      <c r="D435" s="11" t="s">
        <v>496</v>
      </c>
      <c r="E435" s="12">
        <v>147000</v>
      </c>
      <c r="F435" s="13">
        <v>0</v>
      </c>
      <c r="G435" s="12">
        <v>0</v>
      </c>
      <c r="H435" s="11" t="s">
        <v>1187</v>
      </c>
    </row>
    <row r="436" spans="1:8" ht="15" customHeight="1" x14ac:dyDescent="0.25">
      <c r="A436" s="11" t="s">
        <v>484</v>
      </c>
      <c r="B436" s="11">
        <v>900218</v>
      </c>
      <c r="C436" s="11" t="s">
        <v>1188</v>
      </c>
      <c r="D436" s="11" t="s">
        <v>499</v>
      </c>
      <c r="E436" s="12">
        <v>147000</v>
      </c>
      <c r="F436" s="13">
        <v>0</v>
      </c>
      <c r="G436" s="12">
        <v>0</v>
      </c>
      <c r="H436" s="11" t="s">
        <v>1189</v>
      </c>
    </row>
    <row r="437" spans="1:8" ht="15" customHeight="1" x14ac:dyDescent="0.25">
      <c r="A437" s="11" t="s">
        <v>484</v>
      </c>
      <c r="B437" s="11">
        <v>300404</v>
      </c>
      <c r="C437" s="11" t="s">
        <v>1190</v>
      </c>
      <c r="D437" s="11" t="s">
        <v>486</v>
      </c>
      <c r="E437" s="12">
        <v>40817.166666666701</v>
      </c>
      <c r="F437" s="13">
        <v>0</v>
      </c>
      <c r="G437" s="12">
        <v>0</v>
      </c>
      <c r="H437" s="11" t="s">
        <v>1191</v>
      </c>
    </row>
    <row r="438" spans="1:8" ht="15" customHeight="1" x14ac:dyDescent="0.25">
      <c r="A438" s="11" t="s">
        <v>484</v>
      </c>
      <c r="B438" s="11">
        <v>130109</v>
      </c>
      <c r="C438" s="11" t="s">
        <v>1192</v>
      </c>
      <c r="D438" s="11" t="s">
        <v>486</v>
      </c>
      <c r="E438" s="12">
        <v>115990</v>
      </c>
      <c r="F438" s="13">
        <v>0</v>
      </c>
      <c r="G438" s="12">
        <v>0</v>
      </c>
      <c r="H438" s="11" t="s">
        <v>1193</v>
      </c>
    </row>
    <row r="439" spans="1:8" ht="15" customHeight="1" x14ac:dyDescent="0.25">
      <c r="A439" s="11" t="s">
        <v>484</v>
      </c>
      <c r="B439" s="11">
        <v>140708</v>
      </c>
      <c r="C439" s="11" t="s">
        <v>1194</v>
      </c>
      <c r="D439" s="11" t="s">
        <v>486</v>
      </c>
      <c r="E439" s="12">
        <v>118318</v>
      </c>
      <c r="F439" s="13">
        <v>0</v>
      </c>
      <c r="G439" s="12">
        <v>0</v>
      </c>
      <c r="H439" s="11" t="s">
        <v>1195</v>
      </c>
    </row>
    <row r="440" spans="1:8" ht="15" customHeight="1" x14ac:dyDescent="0.25">
      <c r="A440" s="11" t="s">
        <v>484</v>
      </c>
      <c r="B440" s="11">
        <v>700111</v>
      </c>
      <c r="C440" s="11" t="s">
        <v>1196</v>
      </c>
      <c r="D440" s="11" t="s">
        <v>486</v>
      </c>
      <c r="E440" s="12">
        <v>46262.5</v>
      </c>
      <c r="F440" s="13">
        <v>0</v>
      </c>
      <c r="G440" s="12">
        <v>0</v>
      </c>
      <c r="H440" s="11" t="s">
        <v>1197</v>
      </c>
    </row>
    <row r="441" spans="1:8" ht="15" customHeight="1" x14ac:dyDescent="0.25">
      <c r="A441" s="11" t="s">
        <v>484</v>
      </c>
      <c r="B441" s="11">
        <v>777413</v>
      </c>
      <c r="C441" s="11" t="s">
        <v>1198</v>
      </c>
      <c r="D441" s="11" t="s">
        <v>496</v>
      </c>
      <c r="E441" s="12">
        <v>936</v>
      </c>
      <c r="F441" s="13">
        <v>156763</v>
      </c>
      <c r="G441" s="12">
        <v>146730168</v>
      </c>
      <c r="H441" s="11" t="s">
        <v>361</v>
      </c>
    </row>
    <row r="442" spans="1:8" ht="15" customHeight="1" x14ac:dyDescent="0.25">
      <c r="A442" s="11" t="s">
        <v>484</v>
      </c>
      <c r="B442" s="11">
        <v>777414</v>
      </c>
      <c r="C442" s="11" t="s">
        <v>1199</v>
      </c>
      <c r="D442" s="11" t="s">
        <v>496</v>
      </c>
      <c r="E442" s="12">
        <v>1206</v>
      </c>
      <c r="F442" s="13">
        <v>6500</v>
      </c>
      <c r="G442" s="12">
        <v>7839000</v>
      </c>
      <c r="H442" s="11" t="s">
        <v>362</v>
      </c>
    </row>
    <row r="443" spans="1:8" ht="15" customHeight="1" x14ac:dyDescent="0.25">
      <c r="A443" s="11" t="s">
        <v>484</v>
      </c>
      <c r="B443" s="11">
        <v>800203</v>
      </c>
      <c r="C443" s="11" t="s">
        <v>1200</v>
      </c>
      <c r="D443" s="11" t="s">
        <v>486</v>
      </c>
      <c r="E443" s="12">
        <v>18933.333333333299</v>
      </c>
      <c r="F443" s="13">
        <v>0</v>
      </c>
      <c r="G443" s="12">
        <v>0</v>
      </c>
      <c r="H443" s="11" t="s">
        <v>1201</v>
      </c>
    </row>
    <row r="444" spans="1:8" ht="15" customHeight="1" x14ac:dyDescent="0.25">
      <c r="A444" s="11" t="s">
        <v>484</v>
      </c>
      <c r="B444" s="11">
        <v>110204</v>
      </c>
      <c r="C444" s="11" t="s">
        <v>1202</v>
      </c>
      <c r="D444" s="11" t="s">
        <v>486</v>
      </c>
      <c r="E444" s="12">
        <v>11908</v>
      </c>
      <c r="F444" s="13">
        <v>16</v>
      </c>
      <c r="G444" s="12">
        <v>190528</v>
      </c>
      <c r="H444" s="11" t="s">
        <v>327</v>
      </c>
    </row>
    <row r="445" spans="1:8" ht="15" customHeight="1" x14ac:dyDescent="0.25">
      <c r="A445" s="11" t="s">
        <v>484</v>
      </c>
      <c r="B445" s="11">
        <v>110205</v>
      </c>
      <c r="C445" s="11" t="s">
        <v>1203</v>
      </c>
      <c r="D445" s="11" t="s">
        <v>486</v>
      </c>
      <c r="E445" s="12">
        <v>24125</v>
      </c>
      <c r="F445" s="13">
        <v>41</v>
      </c>
      <c r="G445" s="12">
        <v>989125</v>
      </c>
      <c r="H445" s="11" t="s">
        <v>326</v>
      </c>
    </row>
    <row r="446" spans="1:8" ht="15" customHeight="1" x14ac:dyDescent="0.25">
      <c r="A446" s="11" t="s">
        <v>484</v>
      </c>
      <c r="B446" s="11">
        <v>110203</v>
      </c>
      <c r="C446" s="11" t="s">
        <v>1204</v>
      </c>
      <c r="D446" s="11" t="s">
        <v>486</v>
      </c>
      <c r="E446" s="12">
        <v>12375</v>
      </c>
      <c r="F446" s="13">
        <v>21.5</v>
      </c>
      <c r="G446" s="12">
        <v>266062.5</v>
      </c>
      <c r="H446" s="11" t="s">
        <v>325</v>
      </c>
    </row>
    <row r="447" spans="1:8" ht="15" customHeight="1" x14ac:dyDescent="0.25">
      <c r="A447" s="11" t="s">
        <v>484</v>
      </c>
      <c r="B447" s="11">
        <v>444106</v>
      </c>
      <c r="C447" s="11" t="s">
        <v>1205</v>
      </c>
      <c r="D447" s="11" t="s">
        <v>642</v>
      </c>
      <c r="E447" s="12">
        <v>13000</v>
      </c>
      <c r="F447" s="13">
        <v>0</v>
      </c>
      <c r="G447" s="12">
        <v>0</v>
      </c>
      <c r="H447" s="11" t="s">
        <v>1206</v>
      </c>
    </row>
    <row r="448" spans="1:8" ht="15" customHeight="1" x14ac:dyDescent="0.25">
      <c r="A448" s="11" t="s">
        <v>484</v>
      </c>
      <c r="B448" s="11">
        <v>444105</v>
      </c>
      <c r="C448" s="11" t="s">
        <v>1207</v>
      </c>
      <c r="D448" s="11" t="s">
        <v>642</v>
      </c>
      <c r="E448" s="12">
        <v>10600</v>
      </c>
      <c r="F448" s="13">
        <v>0</v>
      </c>
      <c r="G448" s="12">
        <v>0</v>
      </c>
      <c r="H448" s="11" t="s">
        <v>1208</v>
      </c>
    </row>
    <row r="449" spans="1:8" ht="15" customHeight="1" x14ac:dyDescent="0.25">
      <c r="A449" s="11" t="s">
        <v>484</v>
      </c>
      <c r="B449" s="11">
        <v>444104</v>
      </c>
      <c r="C449" s="11" t="s">
        <v>1209</v>
      </c>
      <c r="D449" s="11" t="s">
        <v>642</v>
      </c>
      <c r="E449" s="12">
        <v>10600</v>
      </c>
      <c r="F449" s="13">
        <v>0</v>
      </c>
      <c r="G449" s="12">
        <v>0</v>
      </c>
      <c r="H449" s="11" t="s">
        <v>1210</v>
      </c>
    </row>
    <row r="450" spans="1:8" ht="15" customHeight="1" x14ac:dyDescent="0.25">
      <c r="A450" s="11" t="s">
        <v>484</v>
      </c>
      <c r="B450" s="11">
        <v>130318</v>
      </c>
      <c r="C450" s="11" t="s">
        <v>1211</v>
      </c>
      <c r="D450" s="11" t="s">
        <v>486</v>
      </c>
      <c r="E450" s="12">
        <v>28666.666666666701</v>
      </c>
      <c r="F450" s="13">
        <v>0</v>
      </c>
      <c r="G450" s="12">
        <v>0</v>
      </c>
      <c r="H450" s="11" t="s">
        <v>1212</v>
      </c>
    </row>
    <row r="451" spans="1:8" ht="15" customHeight="1" x14ac:dyDescent="0.25">
      <c r="A451" s="11" t="s">
        <v>484</v>
      </c>
      <c r="B451" s="11">
        <v>900219</v>
      </c>
      <c r="C451" s="11" t="s">
        <v>1213</v>
      </c>
      <c r="D451" s="11" t="s">
        <v>486</v>
      </c>
      <c r="E451" s="12">
        <v>125225.22</v>
      </c>
      <c r="F451" s="13">
        <v>0</v>
      </c>
      <c r="G451" s="12">
        <v>0</v>
      </c>
      <c r="H451" s="11" t="s">
        <v>1214</v>
      </c>
    </row>
    <row r="452" spans="1:8" ht="15" customHeight="1" x14ac:dyDescent="0.25">
      <c r="A452" s="11" t="s">
        <v>484</v>
      </c>
      <c r="B452" s="11">
        <v>900220</v>
      </c>
      <c r="C452" s="11" t="s">
        <v>1215</v>
      </c>
      <c r="D452" s="11" t="s">
        <v>486</v>
      </c>
      <c r="E452" s="12">
        <v>125225.22</v>
      </c>
      <c r="F452" s="13">
        <v>0</v>
      </c>
      <c r="G452" s="12">
        <v>0</v>
      </c>
      <c r="H452" s="11" t="s">
        <v>1216</v>
      </c>
    </row>
    <row r="453" spans="1:8" ht="15" customHeight="1" x14ac:dyDescent="0.25">
      <c r="A453" s="11" t="s">
        <v>484</v>
      </c>
      <c r="B453" s="11">
        <v>900221</v>
      </c>
      <c r="C453" s="11" t="s">
        <v>1217</v>
      </c>
      <c r="D453" s="11" t="s">
        <v>486</v>
      </c>
      <c r="E453" s="12">
        <v>125225.22</v>
      </c>
      <c r="F453" s="13">
        <v>0</v>
      </c>
      <c r="G453" s="12">
        <v>0</v>
      </c>
      <c r="H453" s="11" t="s">
        <v>1218</v>
      </c>
    </row>
    <row r="454" spans="1:8" ht="15" customHeight="1" x14ac:dyDescent="0.25">
      <c r="A454" s="11" t="s">
        <v>484</v>
      </c>
      <c r="B454" s="11">
        <v>444905</v>
      </c>
      <c r="C454" s="11" t="s">
        <v>1219</v>
      </c>
      <c r="D454" s="11" t="s">
        <v>642</v>
      </c>
      <c r="E454" s="12">
        <v>55000</v>
      </c>
      <c r="F454" s="13">
        <v>0</v>
      </c>
      <c r="G454" s="12">
        <v>0</v>
      </c>
      <c r="H454" s="11" t="s">
        <v>1220</v>
      </c>
    </row>
    <row r="455" spans="1:8" ht="15" customHeight="1" x14ac:dyDescent="0.25">
      <c r="A455" s="11" t="s">
        <v>484</v>
      </c>
      <c r="B455" s="11">
        <v>900222</v>
      </c>
      <c r="C455" s="11" t="s">
        <v>1221</v>
      </c>
      <c r="D455" s="11" t="s">
        <v>1222</v>
      </c>
      <c r="E455" s="12">
        <v>452.777777777778</v>
      </c>
      <c r="F455" s="13">
        <v>0</v>
      </c>
      <c r="G455" s="12">
        <v>0</v>
      </c>
      <c r="H455" s="11" t="s">
        <v>1223</v>
      </c>
    </row>
    <row r="456" spans="1:8" ht="15" customHeight="1" x14ac:dyDescent="0.25">
      <c r="A456" s="11" t="s">
        <v>484</v>
      </c>
      <c r="B456" s="11">
        <v>120108</v>
      </c>
      <c r="C456" s="11" t="s">
        <v>1224</v>
      </c>
      <c r="D456" s="11" t="s">
        <v>499</v>
      </c>
      <c r="E456" s="12">
        <v>6711.7</v>
      </c>
      <c r="F456" s="13">
        <v>0</v>
      </c>
      <c r="G456" s="12">
        <v>0</v>
      </c>
      <c r="H456" s="11" t="s">
        <v>1225</v>
      </c>
    </row>
    <row r="457" spans="1:8" ht="15" customHeight="1" x14ac:dyDescent="0.25">
      <c r="A457" s="11" t="s">
        <v>484</v>
      </c>
      <c r="B457" s="11">
        <v>900223</v>
      </c>
      <c r="C457" s="11" t="s">
        <v>1226</v>
      </c>
      <c r="D457" s="11" t="s">
        <v>486</v>
      </c>
      <c r="E457" s="12">
        <v>125225</v>
      </c>
      <c r="F457" s="13">
        <v>0</v>
      </c>
      <c r="G457" s="12">
        <v>0</v>
      </c>
      <c r="H457" s="11" t="s">
        <v>1227</v>
      </c>
    </row>
    <row r="458" spans="1:8" ht="15" customHeight="1" x14ac:dyDescent="0.25">
      <c r="A458" s="11" t="s">
        <v>484</v>
      </c>
      <c r="B458" s="11">
        <v>333506</v>
      </c>
      <c r="C458" s="11" t="s">
        <v>1228</v>
      </c>
      <c r="D458" s="11" t="s">
        <v>496</v>
      </c>
      <c r="E458" s="12">
        <v>97.2222222222222</v>
      </c>
      <c r="F458" s="13">
        <v>0</v>
      </c>
      <c r="G458" s="12">
        <v>0</v>
      </c>
      <c r="H458" s="11" t="s">
        <v>1229</v>
      </c>
    </row>
    <row r="459" spans="1:8" ht="15" customHeight="1" x14ac:dyDescent="0.25">
      <c r="A459" s="11" t="s">
        <v>484</v>
      </c>
      <c r="B459" s="11">
        <v>333507</v>
      </c>
      <c r="C459" s="11" t="s">
        <v>1230</v>
      </c>
      <c r="D459" s="11" t="s">
        <v>496</v>
      </c>
      <c r="E459" s="12">
        <v>97.2222222222222</v>
      </c>
      <c r="F459" s="13">
        <v>0</v>
      </c>
      <c r="G459" s="12">
        <v>0</v>
      </c>
      <c r="H459" s="11" t="s">
        <v>1231</v>
      </c>
    </row>
    <row r="460" spans="1:8" ht="15" customHeight="1" x14ac:dyDescent="0.25">
      <c r="A460" s="11" t="s">
        <v>484</v>
      </c>
      <c r="B460" s="11">
        <v>333508</v>
      </c>
      <c r="C460" s="11" t="s">
        <v>1232</v>
      </c>
      <c r="D460" s="11" t="s">
        <v>496</v>
      </c>
      <c r="E460" s="12">
        <v>97.2222222222222</v>
      </c>
      <c r="F460" s="13">
        <v>0</v>
      </c>
      <c r="G460" s="12">
        <v>0</v>
      </c>
      <c r="H460" s="11" t="s">
        <v>1233</v>
      </c>
    </row>
    <row r="461" spans="1:8" ht="15" customHeight="1" x14ac:dyDescent="0.25">
      <c r="A461" s="11" t="s">
        <v>484</v>
      </c>
      <c r="B461" s="11">
        <v>333509</v>
      </c>
      <c r="C461" s="11" t="s">
        <v>1234</v>
      </c>
      <c r="D461" s="11" t="s">
        <v>496</v>
      </c>
      <c r="E461" s="12">
        <v>97.2222222222222</v>
      </c>
      <c r="F461" s="13">
        <v>0</v>
      </c>
      <c r="G461" s="12">
        <v>0</v>
      </c>
      <c r="H461" s="11" t="s">
        <v>1235</v>
      </c>
    </row>
    <row r="462" spans="1:8" ht="15" customHeight="1" x14ac:dyDescent="0.25">
      <c r="A462" s="11" t="s">
        <v>484</v>
      </c>
      <c r="B462" s="11">
        <v>333510</v>
      </c>
      <c r="C462" s="11" t="s">
        <v>1236</v>
      </c>
      <c r="D462" s="11" t="s">
        <v>496</v>
      </c>
      <c r="E462" s="12">
        <v>97.2222222222222</v>
      </c>
      <c r="F462" s="13">
        <v>0</v>
      </c>
      <c r="G462" s="12">
        <v>0</v>
      </c>
      <c r="H462" s="11" t="s">
        <v>1237</v>
      </c>
    </row>
    <row r="463" spans="1:8" ht="15" customHeight="1" x14ac:dyDescent="0.25">
      <c r="A463" s="11" t="s">
        <v>484</v>
      </c>
      <c r="B463" s="11">
        <v>333105</v>
      </c>
      <c r="C463" s="11" t="s">
        <v>1238</v>
      </c>
      <c r="D463" s="11" t="s">
        <v>496</v>
      </c>
      <c r="E463" s="12">
        <v>800</v>
      </c>
      <c r="F463" s="13">
        <v>0</v>
      </c>
      <c r="G463" s="12">
        <v>0</v>
      </c>
      <c r="H463" s="11" t="s">
        <v>1239</v>
      </c>
    </row>
    <row r="464" spans="1:8" ht="15" customHeight="1" x14ac:dyDescent="0.25">
      <c r="A464" s="11" t="s">
        <v>484</v>
      </c>
      <c r="B464" s="11">
        <v>200121</v>
      </c>
      <c r="C464" s="11" t="s">
        <v>1240</v>
      </c>
      <c r="D464" s="11" t="s">
        <v>486</v>
      </c>
      <c r="E464" s="12">
        <v>41670.400000000001</v>
      </c>
      <c r="F464" s="13">
        <v>0</v>
      </c>
      <c r="G464" s="12">
        <v>0</v>
      </c>
      <c r="H464" s="11" t="s">
        <v>1241</v>
      </c>
    </row>
    <row r="465" spans="1:8" ht="15" customHeight="1" x14ac:dyDescent="0.25">
      <c r="A465" s="11" t="s">
        <v>484</v>
      </c>
      <c r="B465" s="11">
        <v>110408</v>
      </c>
      <c r="C465" s="11" t="s">
        <v>1242</v>
      </c>
      <c r="D465" s="11" t="s">
        <v>1243</v>
      </c>
      <c r="E465" s="12">
        <v>79847.5</v>
      </c>
      <c r="F465" s="13">
        <v>0</v>
      </c>
      <c r="G465" s="12">
        <v>0</v>
      </c>
      <c r="H465" s="11" t="s">
        <v>1244</v>
      </c>
    </row>
    <row r="466" spans="1:8" ht="15" customHeight="1" x14ac:dyDescent="0.25">
      <c r="A466" s="11" t="s">
        <v>484</v>
      </c>
      <c r="B466" s="11">
        <v>120109</v>
      </c>
      <c r="C466" s="11" t="s">
        <v>1245</v>
      </c>
      <c r="D466" s="11" t="s">
        <v>496</v>
      </c>
      <c r="E466" s="12">
        <v>11711.666666666701</v>
      </c>
      <c r="F466" s="13">
        <v>0</v>
      </c>
      <c r="G466" s="12">
        <v>0</v>
      </c>
      <c r="H466" s="11" t="s">
        <v>1246</v>
      </c>
    </row>
    <row r="467" spans="1:8" ht="15" customHeight="1" x14ac:dyDescent="0.25">
      <c r="A467" s="11" t="s">
        <v>484</v>
      </c>
      <c r="B467" s="11">
        <v>300212</v>
      </c>
      <c r="C467" s="11" t="s">
        <v>1247</v>
      </c>
      <c r="D467" s="11" t="s">
        <v>496</v>
      </c>
      <c r="E467" s="12">
        <v>0</v>
      </c>
      <c r="F467" s="13">
        <v>0</v>
      </c>
      <c r="G467" s="12">
        <v>0</v>
      </c>
      <c r="H467" s="11" t="s">
        <v>1248</v>
      </c>
    </row>
    <row r="468" spans="1:8" ht="15" customHeight="1" x14ac:dyDescent="0.25">
      <c r="A468" s="11" t="s">
        <v>484</v>
      </c>
      <c r="B468" s="11">
        <v>110409</v>
      </c>
      <c r="C468" s="11" t="s">
        <v>1249</v>
      </c>
      <c r="D468" s="11" t="s">
        <v>1243</v>
      </c>
      <c r="E468" s="12">
        <v>74517.5</v>
      </c>
      <c r="F468" s="13">
        <v>0</v>
      </c>
      <c r="G468" s="12">
        <v>0</v>
      </c>
      <c r="H468" s="11" t="s">
        <v>1250</v>
      </c>
    </row>
    <row r="469" spans="1:8" ht="15" customHeight="1" x14ac:dyDescent="0.25">
      <c r="A469" s="11" t="s">
        <v>484</v>
      </c>
      <c r="B469" s="11">
        <v>300213</v>
      </c>
      <c r="C469" s="11" t="s">
        <v>1251</v>
      </c>
      <c r="D469" s="11" t="s">
        <v>496</v>
      </c>
      <c r="E469" s="12">
        <v>0</v>
      </c>
      <c r="F469" s="13">
        <v>0</v>
      </c>
      <c r="G469" s="12">
        <v>0</v>
      </c>
      <c r="H469" s="11" t="s">
        <v>1252</v>
      </c>
    </row>
    <row r="470" spans="1:8" ht="15" customHeight="1" x14ac:dyDescent="0.25">
      <c r="A470" s="11" t="s">
        <v>484</v>
      </c>
      <c r="B470" s="11">
        <v>110410</v>
      </c>
      <c r="C470" s="11" t="s">
        <v>1253</v>
      </c>
      <c r="D470" s="11" t="s">
        <v>1243</v>
      </c>
      <c r="E470" s="12">
        <v>101577.5</v>
      </c>
      <c r="F470" s="13">
        <v>0</v>
      </c>
      <c r="G470" s="12">
        <v>0</v>
      </c>
      <c r="H470" s="11" t="s">
        <v>1254</v>
      </c>
    </row>
    <row r="471" spans="1:8" ht="15" customHeight="1" x14ac:dyDescent="0.25">
      <c r="A471" s="11" t="s">
        <v>484</v>
      </c>
      <c r="B471" s="11">
        <v>300214</v>
      </c>
      <c r="C471" s="11" t="s">
        <v>1255</v>
      </c>
      <c r="D471" s="11" t="s">
        <v>486</v>
      </c>
      <c r="E471" s="12">
        <v>0</v>
      </c>
      <c r="F471" s="13">
        <v>0</v>
      </c>
      <c r="G471" s="12">
        <v>0</v>
      </c>
      <c r="H471" s="11" t="s">
        <v>1256</v>
      </c>
    </row>
    <row r="472" spans="1:8" ht="15" customHeight="1" x14ac:dyDescent="0.25">
      <c r="A472" s="11" t="s">
        <v>484</v>
      </c>
      <c r="B472" s="11">
        <v>100217</v>
      </c>
      <c r="C472" s="11" t="s">
        <v>1257</v>
      </c>
      <c r="D472" s="11" t="s">
        <v>486</v>
      </c>
      <c r="E472" s="12">
        <v>59535.416666666701</v>
      </c>
      <c r="F472" s="13">
        <v>0</v>
      </c>
      <c r="G472" s="12">
        <v>0</v>
      </c>
      <c r="H472" s="11" t="s">
        <v>1258</v>
      </c>
    </row>
    <row r="473" spans="1:8" ht="15" customHeight="1" x14ac:dyDescent="0.25">
      <c r="A473" s="11" t="s">
        <v>484</v>
      </c>
      <c r="B473" s="11">
        <v>555914</v>
      </c>
      <c r="C473" s="11" t="s">
        <v>1259</v>
      </c>
      <c r="D473" s="11" t="s">
        <v>499</v>
      </c>
      <c r="E473" s="12">
        <v>3865</v>
      </c>
      <c r="F473" s="13">
        <v>0</v>
      </c>
      <c r="G473" s="12">
        <v>0</v>
      </c>
      <c r="H473" s="11" t="s">
        <v>1260</v>
      </c>
    </row>
    <row r="474" spans="1:8" ht="15" customHeight="1" x14ac:dyDescent="0.25">
      <c r="A474" s="11" t="s">
        <v>484</v>
      </c>
      <c r="B474" s="11">
        <v>700112</v>
      </c>
      <c r="C474" s="11" t="s">
        <v>1261</v>
      </c>
      <c r="D474" s="11" t="s">
        <v>486</v>
      </c>
      <c r="E474" s="12">
        <v>43438.875</v>
      </c>
      <c r="F474" s="13">
        <v>0</v>
      </c>
      <c r="G474" s="12">
        <v>0</v>
      </c>
      <c r="H474" s="11" t="s">
        <v>1262</v>
      </c>
    </row>
    <row r="475" spans="1:8" ht="15" customHeight="1" x14ac:dyDescent="0.25">
      <c r="A475" s="11" t="s">
        <v>484</v>
      </c>
      <c r="B475" s="11">
        <v>666404</v>
      </c>
      <c r="C475" s="11" t="s">
        <v>1263</v>
      </c>
      <c r="D475" s="11" t="s">
        <v>499</v>
      </c>
      <c r="E475" s="12">
        <v>3788.5714285714298</v>
      </c>
      <c r="F475" s="13">
        <v>0</v>
      </c>
      <c r="G475" s="12">
        <v>0</v>
      </c>
      <c r="H475" s="11" t="s">
        <v>1264</v>
      </c>
    </row>
    <row r="476" spans="1:8" ht="15" customHeight="1" x14ac:dyDescent="0.25">
      <c r="A476" s="11" t="s">
        <v>484</v>
      </c>
      <c r="B476" s="11">
        <v>666405</v>
      </c>
      <c r="C476" s="11" t="s">
        <v>1265</v>
      </c>
      <c r="D476" s="11" t="s">
        <v>499</v>
      </c>
      <c r="E476" s="12">
        <v>190</v>
      </c>
      <c r="F476" s="13">
        <v>0</v>
      </c>
      <c r="G476" s="12">
        <v>0</v>
      </c>
      <c r="H476" s="11" t="s">
        <v>1266</v>
      </c>
    </row>
    <row r="477" spans="1:8" ht="15" customHeight="1" x14ac:dyDescent="0.25">
      <c r="A477" s="11" t="s">
        <v>484</v>
      </c>
      <c r="B477" s="11">
        <v>140404</v>
      </c>
      <c r="C477" s="11" t="s">
        <v>1267</v>
      </c>
      <c r="D477" s="11" t="s">
        <v>486</v>
      </c>
      <c r="E477" s="12">
        <v>61600</v>
      </c>
      <c r="F477" s="13">
        <v>150</v>
      </c>
      <c r="G477" s="12">
        <v>9240000</v>
      </c>
      <c r="H477" s="11" t="s">
        <v>243</v>
      </c>
    </row>
    <row r="478" spans="1:8" ht="15" customHeight="1" x14ac:dyDescent="0.25">
      <c r="A478" s="11" t="s">
        <v>484</v>
      </c>
      <c r="B478" s="11">
        <v>140405</v>
      </c>
      <c r="C478" s="11" t="s">
        <v>1268</v>
      </c>
      <c r="D478" s="11" t="s">
        <v>486</v>
      </c>
      <c r="E478" s="12">
        <v>50600</v>
      </c>
      <c r="F478" s="13">
        <v>5</v>
      </c>
      <c r="G478" s="12">
        <v>253000</v>
      </c>
      <c r="H478" s="11" t="s">
        <v>244</v>
      </c>
    </row>
    <row r="479" spans="1:8" ht="15" customHeight="1" x14ac:dyDescent="0.25">
      <c r="A479" s="11" t="s">
        <v>484</v>
      </c>
      <c r="B479" s="11">
        <v>140409</v>
      </c>
      <c r="C479" s="11" t="s">
        <v>1269</v>
      </c>
      <c r="D479" s="11" t="s">
        <v>486</v>
      </c>
      <c r="E479" s="12">
        <v>48000</v>
      </c>
      <c r="F479" s="13">
        <v>0</v>
      </c>
      <c r="G479" s="12">
        <v>0</v>
      </c>
      <c r="H479" s="11" t="s">
        <v>1270</v>
      </c>
    </row>
    <row r="480" spans="1:8" ht="15" customHeight="1" x14ac:dyDescent="0.25">
      <c r="A480" s="11" t="s">
        <v>484</v>
      </c>
      <c r="B480" s="11">
        <v>140411</v>
      </c>
      <c r="C480" s="11" t="s">
        <v>1271</v>
      </c>
      <c r="D480" s="11" t="s">
        <v>486</v>
      </c>
      <c r="E480" s="12">
        <v>58500</v>
      </c>
      <c r="F480" s="13">
        <v>15</v>
      </c>
      <c r="G480" s="12">
        <v>877500</v>
      </c>
      <c r="H480" s="11" t="s">
        <v>245</v>
      </c>
    </row>
    <row r="481" spans="1:8" ht="15" customHeight="1" x14ac:dyDescent="0.25">
      <c r="A481" s="11" t="s">
        <v>484</v>
      </c>
      <c r="B481" s="11">
        <v>140412</v>
      </c>
      <c r="C481" s="11" t="s">
        <v>1272</v>
      </c>
      <c r="D481" s="11" t="s">
        <v>486</v>
      </c>
      <c r="E481" s="12">
        <v>48000</v>
      </c>
      <c r="F481" s="13">
        <v>40</v>
      </c>
      <c r="G481" s="12">
        <v>1920000</v>
      </c>
      <c r="H481" s="11" t="s">
        <v>246</v>
      </c>
    </row>
    <row r="482" spans="1:8" ht="15" customHeight="1" x14ac:dyDescent="0.25">
      <c r="A482" s="11" t="s">
        <v>484</v>
      </c>
      <c r="B482" s="11">
        <v>333206</v>
      </c>
      <c r="C482" s="11" t="s">
        <v>1273</v>
      </c>
      <c r="D482" s="11" t="s">
        <v>1243</v>
      </c>
      <c r="E482" s="12">
        <v>102000</v>
      </c>
      <c r="F482" s="13">
        <v>0</v>
      </c>
      <c r="G482" s="12">
        <v>0</v>
      </c>
      <c r="H482" s="11" t="s">
        <v>1274</v>
      </c>
    </row>
    <row r="483" spans="1:8" ht="15" customHeight="1" x14ac:dyDescent="0.25">
      <c r="A483" s="11" t="s">
        <v>484</v>
      </c>
      <c r="B483" s="11">
        <v>100308</v>
      </c>
      <c r="C483" s="11" t="s">
        <v>1275</v>
      </c>
      <c r="D483" s="11" t="s">
        <v>486</v>
      </c>
      <c r="E483" s="12">
        <v>172960.2</v>
      </c>
      <c r="F483" s="13">
        <v>0</v>
      </c>
      <c r="G483" s="12">
        <v>0</v>
      </c>
      <c r="H483" s="11" t="s">
        <v>1276</v>
      </c>
    </row>
    <row r="484" spans="1:8" ht="15" customHeight="1" x14ac:dyDescent="0.25">
      <c r="A484" s="11" t="s">
        <v>484</v>
      </c>
      <c r="B484" s="11">
        <v>100309</v>
      </c>
      <c r="C484" s="11" t="s">
        <v>1277</v>
      </c>
      <c r="D484" s="11" t="s">
        <v>486</v>
      </c>
      <c r="E484" s="12">
        <v>50176</v>
      </c>
      <c r="F484" s="13">
        <v>95</v>
      </c>
      <c r="G484" s="12">
        <v>4766720</v>
      </c>
      <c r="H484" s="11" t="s">
        <v>328</v>
      </c>
    </row>
    <row r="485" spans="1:8" ht="15" customHeight="1" x14ac:dyDescent="0.25">
      <c r="A485" s="11" t="s">
        <v>484</v>
      </c>
      <c r="B485" s="11">
        <v>555915</v>
      </c>
      <c r="C485" s="11" t="s">
        <v>1278</v>
      </c>
      <c r="D485" s="11" t="s">
        <v>499</v>
      </c>
      <c r="E485" s="12">
        <v>1950</v>
      </c>
      <c r="F485" s="13">
        <v>6661</v>
      </c>
      <c r="G485" s="12">
        <v>12988950</v>
      </c>
      <c r="H485" s="11" t="s">
        <v>241</v>
      </c>
    </row>
    <row r="486" spans="1:8" ht="15" customHeight="1" x14ac:dyDescent="0.25">
      <c r="A486" s="11" t="s">
        <v>484</v>
      </c>
      <c r="B486" s="11">
        <v>666406</v>
      </c>
      <c r="C486" s="11" t="s">
        <v>1279</v>
      </c>
      <c r="D486" s="11" t="s">
        <v>499</v>
      </c>
      <c r="E486" s="12">
        <v>510</v>
      </c>
      <c r="F486" s="13">
        <v>0</v>
      </c>
      <c r="G486" s="12">
        <v>0</v>
      </c>
      <c r="H486" s="11" t="s">
        <v>1280</v>
      </c>
    </row>
    <row r="487" spans="1:8" ht="15" customHeight="1" x14ac:dyDescent="0.25">
      <c r="A487" s="11" t="s">
        <v>484</v>
      </c>
      <c r="B487" s="11">
        <v>100102</v>
      </c>
      <c r="C487" s="11" t="s">
        <v>1281</v>
      </c>
      <c r="D487" s="11" t="s">
        <v>486</v>
      </c>
      <c r="E487" s="12">
        <v>43000</v>
      </c>
      <c r="F487" s="13">
        <v>0</v>
      </c>
      <c r="G487" s="12">
        <v>0</v>
      </c>
      <c r="H487" s="11" t="s">
        <v>1282</v>
      </c>
    </row>
    <row r="488" spans="1:8" ht="15" customHeight="1" x14ac:dyDescent="0.25">
      <c r="A488" s="11" t="s">
        <v>484</v>
      </c>
      <c r="B488" s="11">
        <v>600303</v>
      </c>
      <c r="C488" s="11" t="s">
        <v>1283</v>
      </c>
      <c r="D488" s="11" t="s">
        <v>486</v>
      </c>
      <c r="E488" s="12">
        <v>22000</v>
      </c>
      <c r="F488" s="13">
        <v>8</v>
      </c>
      <c r="G488" s="12">
        <v>176000</v>
      </c>
      <c r="H488" s="11" t="s">
        <v>254</v>
      </c>
    </row>
    <row r="489" spans="1:8" ht="15" customHeight="1" x14ac:dyDescent="0.25">
      <c r="A489" s="11" t="s">
        <v>484</v>
      </c>
      <c r="B489" s="11">
        <v>100421</v>
      </c>
      <c r="C489" s="11" t="s">
        <v>1284</v>
      </c>
      <c r="D489" s="11" t="s">
        <v>486</v>
      </c>
      <c r="E489" s="12">
        <v>38975</v>
      </c>
      <c r="F489" s="13">
        <v>0</v>
      </c>
      <c r="G489" s="12">
        <v>0</v>
      </c>
      <c r="H489" s="11" t="s">
        <v>1285</v>
      </c>
    </row>
    <row r="490" spans="1:8" ht="15" customHeight="1" x14ac:dyDescent="0.25">
      <c r="A490" s="11" t="s">
        <v>484</v>
      </c>
      <c r="B490" s="11">
        <v>100422</v>
      </c>
      <c r="C490" s="11" t="s">
        <v>1286</v>
      </c>
      <c r="D490" s="11" t="s">
        <v>1072</v>
      </c>
      <c r="E490" s="12">
        <v>44999</v>
      </c>
      <c r="F490" s="13">
        <v>2</v>
      </c>
      <c r="G490" s="12">
        <v>89998</v>
      </c>
      <c r="H490" s="11" t="s">
        <v>137</v>
      </c>
    </row>
    <row r="491" spans="1:8" ht="15" customHeight="1" x14ac:dyDescent="0.25">
      <c r="A491" s="11" t="s">
        <v>484</v>
      </c>
      <c r="B491" s="11">
        <v>100423</v>
      </c>
      <c r="C491" s="11" t="s">
        <v>1287</v>
      </c>
      <c r="D491" s="11" t="s">
        <v>486</v>
      </c>
      <c r="E491" s="12">
        <v>47550</v>
      </c>
      <c r="F491" s="13">
        <v>0</v>
      </c>
      <c r="G491" s="12">
        <v>0</v>
      </c>
      <c r="H491" s="11" t="s">
        <v>1288</v>
      </c>
    </row>
    <row r="492" spans="1:8" ht="15" customHeight="1" x14ac:dyDescent="0.25">
      <c r="A492" s="11" t="s">
        <v>484</v>
      </c>
      <c r="B492" s="11">
        <v>800404</v>
      </c>
      <c r="C492" s="11" t="s">
        <v>1289</v>
      </c>
      <c r="D492" s="11" t="s">
        <v>542</v>
      </c>
      <c r="E492" s="12">
        <v>281000</v>
      </c>
      <c r="F492" s="13">
        <v>0</v>
      </c>
      <c r="G492" s="12">
        <v>0</v>
      </c>
      <c r="H492" s="11" t="s">
        <v>1290</v>
      </c>
    </row>
    <row r="493" spans="1:8" ht="15" customHeight="1" x14ac:dyDescent="0.25">
      <c r="A493" s="11" t="s">
        <v>484</v>
      </c>
      <c r="B493" s="11">
        <v>100310</v>
      </c>
      <c r="C493" s="11" t="s">
        <v>1291</v>
      </c>
      <c r="D493" s="11" t="s">
        <v>486</v>
      </c>
      <c r="E493" s="12">
        <v>175000</v>
      </c>
      <c r="F493" s="13">
        <v>0</v>
      </c>
      <c r="G493" s="12">
        <v>0</v>
      </c>
      <c r="H493" s="11" t="s">
        <v>1292</v>
      </c>
    </row>
    <row r="494" spans="1:8" ht="15" customHeight="1" x14ac:dyDescent="0.25">
      <c r="A494" s="11" t="s">
        <v>484</v>
      </c>
      <c r="B494" s="11">
        <v>130319</v>
      </c>
      <c r="C494" s="11" t="s">
        <v>1293</v>
      </c>
      <c r="D494" s="11" t="s">
        <v>486</v>
      </c>
      <c r="E494" s="12">
        <v>8520</v>
      </c>
      <c r="F494" s="13">
        <v>0</v>
      </c>
      <c r="G494" s="12">
        <v>0</v>
      </c>
      <c r="H494" s="11" t="s">
        <v>56</v>
      </c>
    </row>
    <row r="495" spans="1:8" ht="15" customHeight="1" x14ac:dyDescent="0.25">
      <c r="A495" s="11" t="s">
        <v>484</v>
      </c>
      <c r="B495" s="11">
        <v>130309</v>
      </c>
      <c r="C495" s="11" t="s">
        <v>1294</v>
      </c>
      <c r="D495" s="11" t="s">
        <v>486</v>
      </c>
      <c r="E495" s="12">
        <v>9280</v>
      </c>
      <c r="F495" s="13">
        <v>0</v>
      </c>
      <c r="G495" s="12">
        <v>0</v>
      </c>
      <c r="H495" s="11" t="s">
        <v>1295</v>
      </c>
    </row>
    <row r="496" spans="1:8" ht="15" customHeight="1" x14ac:dyDescent="0.25">
      <c r="A496" s="11" t="s">
        <v>484</v>
      </c>
      <c r="B496" s="11">
        <v>120110</v>
      </c>
      <c r="C496" s="11" t="s">
        <v>1296</v>
      </c>
      <c r="D496" s="11" t="s">
        <v>486</v>
      </c>
      <c r="E496" s="12">
        <v>116000</v>
      </c>
      <c r="F496" s="13">
        <v>0</v>
      </c>
      <c r="G496" s="12">
        <v>0</v>
      </c>
      <c r="H496" s="11" t="s">
        <v>1297</v>
      </c>
    </row>
    <row r="497" spans="1:8" ht="15" customHeight="1" x14ac:dyDescent="0.25">
      <c r="A497" s="11" t="s">
        <v>484</v>
      </c>
      <c r="B497" s="11">
        <v>120111</v>
      </c>
      <c r="C497" s="11" t="s">
        <v>1298</v>
      </c>
      <c r="D497" s="11" t="s">
        <v>486</v>
      </c>
      <c r="E497" s="12">
        <v>122000</v>
      </c>
      <c r="F497" s="13">
        <v>0</v>
      </c>
      <c r="G497" s="12">
        <v>0</v>
      </c>
      <c r="H497" s="11" t="s">
        <v>1299</v>
      </c>
    </row>
    <row r="498" spans="1:8" ht="15" customHeight="1" x14ac:dyDescent="0.25">
      <c r="A498" s="11" t="s">
        <v>484</v>
      </c>
      <c r="B498" s="11">
        <v>666407</v>
      </c>
      <c r="C498" s="11" t="s">
        <v>1300</v>
      </c>
      <c r="D498" s="11" t="s">
        <v>499</v>
      </c>
      <c r="E498" s="12">
        <v>785</v>
      </c>
      <c r="F498" s="13">
        <v>7200</v>
      </c>
      <c r="G498" s="12">
        <v>5652000</v>
      </c>
      <c r="H498" s="11" t="s">
        <v>330</v>
      </c>
    </row>
    <row r="499" spans="1:8" ht="15" customHeight="1" x14ac:dyDescent="0.25">
      <c r="A499" s="11" t="s">
        <v>484</v>
      </c>
      <c r="B499" s="11">
        <v>200122</v>
      </c>
      <c r="C499" s="11" t="s">
        <v>1301</v>
      </c>
      <c r="D499" s="11" t="s">
        <v>486</v>
      </c>
      <c r="E499" s="12">
        <v>39500</v>
      </c>
      <c r="F499" s="13">
        <v>0</v>
      </c>
      <c r="G499" s="12">
        <v>0</v>
      </c>
      <c r="H499" s="11" t="s">
        <v>1302</v>
      </c>
    </row>
    <row r="500" spans="1:8" ht="15" customHeight="1" x14ac:dyDescent="0.25">
      <c r="A500" s="11" t="s">
        <v>484</v>
      </c>
      <c r="B500" s="11">
        <v>120112</v>
      </c>
      <c r="C500" s="11" t="s">
        <v>1303</v>
      </c>
      <c r="D500" s="11" t="s">
        <v>546</v>
      </c>
      <c r="E500" s="12">
        <v>158.82352941176501</v>
      </c>
      <c r="F500" s="13">
        <v>14280</v>
      </c>
      <c r="G500" s="12">
        <v>2268000</v>
      </c>
      <c r="H500" s="11" t="s">
        <v>153</v>
      </c>
    </row>
    <row r="501" spans="1:8" ht="15" customHeight="1" x14ac:dyDescent="0.25">
      <c r="A501" s="11" t="s">
        <v>484</v>
      </c>
      <c r="B501" s="11">
        <v>130320</v>
      </c>
      <c r="C501" s="11" t="s">
        <v>1304</v>
      </c>
      <c r="D501" s="11" t="s">
        <v>486</v>
      </c>
      <c r="E501" s="12">
        <v>44890</v>
      </c>
      <c r="F501" s="13">
        <v>0</v>
      </c>
      <c r="G501" s="12">
        <v>0</v>
      </c>
      <c r="H501" s="11" t="s">
        <v>1305</v>
      </c>
    </row>
    <row r="502" spans="1:8" ht="15" customHeight="1" x14ac:dyDescent="0.25">
      <c r="A502" s="11" t="s">
        <v>484</v>
      </c>
      <c r="B502" s="11">
        <v>130321</v>
      </c>
      <c r="C502" s="11" t="s">
        <v>1306</v>
      </c>
      <c r="D502" s="11" t="s">
        <v>486</v>
      </c>
      <c r="E502" s="12">
        <v>41425.199999999997</v>
      </c>
      <c r="F502" s="13">
        <v>0</v>
      </c>
      <c r="G502" s="12">
        <v>0</v>
      </c>
      <c r="H502" s="11" t="s">
        <v>1307</v>
      </c>
    </row>
    <row r="503" spans="1:8" ht="15" customHeight="1" x14ac:dyDescent="0.25">
      <c r="A503" s="11" t="s">
        <v>484</v>
      </c>
      <c r="B503" s="11">
        <v>800508</v>
      </c>
      <c r="C503" s="11" t="s">
        <v>1308</v>
      </c>
      <c r="D503" s="11" t="s">
        <v>486</v>
      </c>
      <c r="E503" s="12">
        <v>21480</v>
      </c>
      <c r="F503" s="13">
        <v>0</v>
      </c>
      <c r="G503" s="12">
        <v>0</v>
      </c>
      <c r="H503" s="11" t="s">
        <v>1309</v>
      </c>
    </row>
    <row r="504" spans="1:8" ht="15" customHeight="1" x14ac:dyDescent="0.25">
      <c r="A504" s="11" t="s">
        <v>484</v>
      </c>
      <c r="B504" s="11">
        <v>130322</v>
      </c>
      <c r="C504" s="11" t="s">
        <v>1310</v>
      </c>
      <c r="D504" s="11" t="s">
        <v>486</v>
      </c>
      <c r="E504" s="12">
        <v>8120</v>
      </c>
      <c r="F504" s="13">
        <v>0</v>
      </c>
      <c r="G504" s="12">
        <v>0</v>
      </c>
      <c r="H504" s="11" t="s">
        <v>35</v>
      </c>
    </row>
    <row r="505" spans="1:8" ht="15" customHeight="1" x14ac:dyDescent="0.25">
      <c r="A505" s="11" t="s">
        <v>484</v>
      </c>
      <c r="B505" s="11">
        <v>400603</v>
      </c>
      <c r="C505" s="11" t="s">
        <v>1311</v>
      </c>
      <c r="D505" s="11" t="s">
        <v>486</v>
      </c>
      <c r="E505" s="12">
        <v>107115</v>
      </c>
      <c r="F505" s="13">
        <v>44</v>
      </c>
      <c r="G505" s="12">
        <v>4713060</v>
      </c>
      <c r="H505" s="11" t="s">
        <v>186</v>
      </c>
    </row>
    <row r="506" spans="1:8" ht="15" customHeight="1" x14ac:dyDescent="0.25">
      <c r="A506" s="11" t="s">
        <v>484</v>
      </c>
      <c r="B506" s="11">
        <v>100218</v>
      </c>
      <c r="C506" s="11" t="s">
        <v>1312</v>
      </c>
      <c r="D506" s="11" t="s">
        <v>486</v>
      </c>
      <c r="E506" s="12">
        <v>59535.416666666701</v>
      </c>
      <c r="F506" s="13">
        <v>0</v>
      </c>
      <c r="G506" s="12">
        <v>0</v>
      </c>
      <c r="H506" s="11" t="s">
        <v>1313</v>
      </c>
    </row>
    <row r="507" spans="1:8" ht="15" customHeight="1" x14ac:dyDescent="0.25">
      <c r="A507" s="11" t="s">
        <v>484</v>
      </c>
      <c r="B507" s="11">
        <v>130323</v>
      </c>
      <c r="C507" s="11" t="s">
        <v>1314</v>
      </c>
      <c r="D507" s="11" t="s">
        <v>486</v>
      </c>
      <c r="E507" s="12">
        <v>9120</v>
      </c>
      <c r="F507" s="13">
        <v>800</v>
      </c>
      <c r="G507" s="12">
        <v>7296000</v>
      </c>
      <c r="H507" s="11" t="s">
        <v>46</v>
      </c>
    </row>
    <row r="508" spans="1:8" ht="15" customHeight="1" x14ac:dyDescent="0.25">
      <c r="A508" s="11" t="s">
        <v>484</v>
      </c>
      <c r="B508" s="11">
        <v>140203</v>
      </c>
      <c r="C508" s="11" t="s">
        <v>1315</v>
      </c>
      <c r="D508" s="11" t="s">
        <v>486</v>
      </c>
      <c r="E508" s="12">
        <v>45900</v>
      </c>
      <c r="F508" s="13">
        <v>0</v>
      </c>
      <c r="G508" s="12">
        <v>0</v>
      </c>
      <c r="H508" s="11" t="s">
        <v>1316</v>
      </c>
    </row>
    <row r="509" spans="1:8" ht="15" customHeight="1" x14ac:dyDescent="0.25">
      <c r="A509" s="11" t="s">
        <v>484</v>
      </c>
      <c r="B509" s="11">
        <v>140204</v>
      </c>
      <c r="C509" s="11" t="s">
        <v>1317</v>
      </c>
      <c r="D509" s="11" t="s">
        <v>486</v>
      </c>
      <c r="E509" s="12">
        <v>57200</v>
      </c>
      <c r="F509" s="13">
        <v>0</v>
      </c>
      <c r="G509" s="12">
        <v>0</v>
      </c>
      <c r="H509" s="11" t="s">
        <v>1318</v>
      </c>
    </row>
    <row r="510" spans="1:8" ht="15" customHeight="1" x14ac:dyDescent="0.25">
      <c r="A510" s="11" t="s">
        <v>484</v>
      </c>
      <c r="B510" s="11">
        <v>130110</v>
      </c>
      <c r="C510" s="11" t="s">
        <v>1319</v>
      </c>
      <c r="D510" s="11" t="s">
        <v>486</v>
      </c>
      <c r="E510" s="12">
        <v>10800</v>
      </c>
      <c r="F510" s="13">
        <v>0</v>
      </c>
      <c r="G510" s="12">
        <v>0</v>
      </c>
      <c r="H510" s="11" t="s">
        <v>1320</v>
      </c>
    </row>
    <row r="511" spans="1:8" ht="15" customHeight="1" x14ac:dyDescent="0.25">
      <c r="A511" s="11" t="s">
        <v>484</v>
      </c>
      <c r="B511" s="11">
        <v>200123</v>
      </c>
      <c r="C511" s="11" t="s">
        <v>1321</v>
      </c>
      <c r="D511" s="11" t="s">
        <v>496</v>
      </c>
      <c r="E511" s="12">
        <v>6250</v>
      </c>
      <c r="F511" s="13">
        <v>0</v>
      </c>
      <c r="G511" s="12">
        <v>0</v>
      </c>
      <c r="H511" s="11" t="s">
        <v>1322</v>
      </c>
    </row>
    <row r="512" spans="1:8" ht="15" customHeight="1" x14ac:dyDescent="0.25">
      <c r="A512" s="11" t="s">
        <v>484</v>
      </c>
      <c r="B512" s="11">
        <v>333511</v>
      </c>
      <c r="C512" s="11" t="s">
        <v>1323</v>
      </c>
      <c r="D512" s="11" t="s">
        <v>496</v>
      </c>
      <c r="E512" s="12">
        <v>1250</v>
      </c>
      <c r="F512" s="13">
        <v>0</v>
      </c>
      <c r="G512" s="12">
        <v>0</v>
      </c>
      <c r="H512" s="11" t="s">
        <v>1324</v>
      </c>
    </row>
    <row r="513" spans="1:8" ht="15" customHeight="1" x14ac:dyDescent="0.25">
      <c r="A513" s="11" t="s">
        <v>484</v>
      </c>
      <c r="B513" s="11">
        <v>600107</v>
      </c>
      <c r="C513" s="11" t="s">
        <v>1325</v>
      </c>
      <c r="D513" s="11" t="s">
        <v>486</v>
      </c>
      <c r="E513" s="12">
        <v>17400</v>
      </c>
      <c r="F513" s="13">
        <v>1100</v>
      </c>
      <c r="G513" s="12">
        <v>19140000</v>
      </c>
      <c r="H513" s="11" t="s">
        <v>40</v>
      </c>
    </row>
    <row r="514" spans="1:8" ht="15" customHeight="1" x14ac:dyDescent="0.25">
      <c r="A514" s="11" t="s">
        <v>484</v>
      </c>
      <c r="B514" s="11">
        <v>130324</v>
      </c>
      <c r="C514" s="11" t="s">
        <v>1326</v>
      </c>
      <c r="D514" s="11" t="s">
        <v>486</v>
      </c>
      <c r="E514" s="12">
        <v>42822.5</v>
      </c>
      <c r="F514" s="13">
        <v>380</v>
      </c>
      <c r="G514" s="12">
        <v>16272550</v>
      </c>
      <c r="H514" s="11" t="s">
        <v>457</v>
      </c>
    </row>
    <row r="515" spans="1:8" ht="15" customHeight="1" x14ac:dyDescent="0.25">
      <c r="A515" s="11" t="s">
        <v>484</v>
      </c>
      <c r="B515" s="11">
        <v>140205</v>
      </c>
      <c r="C515" s="11" t="s">
        <v>1327</v>
      </c>
      <c r="D515" s="11" t="s">
        <v>486</v>
      </c>
      <c r="E515" s="12">
        <v>44844</v>
      </c>
      <c r="F515" s="13">
        <v>90</v>
      </c>
      <c r="G515" s="12">
        <v>4035960</v>
      </c>
      <c r="H515" s="11" t="s">
        <v>212</v>
      </c>
    </row>
    <row r="516" spans="1:8" ht="15" customHeight="1" x14ac:dyDescent="0.25">
      <c r="A516" s="11" t="s">
        <v>484</v>
      </c>
      <c r="B516" s="11">
        <v>140206</v>
      </c>
      <c r="C516" s="11" t="s">
        <v>1328</v>
      </c>
      <c r="D516" s="11" t="s">
        <v>486</v>
      </c>
      <c r="E516" s="12">
        <v>56277</v>
      </c>
      <c r="F516" s="13">
        <v>105</v>
      </c>
      <c r="G516" s="12">
        <v>5909085</v>
      </c>
      <c r="H516" s="11" t="s">
        <v>253</v>
      </c>
    </row>
    <row r="517" spans="1:8" ht="15" customHeight="1" x14ac:dyDescent="0.25">
      <c r="A517" s="11" t="s">
        <v>484</v>
      </c>
      <c r="B517" s="11">
        <v>200124</v>
      </c>
      <c r="C517" s="11" t="s">
        <v>1329</v>
      </c>
      <c r="D517" s="11" t="s">
        <v>486</v>
      </c>
      <c r="E517" s="12">
        <v>35840</v>
      </c>
      <c r="F517" s="13">
        <v>0</v>
      </c>
      <c r="G517" s="12">
        <v>0</v>
      </c>
      <c r="H517" s="11" t="s">
        <v>1330</v>
      </c>
    </row>
    <row r="518" spans="1:8" ht="15" customHeight="1" x14ac:dyDescent="0.25">
      <c r="A518" s="11" t="s">
        <v>484</v>
      </c>
      <c r="B518" s="11">
        <v>400604</v>
      </c>
      <c r="C518" s="11" t="s">
        <v>1331</v>
      </c>
      <c r="D518" s="11" t="s">
        <v>486</v>
      </c>
      <c r="E518" s="12">
        <v>112665</v>
      </c>
      <c r="F518" s="13">
        <v>0</v>
      </c>
      <c r="G518" s="12">
        <v>0</v>
      </c>
      <c r="H518" s="11" t="s">
        <v>1332</v>
      </c>
    </row>
    <row r="519" spans="1:8" ht="15" customHeight="1" x14ac:dyDescent="0.25">
      <c r="A519" s="11" t="s">
        <v>484</v>
      </c>
      <c r="B519" s="11">
        <v>111216</v>
      </c>
      <c r="C519" s="11" t="s">
        <v>1333</v>
      </c>
      <c r="D519" s="11" t="s">
        <v>496</v>
      </c>
      <c r="E519" s="12">
        <v>8500</v>
      </c>
      <c r="F519" s="13">
        <v>0</v>
      </c>
      <c r="G519" s="12">
        <v>0</v>
      </c>
      <c r="H519" s="11" t="s">
        <v>1334</v>
      </c>
    </row>
    <row r="520" spans="1:8" ht="15" customHeight="1" x14ac:dyDescent="0.25">
      <c r="A520" s="11" t="s">
        <v>484</v>
      </c>
      <c r="B520" s="11">
        <v>111218</v>
      </c>
      <c r="C520" s="11" t="s">
        <v>1335</v>
      </c>
      <c r="D520" s="11" t="s">
        <v>496</v>
      </c>
      <c r="E520" s="12">
        <v>8500</v>
      </c>
      <c r="F520" s="13">
        <v>0</v>
      </c>
      <c r="G520" s="12">
        <v>0</v>
      </c>
      <c r="H520" s="11" t="s">
        <v>1336</v>
      </c>
    </row>
    <row r="521" spans="1:8" ht="15" customHeight="1" x14ac:dyDescent="0.25">
      <c r="A521" s="11" t="s">
        <v>484</v>
      </c>
      <c r="B521" s="11">
        <v>111221</v>
      </c>
      <c r="C521" s="11" t="s">
        <v>1337</v>
      </c>
      <c r="D521" s="11" t="s">
        <v>496</v>
      </c>
      <c r="E521" s="12">
        <v>8500</v>
      </c>
      <c r="F521" s="13">
        <v>0</v>
      </c>
      <c r="G521" s="12">
        <v>0</v>
      </c>
      <c r="H521" s="11" t="s">
        <v>1338</v>
      </c>
    </row>
    <row r="522" spans="1:8" ht="15" customHeight="1" x14ac:dyDescent="0.25">
      <c r="A522" s="11" t="s">
        <v>484</v>
      </c>
      <c r="B522" s="11">
        <v>111301</v>
      </c>
      <c r="C522" s="11" t="s">
        <v>1339</v>
      </c>
      <c r="D522" s="11" t="s">
        <v>496</v>
      </c>
      <c r="E522" s="12">
        <v>0</v>
      </c>
      <c r="F522" s="13">
        <v>0</v>
      </c>
      <c r="G522" s="12">
        <v>0</v>
      </c>
      <c r="H522" s="11" t="s">
        <v>1340</v>
      </c>
    </row>
    <row r="523" spans="1:8" ht="15" customHeight="1" x14ac:dyDescent="0.25">
      <c r="A523" s="11" t="s">
        <v>484</v>
      </c>
      <c r="B523" s="11">
        <v>444302</v>
      </c>
      <c r="C523" s="11" t="s">
        <v>1341</v>
      </c>
      <c r="D523" s="11" t="s">
        <v>486</v>
      </c>
      <c r="E523" s="12">
        <v>19000</v>
      </c>
      <c r="F523" s="13">
        <v>0</v>
      </c>
      <c r="G523" s="12">
        <v>0</v>
      </c>
      <c r="H523" s="11" t="s">
        <v>1342</v>
      </c>
    </row>
    <row r="524" spans="1:8" ht="15" customHeight="1" x14ac:dyDescent="0.25">
      <c r="A524" s="11" t="s">
        <v>484</v>
      </c>
      <c r="B524" s="11">
        <v>444301</v>
      </c>
      <c r="C524" s="11" t="s">
        <v>1343</v>
      </c>
      <c r="D524" s="11" t="s">
        <v>486</v>
      </c>
      <c r="E524" s="12">
        <v>19000</v>
      </c>
      <c r="F524" s="13">
        <v>0</v>
      </c>
      <c r="G524" s="12">
        <v>0</v>
      </c>
      <c r="H524" s="11" t="s">
        <v>1344</v>
      </c>
    </row>
    <row r="525" spans="1:8" ht="15" customHeight="1" x14ac:dyDescent="0.25">
      <c r="A525" s="11" t="s">
        <v>484</v>
      </c>
      <c r="B525" s="11">
        <v>444701</v>
      </c>
      <c r="C525" s="11" t="s">
        <v>1345</v>
      </c>
      <c r="D525" s="11">
        <v>1</v>
      </c>
      <c r="E525" s="12">
        <v>26000</v>
      </c>
      <c r="F525" s="13">
        <v>0</v>
      </c>
      <c r="G525" s="12">
        <v>0</v>
      </c>
      <c r="H525" s="11" t="s">
        <v>1346</v>
      </c>
    </row>
    <row r="526" spans="1:8" ht="15" customHeight="1" x14ac:dyDescent="0.25">
      <c r="A526" s="11" t="s">
        <v>484</v>
      </c>
      <c r="B526" s="11">
        <v>400201</v>
      </c>
      <c r="C526" s="11" t="s">
        <v>1347</v>
      </c>
      <c r="D526" s="11" t="s">
        <v>486</v>
      </c>
      <c r="E526" s="12">
        <v>10000</v>
      </c>
      <c r="F526" s="13">
        <v>0</v>
      </c>
      <c r="G526" s="12">
        <v>0</v>
      </c>
      <c r="H526" s="11" t="s">
        <v>1348</v>
      </c>
    </row>
    <row r="527" spans="1:8" ht="15" customHeight="1" x14ac:dyDescent="0.25">
      <c r="A527" s="11" t="s">
        <v>484</v>
      </c>
      <c r="B527" s="11">
        <v>400202</v>
      </c>
      <c r="C527" s="11" t="s">
        <v>1349</v>
      </c>
      <c r="D527" s="11" t="s">
        <v>486</v>
      </c>
      <c r="E527" s="12">
        <v>5000</v>
      </c>
      <c r="F527" s="13">
        <v>0</v>
      </c>
      <c r="G527" s="12">
        <v>0</v>
      </c>
      <c r="H527" s="11" t="s">
        <v>1350</v>
      </c>
    </row>
    <row r="528" spans="1:8" ht="15" customHeight="1" x14ac:dyDescent="0.25">
      <c r="A528" s="11" t="s">
        <v>484</v>
      </c>
      <c r="B528" s="11">
        <v>400203</v>
      </c>
      <c r="C528" s="11" t="s">
        <v>1351</v>
      </c>
      <c r="D528" s="11" t="s">
        <v>486</v>
      </c>
      <c r="E528" s="12">
        <v>11000</v>
      </c>
      <c r="F528" s="13">
        <v>0</v>
      </c>
      <c r="G528" s="12">
        <v>0</v>
      </c>
      <c r="H528" s="11" t="s">
        <v>1352</v>
      </c>
    </row>
    <row r="529" spans="1:8" ht="15" customHeight="1" x14ac:dyDescent="0.25">
      <c r="A529" s="11" t="s">
        <v>484</v>
      </c>
      <c r="B529" s="11">
        <v>400204</v>
      </c>
      <c r="C529" s="11" t="s">
        <v>1353</v>
      </c>
      <c r="D529" s="11" t="s">
        <v>486</v>
      </c>
      <c r="E529" s="12">
        <v>10500</v>
      </c>
      <c r="F529" s="13">
        <v>130.6</v>
      </c>
      <c r="G529" s="12">
        <v>1371300</v>
      </c>
      <c r="H529" s="11" t="s">
        <v>410</v>
      </c>
    </row>
    <row r="530" spans="1:8" ht="15" customHeight="1" x14ac:dyDescent="0.25">
      <c r="A530" s="11" t="s">
        <v>484</v>
      </c>
      <c r="B530" s="11">
        <v>400205</v>
      </c>
      <c r="C530" s="11" t="s">
        <v>1354</v>
      </c>
      <c r="D530" s="11" t="s">
        <v>486</v>
      </c>
      <c r="E530" s="12">
        <v>10500</v>
      </c>
      <c r="F530" s="13">
        <v>0</v>
      </c>
      <c r="G530" s="12">
        <v>0</v>
      </c>
      <c r="H530" s="11" t="s">
        <v>1355</v>
      </c>
    </row>
    <row r="531" spans="1:8" ht="15" customHeight="1" x14ac:dyDescent="0.25">
      <c r="A531" s="11" t="s">
        <v>484</v>
      </c>
      <c r="B531" s="11">
        <v>400505</v>
      </c>
      <c r="C531" s="11" t="s">
        <v>1356</v>
      </c>
      <c r="D531" s="11" t="s">
        <v>486</v>
      </c>
      <c r="E531" s="12">
        <v>27000</v>
      </c>
      <c r="F531" s="13">
        <v>0</v>
      </c>
      <c r="G531" s="12">
        <v>0</v>
      </c>
      <c r="H531" s="11" t="s">
        <v>1357</v>
      </c>
    </row>
    <row r="532" spans="1:8" ht="15" customHeight="1" x14ac:dyDescent="0.25">
      <c r="A532" s="11" t="s">
        <v>484</v>
      </c>
      <c r="B532" s="11">
        <v>400501</v>
      </c>
      <c r="C532" s="11" t="s">
        <v>1358</v>
      </c>
      <c r="D532" s="11" t="s">
        <v>486</v>
      </c>
      <c r="E532" s="12">
        <v>30000</v>
      </c>
      <c r="F532" s="13">
        <v>0</v>
      </c>
      <c r="G532" s="12">
        <v>0</v>
      </c>
      <c r="H532" s="11" t="s">
        <v>1359</v>
      </c>
    </row>
    <row r="533" spans="1:8" ht="15" customHeight="1" x14ac:dyDescent="0.25">
      <c r="A533" s="11" t="s">
        <v>484</v>
      </c>
      <c r="B533" s="11">
        <v>400502</v>
      </c>
      <c r="C533" s="11" t="s">
        <v>1360</v>
      </c>
      <c r="D533" s="11" t="s">
        <v>486</v>
      </c>
      <c r="E533" s="12">
        <v>26500</v>
      </c>
      <c r="F533" s="13">
        <v>1065</v>
      </c>
      <c r="G533" s="12">
        <v>28222500</v>
      </c>
      <c r="H533" s="11" t="s">
        <v>449</v>
      </c>
    </row>
    <row r="534" spans="1:8" ht="15" customHeight="1" x14ac:dyDescent="0.25">
      <c r="A534" s="11" t="s">
        <v>484</v>
      </c>
      <c r="B534" s="11">
        <v>400503</v>
      </c>
      <c r="C534" s="11" t="s">
        <v>1361</v>
      </c>
      <c r="D534" s="11" t="s">
        <v>486</v>
      </c>
      <c r="E534" s="12">
        <v>27000</v>
      </c>
      <c r="F534" s="13">
        <v>0</v>
      </c>
      <c r="G534" s="12">
        <v>0</v>
      </c>
      <c r="H534" s="11" t="s">
        <v>1362</v>
      </c>
    </row>
    <row r="535" spans="1:8" ht="15" customHeight="1" x14ac:dyDescent="0.25">
      <c r="A535" s="11" t="s">
        <v>484</v>
      </c>
      <c r="B535" s="11">
        <v>400504</v>
      </c>
      <c r="C535" s="11" t="s">
        <v>1363</v>
      </c>
      <c r="D535" s="11" t="s">
        <v>486</v>
      </c>
      <c r="E535" s="12">
        <v>26700</v>
      </c>
      <c r="F535" s="13">
        <v>0</v>
      </c>
      <c r="G535" s="12">
        <v>0</v>
      </c>
      <c r="H535" s="11" t="s">
        <v>1364</v>
      </c>
    </row>
    <row r="536" spans="1:8" ht="15" customHeight="1" x14ac:dyDescent="0.25">
      <c r="A536" s="11" t="s">
        <v>484</v>
      </c>
      <c r="B536" s="11">
        <v>400506</v>
      </c>
      <c r="C536" s="11" t="s">
        <v>1365</v>
      </c>
      <c r="D536" s="11" t="s">
        <v>486</v>
      </c>
      <c r="E536" s="12">
        <v>25200</v>
      </c>
      <c r="F536" s="13">
        <v>0</v>
      </c>
      <c r="G536" s="12">
        <v>0</v>
      </c>
      <c r="H536" s="11" t="s">
        <v>1366</v>
      </c>
    </row>
    <row r="537" spans="1:8" ht="15" customHeight="1" x14ac:dyDescent="0.25">
      <c r="A537" s="11" t="s">
        <v>484</v>
      </c>
      <c r="B537" s="11">
        <v>400206</v>
      </c>
      <c r="C537" s="11" t="s">
        <v>1367</v>
      </c>
      <c r="D537" s="11" t="s">
        <v>486</v>
      </c>
      <c r="E537" s="12">
        <v>11000</v>
      </c>
      <c r="F537" s="13">
        <v>0</v>
      </c>
      <c r="G537" s="12">
        <v>0</v>
      </c>
      <c r="H537" s="11" t="s">
        <v>1368</v>
      </c>
    </row>
    <row r="538" spans="1:8" ht="15" customHeight="1" x14ac:dyDescent="0.25">
      <c r="A538" s="11" t="s">
        <v>484</v>
      </c>
      <c r="B538" s="11">
        <v>400507</v>
      </c>
      <c r="C538" s="11" t="s">
        <v>1369</v>
      </c>
      <c r="D538" s="11" t="s">
        <v>486</v>
      </c>
      <c r="E538" s="12">
        <v>25000</v>
      </c>
      <c r="F538" s="13">
        <v>0</v>
      </c>
      <c r="G538" s="12">
        <v>0</v>
      </c>
      <c r="H538" s="11" t="s">
        <v>1370</v>
      </c>
    </row>
    <row r="539" spans="1:8" ht="15" customHeight="1" x14ac:dyDescent="0.25">
      <c r="A539" s="11" t="s">
        <v>484</v>
      </c>
      <c r="B539" s="11">
        <v>111712</v>
      </c>
      <c r="C539" s="11" t="s">
        <v>1371</v>
      </c>
      <c r="D539" s="11" t="s">
        <v>496</v>
      </c>
      <c r="E539" s="12">
        <v>833.33333333333303</v>
      </c>
      <c r="F539" s="13">
        <v>1800</v>
      </c>
      <c r="G539" s="12">
        <v>1500000</v>
      </c>
      <c r="H539" s="11" t="s">
        <v>59</v>
      </c>
    </row>
    <row r="540" spans="1:8" ht="15" customHeight="1" x14ac:dyDescent="0.25">
      <c r="A540" s="11" t="s">
        <v>484</v>
      </c>
      <c r="B540" s="11">
        <v>111713</v>
      </c>
      <c r="C540" s="11" t="s">
        <v>1372</v>
      </c>
      <c r="D540" s="11" t="s">
        <v>496</v>
      </c>
      <c r="E540" s="12">
        <v>600</v>
      </c>
      <c r="F540" s="13">
        <v>0</v>
      </c>
      <c r="G540" s="12">
        <v>0</v>
      </c>
      <c r="H540" s="11" t="s">
        <v>1373</v>
      </c>
    </row>
    <row r="541" spans="1:8" ht="15" customHeight="1" x14ac:dyDescent="0.25">
      <c r="A541" s="11" t="s">
        <v>484</v>
      </c>
      <c r="B541" s="11">
        <v>111714</v>
      </c>
      <c r="C541" s="11" t="s">
        <v>1374</v>
      </c>
      <c r="D541" s="11" t="s">
        <v>496</v>
      </c>
      <c r="E541" s="12">
        <v>600</v>
      </c>
      <c r="F541" s="13">
        <v>60</v>
      </c>
      <c r="G541" s="12">
        <v>36000</v>
      </c>
      <c r="H541" s="11" t="s">
        <v>146</v>
      </c>
    </row>
    <row r="542" spans="1:8" ht="15" customHeight="1" x14ac:dyDescent="0.25">
      <c r="A542" s="11" t="s">
        <v>484</v>
      </c>
      <c r="B542" s="11">
        <v>111715</v>
      </c>
      <c r="C542" s="11" t="s">
        <v>1375</v>
      </c>
      <c r="D542" s="11" t="s">
        <v>496</v>
      </c>
      <c r="E542" s="12">
        <v>600</v>
      </c>
      <c r="F542" s="13">
        <v>0</v>
      </c>
      <c r="G542" s="12">
        <v>0</v>
      </c>
      <c r="H542" s="11" t="s">
        <v>1376</v>
      </c>
    </row>
    <row r="543" spans="1:8" ht="15" customHeight="1" x14ac:dyDescent="0.25">
      <c r="A543" s="11" t="s">
        <v>484</v>
      </c>
      <c r="B543" s="11">
        <v>111716</v>
      </c>
      <c r="C543" s="11" t="s">
        <v>1377</v>
      </c>
      <c r="D543" s="11" t="s">
        <v>496</v>
      </c>
      <c r="E543" s="12">
        <v>600</v>
      </c>
      <c r="F543" s="13">
        <v>2290</v>
      </c>
      <c r="G543" s="12">
        <v>1374000</v>
      </c>
      <c r="H543" s="11" t="s">
        <v>63</v>
      </c>
    </row>
    <row r="544" spans="1:8" ht="15" customHeight="1" x14ac:dyDescent="0.25">
      <c r="A544" s="11" t="s">
        <v>484</v>
      </c>
      <c r="B544" s="11">
        <v>111717</v>
      </c>
      <c r="C544" s="11" t="s">
        <v>1378</v>
      </c>
      <c r="D544" s="11" t="s">
        <v>496</v>
      </c>
      <c r="E544" s="12">
        <v>600</v>
      </c>
      <c r="F544" s="13">
        <v>0</v>
      </c>
      <c r="G544" s="12">
        <v>0</v>
      </c>
      <c r="H544" s="11" t="s">
        <v>1379</v>
      </c>
    </row>
    <row r="545" spans="1:8" ht="15" customHeight="1" x14ac:dyDescent="0.25">
      <c r="A545" s="11" t="s">
        <v>484</v>
      </c>
      <c r="B545" s="11">
        <v>111718</v>
      </c>
      <c r="C545" s="11" t="s">
        <v>1380</v>
      </c>
      <c r="D545" s="11" t="s">
        <v>496</v>
      </c>
      <c r="E545" s="12">
        <v>600</v>
      </c>
      <c r="F545" s="13">
        <v>2000</v>
      </c>
      <c r="G545" s="12">
        <v>1200000</v>
      </c>
      <c r="H545" s="11" t="s">
        <v>66</v>
      </c>
    </row>
    <row r="546" spans="1:8" ht="15" customHeight="1" x14ac:dyDescent="0.25">
      <c r="A546" s="11" t="s">
        <v>484</v>
      </c>
      <c r="B546" s="11">
        <v>111719</v>
      </c>
      <c r="C546" s="11" t="s">
        <v>1381</v>
      </c>
      <c r="D546" s="11" t="s">
        <v>496</v>
      </c>
      <c r="E546" s="12">
        <v>600</v>
      </c>
      <c r="F546" s="13">
        <v>2410</v>
      </c>
      <c r="G546" s="12">
        <v>1446000</v>
      </c>
      <c r="H546" s="11" t="s">
        <v>62</v>
      </c>
    </row>
    <row r="547" spans="1:8" ht="15" customHeight="1" x14ac:dyDescent="0.25">
      <c r="A547" s="11" t="s">
        <v>484</v>
      </c>
      <c r="B547" s="11">
        <v>111720</v>
      </c>
      <c r="C547" s="11" t="s">
        <v>1382</v>
      </c>
      <c r="D547" s="11" t="s">
        <v>496</v>
      </c>
      <c r="E547" s="12">
        <v>600</v>
      </c>
      <c r="F547" s="13">
        <v>5500</v>
      </c>
      <c r="G547" s="12">
        <v>3300000</v>
      </c>
      <c r="H547" s="11" t="s">
        <v>47</v>
      </c>
    </row>
    <row r="548" spans="1:8" ht="15" customHeight="1" x14ac:dyDescent="0.25">
      <c r="A548" s="11" t="s">
        <v>484</v>
      </c>
      <c r="B548" s="11">
        <v>111721</v>
      </c>
      <c r="C548" s="11" t="s">
        <v>1383</v>
      </c>
      <c r="D548" s="11" t="s">
        <v>496</v>
      </c>
      <c r="E548" s="12">
        <v>600</v>
      </c>
      <c r="F548" s="13">
        <v>1500</v>
      </c>
      <c r="G548" s="12">
        <v>900000</v>
      </c>
      <c r="H548" s="11" t="s">
        <v>71</v>
      </c>
    </row>
    <row r="549" spans="1:8" ht="15" customHeight="1" x14ac:dyDescent="0.25">
      <c r="A549" s="11" t="s">
        <v>484</v>
      </c>
      <c r="B549" s="11">
        <v>111722</v>
      </c>
      <c r="C549" s="11" t="s">
        <v>1384</v>
      </c>
      <c r="D549" s="11" t="s">
        <v>496</v>
      </c>
      <c r="E549" s="12">
        <v>3000</v>
      </c>
      <c r="F549" s="13">
        <v>840</v>
      </c>
      <c r="G549" s="12">
        <v>2520000</v>
      </c>
      <c r="H549" s="11" t="s">
        <v>301</v>
      </c>
    </row>
    <row r="550" spans="1:8" ht="15" customHeight="1" x14ac:dyDescent="0.25">
      <c r="A550" s="11" t="s">
        <v>484</v>
      </c>
      <c r="B550" s="11">
        <v>111723</v>
      </c>
      <c r="C550" s="11" t="s">
        <v>1385</v>
      </c>
      <c r="D550" s="11" t="s">
        <v>496</v>
      </c>
      <c r="E550" s="12">
        <v>3000</v>
      </c>
      <c r="F550" s="13">
        <v>850</v>
      </c>
      <c r="G550" s="12">
        <v>2550000</v>
      </c>
      <c r="H550" s="11" t="s">
        <v>303</v>
      </c>
    </row>
    <row r="551" spans="1:8" ht="15" customHeight="1" x14ac:dyDescent="0.25">
      <c r="A551" s="11" t="s">
        <v>484</v>
      </c>
      <c r="B551" s="11">
        <v>111724</v>
      </c>
      <c r="C551" s="11" t="s">
        <v>1386</v>
      </c>
      <c r="D551" s="11" t="s">
        <v>496</v>
      </c>
      <c r="E551" s="12">
        <v>3000</v>
      </c>
      <c r="F551" s="13">
        <v>1195</v>
      </c>
      <c r="G551" s="12">
        <v>3585000</v>
      </c>
      <c r="H551" s="11" t="s">
        <v>305</v>
      </c>
    </row>
    <row r="552" spans="1:8" ht="15" customHeight="1" x14ac:dyDescent="0.25">
      <c r="A552" s="11" t="s">
        <v>484</v>
      </c>
      <c r="B552" s="11">
        <v>111725</v>
      </c>
      <c r="C552" s="11" t="s">
        <v>1387</v>
      </c>
      <c r="D552" s="11" t="s">
        <v>496</v>
      </c>
      <c r="E552" s="12">
        <v>3000</v>
      </c>
      <c r="F552" s="13">
        <v>1369</v>
      </c>
      <c r="G552" s="12">
        <v>4107000</v>
      </c>
      <c r="H552" s="11" t="s">
        <v>307</v>
      </c>
    </row>
    <row r="553" spans="1:8" ht="15" customHeight="1" x14ac:dyDescent="0.25">
      <c r="A553" s="11" t="s">
        <v>484</v>
      </c>
      <c r="B553" s="11">
        <v>111726</v>
      </c>
      <c r="C553" s="11" t="s">
        <v>1388</v>
      </c>
      <c r="D553" s="11" t="s">
        <v>496</v>
      </c>
      <c r="E553" s="12">
        <v>3000</v>
      </c>
      <c r="F553" s="13">
        <v>1483</v>
      </c>
      <c r="G553" s="12">
        <v>4449000</v>
      </c>
      <c r="H553" s="11" t="s">
        <v>309</v>
      </c>
    </row>
    <row r="554" spans="1:8" ht="15" customHeight="1" x14ac:dyDescent="0.25">
      <c r="A554" s="11" t="s">
        <v>484</v>
      </c>
      <c r="B554" s="11">
        <v>111727</v>
      </c>
      <c r="C554" s="11" t="s">
        <v>1389</v>
      </c>
      <c r="D554" s="11" t="s">
        <v>496</v>
      </c>
      <c r="E554" s="12">
        <v>3000</v>
      </c>
      <c r="F554" s="13">
        <v>1600</v>
      </c>
      <c r="G554" s="12">
        <v>4800000</v>
      </c>
      <c r="H554" s="11" t="s">
        <v>311</v>
      </c>
    </row>
    <row r="555" spans="1:8" ht="15" customHeight="1" x14ac:dyDescent="0.25">
      <c r="A555" s="11" t="s">
        <v>484</v>
      </c>
      <c r="B555" s="11">
        <v>111728</v>
      </c>
      <c r="C555" s="11" t="s">
        <v>1390</v>
      </c>
      <c r="D555" s="11" t="s">
        <v>496</v>
      </c>
      <c r="E555" s="12">
        <v>3000</v>
      </c>
      <c r="F555" s="13">
        <v>1606</v>
      </c>
      <c r="G555" s="12">
        <v>4818000</v>
      </c>
      <c r="H555" s="11" t="s">
        <v>313</v>
      </c>
    </row>
    <row r="556" spans="1:8" ht="15" customHeight="1" x14ac:dyDescent="0.25">
      <c r="A556" s="11" t="s">
        <v>484</v>
      </c>
      <c r="B556" s="11">
        <v>111729</v>
      </c>
      <c r="C556" s="11" t="s">
        <v>1391</v>
      </c>
      <c r="D556" s="11" t="s">
        <v>496</v>
      </c>
      <c r="E556" s="12">
        <v>3000</v>
      </c>
      <c r="F556" s="13">
        <v>1612</v>
      </c>
      <c r="G556" s="12">
        <v>4836000</v>
      </c>
      <c r="H556" s="11" t="s">
        <v>315</v>
      </c>
    </row>
    <row r="557" spans="1:8" ht="15" customHeight="1" x14ac:dyDescent="0.25">
      <c r="A557" s="11" t="s">
        <v>484</v>
      </c>
      <c r="B557" s="11">
        <v>111730</v>
      </c>
      <c r="C557" s="11" t="s">
        <v>1392</v>
      </c>
      <c r="D557" s="11" t="s">
        <v>496</v>
      </c>
      <c r="E557" s="12">
        <v>3000</v>
      </c>
      <c r="F557" s="13">
        <v>1730</v>
      </c>
      <c r="G557" s="12">
        <v>5190000</v>
      </c>
      <c r="H557" s="11" t="s">
        <v>317</v>
      </c>
    </row>
    <row r="558" spans="1:8" ht="15" customHeight="1" x14ac:dyDescent="0.25">
      <c r="A558" s="11" t="s">
        <v>484</v>
      </c>
      <c r="B558" s="11">
        <v>111731</v>
      </c>
      <c r="C558" s="11" t="s">
        <v>1393</v>
      </c>
      <c r="D558" s="11" t="s">
        <v>496</v>
      </c>
      <c r="E558" s="12">
        <v>3000</v>
      </c>
      <c r="F558" s="13">
        <v>1530</v>
      </c>
      <c r="G558" s="12">
        <v>4590000</v>
      </c>
      <c r="H558" s="11" t="s">
        <v>299</v>
      </c>
    </row>
    <row r="559" spans="1:8" ht="15" customHeight="1" x14ac:dyDescent="0.25">
      <c r="A559" s="11" t="s">
        <v>484</v>
      </c>
      <c r="B559" s="11">
        <v>111732</v>
      </c>
      <c r="C559" s="11" t="s">
        <v>1394</v>
      </c>
      <c r="D559" s="11" t="s">
        <v>496</v>
      </c>
      <c r="E559" s="12">
        <v>1917</v>
      </c>
      <c r="F559" s="13">
        <v>21</v>
      </c>
      <c r="G559" s="12">
        <v>40257</v>
      </c>
      <c r="H559" s="11" t="s">
        <v>300</v>
      </c>
    </row>
    <row r="560" spans="1:8" ht="15" customHeight="1" x14ac:dyDescent="0.25">
      <c r="A560" s="11" t="s">
        <v>484</v>
      </c>
      <c r="B560" s="11">
        <v>111733</v>
      </c>
      <c r="C560" s="11" t="s">
        <v>1395</v>
      </c>
      <c r="D560" s="11" t="s">
        <v>496</v>
      </c>
      <c r="E560" s="12">
        <v>1917</v>
      </c>
      <c r="F560" s="13">
        <v>13</v>
      </c>
      <c r="G560" s="12">
        <v>24921</v>
      </c>
      <c r="H560" s="11" t="s">
        <v>302</v>
      </c>
    </row>
    <row r="561" spans="1:8" ht="15" customHeight="1" x14ac:dyDescent="0.25">
      <c r="A561" s="11" t="s">
        <v>484</v>
      </c>
      <c r="B561" s="11">
        <v>111734</v>
      </c>
      <c r="C561" s="11" t="s">
        <v>1396</v>
      </c>
      <c r="D561" s="11" t="s">
        <v>496</v>
      </c>
      <c r="E561" s="12">
        <v>1917</v>
      </c>
      <c r="F561" s="13">
        <v>14</v>
      </c>
      <c r="G561" s="12">
        <v>26838</v>
      </c>
      <c r="H561" s="11" t="s">
        <v>304</v>
      </c>
    </row>
    <row r="562" spans="1:8" ht="15" customHeight="1" x14ac:dyDescent="0.25">
      <c r="A562" s="11" t="s">
        <v>484</v>
      </c>
      <c r="B562" s="11">
        <v>111735</v>
      </c>
      <c r="C562" s="11" t="s">
        <v>1397</v>
      </c>
      <c r="D562" s="11" t="s">
        <v>496</v>
      </c>
      <c r="E562" s="12">
        <v>1917</v>
      </c>
      <c r="F562" s="13">
        <v>14</v>
      </c>
      <c r="G562" s="12">
        <v>26838</v>
      </c>
      <c r="H562" s="11" t="s">
        <v>306</v>
      </c>
    </row>
    <row r="563" spans="1:8" ht="15" customHeight="1" x14ac:dyDescent="0.25">
      <c r="A563" s="11" t="s">
        <v>484</v>
      </c>
      <c r="B563" s="11">
        <v>111736</v>
      </c>
      <c r="C563" s="11" t="s">
        <v>1398</v>
      </c>
      <c r="D563" s="11" t="s">
        <v>496</v>
      </c>
      <c r="E563" s="12">
        <v>1917</v>
      </c>
      <c r="F563" s="13">
        <v>23</v>
      </c>
      <c r="G563" s="12">
        <v>44091</v>
      </c>
      <c r="H563" s="11" t="s">
        <v>308</v>
      </c>
    </row>
    <row r="564" spans="1:8" ht="15" customHeight="1" x14ac:dyDescent="0.25">
      <c r="A564" s="11" t="s">
        <v>484</v>
      </c>
      <c r="B564" s="11">
        <v>111737</v>
      </c>
      <c r="C564" s="11" t="s">
        <v>1399</v>
      </c>
      <c r="D564" s="11" t="s">
        <v>496</v>
      </c>
      <c r="E564" s="12">
        <v>1917</v>
      </c>
      <c r="F564" s="13">
        <v>12</v>
      </c>
      <c r="G564" s="12">
        <v>23004</v>
      </c>
      <c r="H564" s="11" t="s">
        <v>310</v>
      </c>
    </row>
    <row r="565" spans="1:8" ht="15" customHeight="1" x14ac:dyDescent="0.25">
      <c r="A565" s="11" t="s">
        <v>484</v>
      </c>
      <c r="B565" s="11">
        <v>111738</v>
      </c>
      <c r="C565" s="11" t="s">
        <v>1400</v>
      </c>
      <c r="D565" s="11" t="s">
        <v>496</v>
      </c>
      <c r="E565" s="12">
        <v>1917</v>
      </c>
      <c r="F565" s="13">
        <v>14</v>
      </c>
      <c r="G565" s="12">
        <v>26838</v>
      </c>
      <c r="H565" s="11" t="s">
        <v>312</v>
      </c>
    </row>
    <row r="566" spans="1:8" ht="15" customHeight="1" x14ac:dyDescent="0.25">
      <c r="A566" s="11" t="s">
        <v>484</v>
      </c>
      <c r="B566" s="11">
        <v>111739</v>
      </c>
      <c r="C566" s="11" t="s">
        <v>1401</v>
      </c>
      <c r="D566" s="11" t="s">
        <v>496</v>
      </c>
      <c r="E566" s="12">
        <v>1917</v>
      </c>
      <c r="F566" s="13">
        <v>14</v>
      </c>
      <c r="G566" s="12">
        <v>26838</v>
      </c>
      <c r="H566" s="11" t="s">
        <v>314</v>
      </c>
    </row>
    <row r="567" spans="1:8" ht="15" customHeight="1" x14ac:dyDescent="0.25">
      <c r="A567" s="11" t="s">
        <v>484</v>
      </c>
      <c r="B567" s="11">
        <v>111740</v>
      </c>
      <c r="C567" s="11" t="s">
        <v>1402</v>
      </c>
      <c r="D567" s="11" t="s">
        <v>496</v>
      </c>
      <c r="E567" s="12">
        <v>1917</v>
      </c>
      <c r="F567" s="13">
        <v>16</v>
      </c>
      <c r="G567" s="12">
        <v>30672</v>
      </c>
      <c r="H567" s="11" t="s">
        <v>316</v>
      </c>
    </row>
    <row r="568" spans="1:8" ht="15" customHeight="1" x14ac:dyDescent="0.25">
      <c r="A568" s="11" t="s">
        <v>484</v>
      </c>
      <c r="B568" s="11">
        <v>111741</v>
      </c>
      <c r="C568" s="11" t="s">
        <v>1403</v>
      </c>
      <c r="D568" s="11" t="s">
        <v>496</v>
      </c>
      <c r="E568" s="12">
        <v>1917</v>
      </c>
      <c r="F568" s="13">
        <v>14</v>
      </c>
      <c r="G568" s="12">
        <v>26838</v>
      </c>
      <c r="H568" s="11" t="s">
        <v>318</v>
      </c>
    </row>
    <row r="569" spans="1:8" ht="15" customHeight="1" x14ac:dyDescent="0.25">
      <c r="A569" s="11" t="s">
        <v>484</v>
      </c>
      <c r="B569" s="11">
        <v>111742</v>
      </c>
      <c r="C569" s="11" t="s">
        <v>1404</v>
      </c>
      <c r="D569" s="11" t="s">
        <v>496</v>
      </c>
      <c r="E569" s="12">
        <v>2750</v>
      </c>
      <c r="F569" s="13">
        <v>0</v>
      </c>
      <c r="G569" s="12">
        <v>0</v>
      </c>
      <c r="H569" s="11" t="s">
        <v>1405</v>
      </c>
    </row>
    <row r="570" spans="1:8" ht="15" customHeight="1" x14ac:dyDescent="0.25">
      <c r="A570" s="11" t="s">
        <v>484</v>
      </c>
      <c r="B570" s="11">
        <v>111743</v>
      </c>
      <c r="C570" s="11" t="s">
        <v>1406</v>
      </c>
      <c r="D570" s="11" t="s">
        <v>496</v>
      </c>
      <c r="E570" s="12">
        <v>3250</v>
      </c>
      <c r="F570" s="13">
        <v>0</v>
      </c>
      <c r="G570" s="12">
        <v>0</v>
      </c>
      <c r="H570" s="11" t="s">
        <v>1407</v>
      </c>
    </row>
    <row r="571" spans="1:8" ht="15" customHeight="1" x14ac:dyDescent="0.25">
      <c r="A571" s="11" t="s">
        <v>484</v>
      </c>
      <c r="B571" s="11">
        <v>111744</v>
      </c>
      <c r="C571" s="11" t="s">
        <v>1408</v>
      </c>
      <c r="D571" s="11" t="s">
        <v>496</v>
      </c>
      <c r="E571" s="12">
        <v>30000</v>
      </c>
      <c r="F571" s="13">
        <v>0</v>
      </c>
      <c r="G571" s="12">
        <v>0</v>
      </c>
      <c r="H571" s="11" t="s">
        <v>1409</v>
      </c>
    </row>
    <row r="572" spans="1:8" ht="15" customHeight="1" x14ac:dyDescent="0.25">
      <c r="A572" s="11" t="s">
        <v>484</v>
      </c>
      <c r="B572" s="11">
        <v>111745</v>
      </c>
      <c r="C572" s="11" t="s">
        <v>1410</v>
      </c>
      <c r="D572" s="11" t="s">
        <v>496</v>
      </c>
      <c r="E572" s="12">
        <v>2750</v>
      </c>
      <c r="F572" s="13">
        <v>240</v>
      </c>
      <c r="G572" s="12">
        <v>660000</v>
      </c>
      <c r="H572" s="11" t="s">
        <v>320</v>
      </c>
    </row>
    <row r="573" spans="1:8" ht="15" customHeight="1" x14ac:dyDescent="0.25">
      <c r="A573" s="11" t="s">
        <v>484</v>
      </c>
      <c r="B573" s="11">
        <v>111746</v>
      </c>
      <c r="C573" s="11" t="s">
        <v>1411</v>
      </c>
      <c r="D573" s="11" t="s">
        <v>496</v>
      </c>
      <c r="E573" s="12">
        <v>1600</v>
      </c>
      <c r="F573" s="13">
        <v>870</v>
      </c>
      <c r="G573" s="12">
        <v>1392000</v>
      </c>
      <c r="H573" s="11" t="s">
        <v>319</v>
      </c>
    </row>
    <row r="574" spans="1:8" ht="15" customHeight="1" x14ac:dyDescent="0.25">
      <c r="A574" s="11" t="s">
        <v>484</v>
      </c>
      <c r="B574" s="11">
        <v>111229</v>
      </c>
      <c r="C574" s="11" t="s">
        <v>1412</v>
      </c>
      <c r="D574" s="11" t="s">
        <v>499</v>
      </c>
      <c r="E574" s="12">
        <v>12000</v>
      </c>
      <c r="F574" s="13">
        <v>0</v>
      </c>
      <c r="G574" s="12">
        <v>0</v>
      </c>
      <c r="H574" s="11" t="s">
        <v>1413</v>
      </c>
    </row>
    <row r="575" spans="1:8" ht="15" customHeight="1" x14ac:dyDescent="0.25">
      <c r="A575" s="11" t="s">
        <v>484</v>
      </c>
      <c r="B575" s="11">
        <v>333208</v>
      </c>
      <c r="C575" s="11" t="s">
        <v>1414</v>
      </c>
      <c r="D575" s="11" t="s">
        <v>496</v>
      </c>
      <c r="E575" s="12">
        <v>125</v>
      </c>
      <c r="F575" s="13">
        <v>0</v>
      </c>
      <c r="G575" s="12">
        <v>0</v>
      </c>
      <c r="H575" s="11" t="s">
        <v>1415</v>
      </c>
    </row>
    <row r="576" spans="1:8" ht="15" customHeight="1" x14ac:dyDescent="0.25">
      <c r="A576" s="11" t="s">
        <v>484</v>
      </c>
      <c r="B576" s="11">
        <v>111507</v>
      </c>
      <c r="C576" s="11" t="s">
        <v>1416</v>
      </c>
      <c r="D576" s="11" t="s">
        <v>496</v>
      </c>
      <c r="E576" s="12">
        <v>2000</v>
      </c>
      <c r="F576" s="13">
        <v>2</v>
      </c>
      <c r="G576" s="12">
        <v>4000</v>
      </c>
      <c r="H576" s="11" t="s">
        <v>149</v>
      </c>
    </row>
    <row r="577" spans="1:8" ht="15" customHeight="1" x14ac:dyDescent="0.25">
      <c r="A577" s="11" t="s">
        <v>484</v>
      </c>
      <c r="B577" s="11">
        <v>111508</v>
      </c>
      <c r="C577" s="11" t="s">
        <v>1417</v>
      </c>
      <c r="D577" s="11" t="s">
        <v>496</v>
      </c>
      <c r="E577" s="12">
        <v>2000</v>
      </c>
      <c r="F577" s="13">
        <v>260</v>
      </c>
      <c r="G577" s="12">
        <v>520000</v>
      </c>
      <c r="H577" s="11" t="s">
        <v>90</v>
      </c>
    </row>
    <row r="578" spans="1:8" ht="15" customHeight="1" x14ac:dyDescent="0.25">
      <c r="A578" s="11" t="s">
        <v>484</v>
      </c>
      <c r="B578" s="11">
        <v>111504</v>
      </c>
      <c r="C578" s="11" t="s">
        <v>1418</v>
      </c>
      <c r="D578" s="11" t="s">
        <v>496</v>
      </c>
      <c r="E578" s="12">
        <v>850</v>
      </c>
      <c r="F578" s="13">
        <v>82</v>
      </c>
      <c r="G578" s="12">
        <v>69700</v>
      </c>
      <c r="H578" s="11" t="s">
        <v>275</v>
      </c>
    </row>
    <row r="579" spans="1:8" ht="15" customHeight="1" x14ac:dyDescent="0.25">
      <c r="A579" s="11" t="s">
        <v>484</v>
      </c>
      <c r="B579" s="11">
        <v>111747</v>
      </c>
      <c r="C579" s="11" t="s">
        <v>1419</v>
      </c>
      <c r="D579" s="11" t="s">
        <v>499</v>
      </c>
      <c r="E579" s="12">
        <v>750</v>
      </c>
      <c r="F579" s="13">
        <v>576</v>
      </c>
      <c r="G579" s="12">
        <v>432000</v>
      </c>
      <c r="H579" s="11" t="s">
        <v>281</v>
      </c>
    </row>
    <row r="580" spans="1:8" ht="15" customHeight="1" x14ac:dyDescent="0.25">
      <c r="A580" s="11" t="s">
        <v>484</v>
      </c>
      <c r="B580" s="11">
        <v>111748</v>
      </c>
      <c r="C580" s="11" t="s">
        <v>1420</v>
      </c>
      <c r="D580" s="11" t="s">
        <v>499</v>
      </c>
      <c r="E580" s="12">
        <v>750</v>
      </c>
      <c r="F580" s="13">
        <v>48</v>
      </c>
      <c r="G580" s="12">
        <v>36000</v>
      </c>
      <c r="H580" s="11" t="s">
        <v>282</v>
      </c>
    </row>
    <row r="581" spans="1:8" ht="15" customHeight="1" x14ac:dyDescent="0.25">
      <c r="A581" s="11" t="s">
        <v>484</v>
      </c>
      <c r="B581" s="11">
        <v>111749</v>
      </c>
      <c r="C581" s="11" t="s">
        <v>1421</v>
      </c>
      <c r="D581" s="11" t="s">
        <v>499</v>
      </c>
      <c r="E581" s="12">
        <v>750</v>
      </c>
      <c r="F581" s="13">
        <v>144</v>
      </c>
      <c r="G581" s="12">
        <v>108000</v>
      </c>
      <c r="H581" s="11" t="s">
        <v>283</v>
      </c>
    </row>
    <row r="582" spans="1:8" ht="15" customHeight="1" x14ac:dyDescent="0.25">
      <c r="A582" s="11" t="s">
        <v>484</v>
      </c>
      <c r="B582" s="11">
        <v>111750</v>
      </c>
      <c r="C582" s="11" t="s">
        <v>1422</v>
      </c>
      <c r="D582" s="11" t="s">
        <v>499</v>
      </c>
      <c r="E582" s="12">
        <v>750</v>
      </c>
      <c r="F582" s="13">
        <v>480</v>
      </c>
      <c r="G582" s="12">
        <v>360000</v>
      </c>
      <c r="H582" s="11" t="s">
        <v>284</v>
      </c>
    </row>
    <row r="583" spans="1:8" ht="15" customHeight="1" x14ac:dyDescent="0.25">
      <c r="A583" s="11" t="s">
        <v>484</v>
      </c>
      <c r="B583" s="11">
        <v>111751</v>
      </c>
      <c r="C583" s="11" t="s">
        <v>1423</v>
      </c>
      <c r="D583" s="11" t="s">
        <v>499</v>
      </c>
      <c r="E583" s="12">
        <v>750</v>
      </c>
      <c r="F583" s="13">
        <v>624</v>
      </c>
      <c r="G583" s="12">
        <v>468000</v>
      </c>
      <c r="H583" s="11" t="s">
        <v>285</v>
      </c>
    </row>
    <row r="584" spans="1:8" ht="15" customHeight="1" x14ac:dyDescent="0.25">
      <c r="A584" s="11" t="s">
        <v>484</v>
      </c>
      <c r="B584" s="11">
        <v>111752</v>
      </c>
      <c r="C584" s="11" t="s">
        <v>1424</v>
      </c>
      <c r="D584" s="11" t="s">
        <v>499</v>
      </c>
      <c r="E584" s="12">
        <v>750</v>
      </c>
      <c r="F584" s="13">
        <v>504</v>
      </c>
      <c r="G584" s="12">
        <v>378000</v>
      </c>
      <c r="H584" s="11" t="s">
        <v>286</v>
      </c>
    </row>
    <row r="585" spans="1:8" ht="15" customHeight="1" x14ac:dyDescent="0.25">
      <c r="A585" s="11" t="s">
        <v>484</v>
      </c>
      <c r="B585" s="11">
        <v>111753</v>
      </c>
      <c r="C585" s="11" t="s">
        <v>1425</v>
      </c>
      <c r="D585" s="11" t="s">
        <v>499</v>
      </c>
      <c r="E585" s="12">
        <v>750</v>
      </c>
      <c r="F585" s="13">
        <v>2064</v>
      </c>
      <c r="G585" s="12">
        <v>1548000</v>
      </c>
      <c r="H585" s="11" t="s">
        <v>287</v>
      </c>
    </row>
    <row r="586" spans="1:8" ht="15" customHeight="1" x14ac:dyDescent="0.25">
      <c r="A586" s="11" t="s">
        <v>484</v>
      </c>
      <c r="B586" s="11">
        <v>111754</v>
      </c>
      <c r="C586" s="11" t="s">
        <v>1426</v>
      </c>
      <c r="D586" s="11" t="s">
        <v>499</v>
      </c>
      <c r="E586" s="12">
        <v>750</v>
      </c>
      <c r="F586" s="13">
        <v>2112</v>
      </c>
      <c r="G586" s="12">
        <v>1584000</v>
      </c>
      <c r="H586" s="11" t="s">
        <v>288</v>
      </c>
    </row>
    <row r="587" spans="1:8" ht="15" customHeight="1" x14ac:dyDescent="0.25">
      <c r="A587" s="11" t="s">
        <v>484</v>
      </c>
      <c r="B587" s="11">
        <v>111755</v>
      </c>
      <c r="C587" s="11" t="s">
        <v>1427</v>
      </c>
      <c r="D587" s="11" t="s">
        <v>499</v>
      </c>
      <c r="E587" s="12">
        <v>750</v>
      </c>
      <c r="F587" s="13">
        <v>1452</v>
      </c>
      <c r="G587" s="12">
        <v>1089000</v>
      </c>
      <c r="H587" s="11" t="s">
        <v>289</v>
      </c>
    </row>
    <row r="588" spans="1:8" ht="15" customHeight="1" x14ac:dyDescent="0.25">
      <c r="A588" s="11" t="s">
        <v>484</v>
      </c>
      <c r="B588" s="11">
        <v>111756</v>
      </c>
      <c r="C588" s="11" t="s">
        <v>1428</v>
      </c>
      <c r="D588" s="11" t="s">
        <v>499</v>
      </c>
      <c r="E588" s="12">
        <v>750</v>
      </c>
      <c r="F588" s="13">
        <v>492</v>
      </c>
      <c r="G588" s="12">
        <v>369000</v>
      </c>
      <c r="H588" s="11" t="s">
        <v>290</v>
      </c>
    </row>
    <row r="589" spans="1:8" ht="15" customHeight="1" x14ac:dyDescent="0.25">
      <c r="A589" s="11" t="s">
        <v>484</v>
      </c>
      <c r="B589" s="11">
        <v>333407</v>
      </c>
      <c r="C589" s="11" t="s">
        <v>1429</v>
      </c>
      <c r="D589" s="11" t="s">
        <v>496</v>
      </c>
      <c r="E589" s="12">
        <v>7000</v>
      </c>
      <c r="F589" s="13">
        <v>400</v>
      </c>
      <c r="G589" s="12">
        <v>2800000</v>
      </c>
      <c r="H589" s="11" t="s">
        <v>213</v>
      </c>
    </row>
    <row r="590" spans="1:8" ht="15" customHeight="1" x14ac:dyDescent="0.25">
      <c r="A590" s="11" t="s">
        <v>484</v>
      </c>
      <c r="B590" s="11">
        <v>800405</v>
      </c>
      <c r="C590" s="11" t="s">
        <v>1430</v>
      </c>
      <c r="D590" s="11" t="s">
        <v>642</v>
      </c>
      <c r="E590" s="12">
        <v>21250</v>
      </c>
      <c r="F590" s="13">
        <v>0</v>
      </c>
      <c r="G590" s="12">
        <v>0</v>
      </c>
      <c r="H590" s="11" t="s">
        <v>1431</v>
      </c>
    </row>
    <row r="591" spans="1:8" ht="15" customHeight="1" x14ac:dyDescent="0.25">
      <c r="A591" s="11" t="s">
        <v>484</v>
      </c>
      <c r="B591" s="11">
        <v>111757</v>
      </c>
      <c r="C591" s="11" t="s">
        <v>1432</v>
      </c>
      <c r="D591" s="11" t="s">
        <v>499</v>
      </c>
      <c r="E591" s="12">
        <v>833.33333333333303</v>
      </c>
      <c r="F591" s="13">
        <v>1326</v>
      </c>
      <c r="G591" s="12">
        <v>1105000</v>
      </c>
      <c r="H591" s="11" t="s">
        <v>157</v>
      </c>
    </row>
    <row r="592" spans="1:8" ht="15" customHeight="1" x14ac:dyDescent="0.25">
      <c r="A592" s="11" t="s">
        <v>484</v>
      </c>
      <c r="B592" s="11">
        <v>111758</v>
      </c>
      <c r="C592" s="11" t="s">
        <v>1433</v>
      </c>
      <c r="D592" s="11" t="s">
        <v>499</v>
      </c>
      <c r="E592" s="12">
        <v>833.33333333333303</v>
      </c>
      <c r="F592" s="13">
        <v>0</v>
      </c>
      <c r="G592" s="12">
        <v>0</v>
      </c>
      <c r="H592" s="11" t="s">
        <v>1434</v>
      </c>
    </row>
    <row r="593" spans="1:8" ht="15" customHeight="1" x14ac:dyDescent="0.25">
      <c r="A593" s="11" t="s">
        <v>484</v>
      </c>
      <c r="B593" s="11">
        <v>111759</v>
      </c>
      <c r="C593" s="11" t="s">
        <v>1435</v>
      </c>
      <c r="D593" s="11" t="s">
        <v>499</v>
      </c>
      <c r="E593" s="12">
        <v>833.33333333333303</v>
      </c>
      <c r="F593" s="13">
        <v>1176</v>
      </c>
      <c r="G593" s="12">
        <v>980000</v>
      </c>
      <c r="H593" s="11" t="s">
        <v>158</v>
      </c>
    </row>
    <row r="594" spans="1:8" ht="15" customHeight="1" x14ac:dyDescent="0.25">
      <c r="A594" s="11" t="s">
        <v>484</v>
      </c>
      <c r="B594" s="11">
        <v>111760</v>
      </c>
      <c r="C594" s="11" t="s">
        <v>1436</v>
      </c>
      <c r="D594" s="11" t="s">
        <v>499</v>
      </c>
      <c r="E594" s="12">
        <v>833.33333333333303</v>
      </c>
      <c r="F594" s="13">
        <v>420</v>
      </c>
      <c r="G594" s="12">
        <v>350000</v>
      </c>
      <c r="H594" s="11" t="s">
        <v>164</v>
      </c>
    </row>
    <row r="595" spans="1:8" ht="15" customHeight="1" x14ac:dyDescent="0.25">
      <c r="A595" s="11" t="s">
        <v>484</v>
      </c>
      <c r="B595" s="11">
        <v>111761</v>
      </c>
      <c r="C595" s="11" t="s">
        <v>1437</v>
      </c>
      <c r="D595" s="11" t="s">
        <v>499</v>
      </c>
      <c r="E595" s="12">
        <v>833.33333333333303</v>
      </c>
      <c r="F595" s="13">
        <v>600</v>
      </c>
      <c r="G595" s="12">
        <v>500000</v>
      </c>
      <c r="H595" s="11" t="s">
        <v>161</v>
      </c>
    </row>
    <row r="596" spans="1:8" ht="15" customHeight="1" x14ac:dyDescent="0.25">
      <c r="A596" s="11" t="s">
        <v>484</v>
      </c>
      <c r="B596" s="11">
        <v>111905</v>
      </c>
      <c r="C596" s="11" t="s">
        <v>1438</v>
      </c>
      <c r="D596" s="11" t="s">
        <v>499</v>
      </c>
      <c r="E596" s="12">
        <v>3500</v>
      </c>
      <c r="F596" s="13">
        <v>155</v>
      </c>
      <c r="G596" s="12">
        <v>542500</v>
      </c>
      <c r="H596" s="11" t="s">
        <v>150</v>
      </c>
    </row>
    <row r="597" spans="1:8" ht="15" customHeight="1" x14ac:dyDescent="0.25">
      <c r="A597" s="11" t="s">
        <v>484</v>
      </c>
      <c r="B597" s="11">
        <v>111909</v>
      </c>
      <c r="C597" s="11" t="s">
        <v>1439</v>
      </c>
      <c r="D597" s="11" t="s">
        <v>499</v>
      </c>
      <c r="E597" s="12">
        <v>3500</v>
      </c>
      <c r="F597" s="13">
        <v>204</v>
      </c>
      <c r="G597" s="12">
        <v>714000</v>
      </c>
      <c r="H597" s="11" t="s">
        <v>75</v>
      </c>
    </row>
    <row r="598" spans="1:8" ht="15" customHeight="1" x14ac:dyDescent="0.25">
      <c r="A598" s="11" t="s">
        <v>484</v>
      </c>
      <c r="B598" s="11">
        <v>111911</v>
      </c>
      <c r="C598" s="11" t="s">
        <v>1440</v>
      </c>
      <c r="D598" s="11" t="s">
        <v>499</v>
      </c>
      <c r="E598" s="12">
        <v>3500</v>
      </c>
      <c r="F598" s="13">
        <v>72</v>
      </c>
      <c r="G598" s="12">
        <v>252000</v>
      </c>
      <c r="H598" s="11" t="s">
        <v>116</v>
      </c>
    </row>
    <row r="599" spans="1:8" ht="15" customHeight="1" x14ac:dyDescent="0.25">
      <c r="A599" s="11" t="s">
        <v>484</v>
      </c>
      <c r="B599" s="11">
        <v>111912</v>
      </c>
      <c r="C599" s="11" t="s">
        <v>1441</v>
      </c>
      <c r="D599" s="11" t="s">
        <v>499</v>
      </c>
      <c r="E599" s="12">
        <v>3500</v>
      </c>
      <c r="F599" s="13">
        <v>84</v>
      </c>
      <c r="G599" s="12">
        <v>294000</v>
      </c>
      <c r="H599" s="11" t="s">
        <v>112</v>
      </c>
    </row>
    <row r="600" spans="1:8" ht="15" customHeight="1" x14ac:dyDescent="0.25">
      <c r="A600" s="11" t="s">
        <v>484</v>
      </c>
      <c r="B600" s="11">
        <v>111913</v>
      </c>
      <c r="C600" s="11" t="s">
        <v>1442</v>
      </c>
      <c r="D600" s="11" t="s">
        <v>499</v>
      </c>
      <c r="E600" s="12">
        <v>3500</v>
      </c>
      <c r="F600" s="13">
        <v>216</v>
      </c>
      <c r="G600" s="12">
        <v>756000</v>
      </c>
      <c r="H600" s="11" t="s">
        <v>466</v>
      </c>
    </row>
    <row r="601" spans="1:8" ht="15" customHeight="1" x14ac:dyDescent="0.25">
      <c r="A601" s="11" t="s">
        <v>484</v>
      </c>
      <c r="B601" s="11">
        <v>111917</v>
      </c>
      <c r="C601" s="11" t="s">
        <v>1443</v>
      </c>
      <c r="D601" s="11" t="s">
        <v>499</v>
      </c>
      <c r="E601" s="12">
        <v>3500</v>
      </c>
      <c r="F601" s="13">
        <v>132</v>
      </c>
      <c r="G601" s="12">
        <v>462000</v>
      </c>
      <c r="H601" s="11" t="s">
        <v>470</v>
      </c>
    </row>
    <row r="602" spans="1:8" ht="15" customHeight="1" x14ac:dyDescent="0.25">
      <c r="A602" s="11" t="s">
        <v>484</v>
      </c>
      <c r="B602" s="11">
        <v>111918</v>
      </c>
      <c r="C602" s="11" t="s">
        <v>1444</v>
      </c>
      <c r="D602" s="11" t="s">
        <v>499</v>
      </c>
      <c r="E602" s="12">
        <v>3500</v>
      </c>
      <c r="F602" s="13">
        <v>156</v>
      </c>
      <c r="G602" s="12">
        <v>546000</v>
      </c>
      <c r="H602" s="11" t="s">
        <v>469</v>
      </c>
    </row>
    <row r="603" spans="1:8" ht="15" customHeight="1" x14ac:dyDescent="0.25">
      <c r="A603" s="11" t="s">
        <v>484</v>
      </c>
      <c r="B603" s="11">
        <v>111919</v>
      </c>
      <c r="C603" s="11" t="s">
        <v>1445</v>
      </c>
      <c r="D603" s="11" t="s">
        <v>499</v>
      </c>
      <c r="E603" s="12">
        <v>3500</v>
      </c>
      <c r="F603" s="13">
        <v>144</v>
      </c>
      <c r="G603" s="12">
        <v>504000</v>
      </c>
      <c r="H603" s="11" t="s">
        <v>468</v>
      </c>
    </row>
    <row r="604" spans="1:8" ht="15" customHeight="1" x14ac:dyDescent="0.25">
      <c r="A604" s="11" t="s">
        <v>484</v>
      </c>
      <c r="B604" s="11">
        <v>111906</v>
      </c>
      <c r="C604" s="11" t="s">
        <v>1446</v>
      </c>
      <c r="D604" s="11" t="s">
        <v>499</v>
      </c>
      <c r="E604" s="12">
        <v>3500</v>
      </c>
      <c r="F604" s="13">
        <v>84</v>
      </c>
      <c r="G604" s="12">
        <v>294000</v>
      </c>
      <c r="H604" s="11" t="s">
        <v>467</v>
      </c>
    </row>
    <row r="605" spans="1:8" ht="15" customHeight="1" x14ac:dyDescent="0.25">
      <c r="A605" s="11" t="s">
        <v>484</v>
      </c>
      <c r="B605" s="11">
        <v>120113</v>
      </c>
      <c r="C605" s="11" t="s">
        <v>1447</v>
      </c>
      <c r="D605" s="11" t="s">
        <v>486</v>
      </c>
      <c r="E605" s="12">
        <v>50358</v>
      </c>
      <c r="F605" s="13">
        <v>0</v>
      </c>
      <c r="G605" s="12">
        <v>0</v>
      </c>
      <c r="H605" s="11" t="s">
        <v>1448</v>
      </c>
    </row>
    <row r="606" spans="1:8" ht="15" customHeight="1" x14ac:dyDescent="0.25">
      <c r="A606" s="11" t="s">
        <v>484</v>
      </c>
      <c r="B606" s="11">
        <v>400113</v>
      </c>
      <c r="C606" s="11" t="s">
        <v>1449</v>
      </c>
      <c r="D606" s="11" t="s">
        <v>486</v>
      </c>
      <c r="E606" s="12">
        <v>152070</v>
      </c>
      <c r="F606" s="13">
        <v>71</v>
      </c>
      <c r="G606" s="12">
        <v>10796970</v>
      </c>
      <c r="H606" s="11" t="s">
        <v>179</v>
      </c>
    </row>
    <row r="607" spans="1:8" ht="15" customHeight="1" x14ac:dyDescent="0.25">
      <c r="A607" s="11" t="s">
        <v>484</v>
      </c>
      <c r="B607" s="11">
        <v>333512</v>
      </c>
      <c r="C607" s="11" t="s">
        <v>1450</v>
      </c>
      <c r="D607" s="11" t="s">
        <v>496</v>
      </c>
      <c r="E607" s="12">
        <v>7000</v>
      </c>
      <c r="F607" s="13">
        <v>55</v>
      </c>
      <c r="G607" s="12">
        <v>385000</v>
      </c>
      <c r="H607" s="11" t="s">
        <v>435</v>
      </c>
    </row>
    <row r="608" spans="1:8" ht="15" customHeight="1" x14ac:dyDescent="0.25">
      <c r="A608" s="11" t="s">
        <v>484</v>
      </c>
      <c r="B608" s="11">
        <v>400114</v>
      </c>
      <c r="C608" s="11" t="s">
        <v>1451</v>
      </c>
      <c r="D608" s="11" t="s">
        <v>486</v>
      </c>
      <c r="E608" s="12">
        <v>80000</v>
      </c>
      <c r="F608" s="13">
        <v>0</v>
      </c>
      <c r="G608" s="12">
        <v>0</v>
      </c>
      <c r="H608" s="11" t="s">
        <v>1452</v>
      </c>
    </row>
    <row r="609" spans="1:8" ht="15" customHeight="1" x14ac:dyDescent="0.25">
      <c r="A609" s="11" t="s">
        <v>484</v>
      </c>
      <c r="B609" s="11">
        <v>444906</v>
      </c>
      <c r="C609" s="11" t="s">
        <v>1453</v>
      </c>
      <c r="D609" s="11" t="s">
        <v>496</v>
      </c>
      <c r="E609" s="12">
        <v>280</v>
      </c>
      <c r="F609" s="13">
        <v>0</v>
      </c>
      <c r="G609" s="12">
        <v>0</v>
      </c>
      <c r="H609" s="11" t="s">
        <v>1454</v>
      </c>
    </row>
    <row r="610" spans="1:8" ht="15" customHeight="1" x14ac:dyDescent="0.25">
      <c r="A610" s="11" t="s">
        <v>484</v>
      </c>
      <c r="B610" s="11">
        <v>111823</v>
      </c>
      <c r="C610" s="11" t="s">
        <v>1455</v>
      </c>
      <c r="D610" s="11" t="s">
        <v>496</v>
      </c>
      <c r="E610" s="12">
        <v>10500</v>
      </c>
      <c r="F610" s="13">
        <v>30</v>
      </c>
      <c r="G610" s="12">
        <v>315000</v>
      </c>
      <c r="H610" s="11" t="s">
        <v>109</v>
      </c>
    </row>
    <row r="611" spans="1:8" ht="15" customHeight="1" x14ac:dyDescent="0.25">
      <c r="A611" s="11" t="s">
        <v>484</v>
      </c>
      <c r="B611" s="11">
        <v>111817</v>
      </c>
      <c r="C611" s="11" t="s">
        <v>1456</v>
      </c>
      <c r="D611" s="11" t="s">
        <v>496</v>
      </c>
      <c r="E611" s="12">
        <v>12500</v>
      </c>
      <c r="F611" s="13">
        <v>290</v>
      </c>
      <c r="G611" s="12">
        <v>3625000</v>
      </c>
      <c r="H611" s="11" t="s">
        <v>44</v>
      </c>
    </row>
    <row r="612" spans="1:8" ht="15" customHeight="1" x14ac:dyDescent="0.25">
      <c r="A612" s="11" t="s">
        <v>484</v>
      </c>
      <c r="B612" s="11">
        <v>111805</v>
      </c>
      <c r="C612" s="11" t="s">
        <v>1457</v>
      </c>
      <c r="D612" s="11" t="s">
        <v>496</v>
      </c>
      <c r="E612" s="12">
        <v>6000</v>
      </c>
      <c r="F612" s="13">
        <v>161</v>
      </c>
      <c r="G612" s="12">
        <v>966000</v>
      </c>
      <c r="H612" s="11" t="s">
        <v>70</v>
      </c>
    </row>
    <row r="613" spans="1:8" ht="15" customHeight="1" x14ac:dyDescent="0.25">
      <c r="A613" s="11" t="s">
        <v>484</v>
      </c>
      <c r="B613" s="11">
        <v>111801</v>
      </c>
      <c r="C613" s="11" t="s">
        <v>1458</v>
      </c>
      <c r="D613" s="11" t="s">
        <v>496</v>
      </c>
      <c r="E613" s="12">
        <v>11500</v>
      </c>
      <c r="F613" s="13">
        <v>0</v>
      </c>
      <c r="G613" s="12">
        <v>0</v>
      </c>
      <c r="H613" s="11" t="s">
        <v>1459</v>
      </c>
    </row>
    <row r="614" spans="1:8" ht="15" customHeight="1" x14ac:dyDescent="0.25">
      <c r="A614" s="11" t="s">
        <v>484</v>
      </c>
      <c r="B614" s="11">
        <v>111818</v>
      </c>
      <c r="C614" s="11" t="s">
        <v>1460</v>
      </c>
      <c r="D614" s="11" t="s">
        <v>496</v>
      </c>
      <c r="E614" s="12">
        <v>6000</v>
      </c>
      <c r="F614" s="13">
        <v>91</v>
      </c>
      <c r="G614" s="12">
        <v>546000</v>
      </c>
      <c r="H614" s="11" t="s">
        <v>86</v>
      </c>
    </row>
    <row r="615" spans="1:8" ht="15" customHeight="1" x14ac:dyDescent="0.25">
      <c r="A615" s="11" t="s">
        <v>484</v>
      </c>
      <c r="B615" s="11">
        <v>111821</v>
      </c>
      <c r="C615" s="11" t="s">
        <v>1461</v>
      </c>
      <c r="D615" s="11" t="s">
        <v>496</v>
      </c>
      <c r="E615" s="12">
        <v>9500</v>
      </c>
      <c r="F615" s="13">
        <v>25</v>
      </c>
      <c r="G615" s="12">
        <v>237500</v>
      </c>
      <c r="H615" s="11" t="s">
        <v>119</v>
      </c>
    </row>
    <row r="616" spans="1:8" ht="15" customHeight="1" x14ac:dyDescent="0.25">
      <c r="A616" s="11" t="s">
        <v>484</v>
      </c>
      <c r="B616" s="11">
        <v>111814</v>
      </c>
      <c r="C616" s="11" t="s">
        <v>1462</v>
      </c>
      <c r="D616" s="11" t="s">
        <v>496</v>
      </c>
      <c r="E616" s="12">
        <v>11500</v>
      </c>
      <c r="F616" s="13">
        <v>197</v>
      </c>
      <c r="G616" s="12">
        <v>2265500</v>
      </c>
      <c r="H616" s="11" t="s">
        <v>52</v>
      </c>
    </row>
    <row r="617" spans="1:8" ht="15" customHeight="1" x14ac:dyDescent="0.25">
      <c r="A617" s="11" t="s">
        <v>484</v>
      </c>
      <c r="B617" s="11">
        <v>111802</v>
      </c>
      <c r="C617" s="11" t="s">
        <v>1463</v>
      </c>
      <c r="D617" s="11" t="s">
        <v>496</v>
      </c>
      <c r="E617" s="12">
        <v>17500</v>
      </c>
      <c r="F617" s="13">
        <v>25</v>
      </c>
      <c r="G617" s="12">
        <v>437500</v>
      </c>
      <c r="H617" s="11" t="s">
        <v>99</v>
      </c>
    </row>
    <row r="618" spans="1:8" ht="15" customHeight="1" x14ac:dyDescent="0.25">
      <c r="A618" s="11" t="s">
        <v>484</v>
      </c>
      <c r="B618" s="11">
        <v>111826</v>
      </c>
      <c r="C618" s="11" t="s">
        <v>1464</v>
      </c>
      <c r="D618" s="11" t="s">
        <v>496</v>
      </c>
      <c r="E618" s="12">
        <v>6500</v>
      </c>
      <c r="F618" s="13">
        <v>18</v>
      </c>
      <c r="G618" s="12">
        <v>117000</v>
      </c>
      <c r="H618" s="11" t="s">
        <v>129</v>
      </c>
    </row>
    <row r="619" spans="1:8" ht="15" customHeight="1" x14ac:dyDescent="0.25">
      <c r="A619" s="11" t="s">
        <v>484</v>
      </c>
      <c r="B619" s="11">
        <v>111827</v>
      </c>
      <c r="C619" s="11" t="s">
        <v>1465</v>
      </c>
      <c r="D619" s="11" t="s">
        <v>496</v>
      </c>
      <c r="E619" s="12">
        <v>9500</v>
      </c>
      <c r="F619" s="13">
        <v>22</v>
      </c>
      <c r="G619" s="12">
        <v>209000</v>
      </c>
      <c r="H619" s="11" t="s">
        <v>120</v>
      </c>
    </row>
    <row r="620" spans="1:8" ht="15" customHeight="1" x14ac:dyDescent="0.25">
      <c r="A620" s="11" t="s">
        <v>484</v>
      </c>
      <c r="B620" s="11">
        <v>111828</v>
      </c>
      <c r="C620" s="11" t="s">
        <v>1466</v>
      </c>
      <c r="D620" s="11" t="s">
        <v>496</v>
      </c>
      <c r="E620" s="12">
        <v>10500</v>
      </c>
      <c r="F620" s="13">
        <v>19</v>
      </c>
      <c r="G620" s="12">
        <v>199500</v>
      </c>
      <c r="H620" s="11" t="s">
        <v>122</v>
      </c>
    </row>
    <row r="621" spans="1:8" ht="15" customHeight="1" x14ac:dyDescent="0.25">
      <c r="A621" s="11" t="s">
        <v>484</v>
      </c>
      <c r="B621" s="11">
        <v>111829</v>
      </c>
      <c r="C621" s="11" t="s">
        <v>1467</v>
      </c>
      <c r="D621" s="11" t="s">
        <v>496</v>
      </c>
      <c r="E621" s="12">
        <v>10000</v>
      </c>
      <c r="F621" s="13">
        <v>6</v>
      </c>
      <c r="G621" s="12">
        <v>60000</v>
      </c>
      <c r="H621" s="11" t="s">
        <v>141</v>
      </c>
    </row>
    <row r="622" spans="1:8" ht="15" customHeight="1" x14ac:dyDescent="0.25">
      <c r="A622" s="11" t="s">
        <v>484</v>
      </c>
      <c r="B622" s="11">
        <v>555916</v>
      </c>
      <c r="C622" s="11" t="s">
        <v>1468</v>
      </c>
      <c r="D622" s="11" t="s">
        <v>499</v>
      </c>
      <c r="E622" s="12">
        <v>1850</v>
      </c>
      <c r="F622" s="13">
        <v>3300</v>
      </c>
      <c r="G622" s="12">
        <v>6105000</v>
      </c>
      <c r="H622" s="11" t="s">
        <v>229</v>
      </c>
    </row>
    <row r="623" spans="1:8" ht="15" customHeight="1" x14ac:dyDescent="0.25">
      <c r="A623" s="11" t="s">
        <v>484</v>
      </c>
      <c r="B623" s="11">
        <v>111811</v>
      </c>
      <c r="C623" s="11" t="s">
        <v>1469</v>
      </c>
      <c r="D623" s="11" t="s">
        <v>496</v>
      </c>
      <c r="E623" s="12">
        <v>180000</v>
      </c>
      <c r="F623" s="13">
        <v>0</v>
      </c>
      <c r="G623" s="12">
        <v>0</v>
      </c>
      <c r="H623" s="11" t="s">
        <v>1470</v>
      </c>
    </row>
    <row r="624" spans="1:8" ht="15" customHeight="1" x14ac:dyDescent="0.25">
      <c r="A624" s="11" t="s">
        <v>484</v>
      </c>
      <c r="B624" s="11">
        <v>111813</v>
      </c>
      <c r="C624" s="11" t="s">
        <v>1471</v>
      </c>
      <c r="D624" s="11" t="s">
        <v>496</v>
      </c>
      <c r="E624" s="12">
        <v>150000</v>
      </c>
      <c r="F624" s="13">
        <v>0</v>
      </c>
      <c r="G624" s="12">
        <v>0</v>
      </c>
      <c r="H624" s="11" t="s">
        <v>1472</v>
      </c>
    </row>
    <row r="625" spans="1:8" ht="15" customHeight="1" x14ac:dyDescent="0.25">
      <c r="A625" s="11" t="s">
        <v>484</v>
      </c>
      <c r="B625" s="11">
        <v>777415</v>
      </c>
      <c r="C625" s="11" t="s">
        <v>1473</v>
      </c>
      <c r="D625" s="11" t="s">
        <v>496</v>
      </c>
      <c r="E625" s="12">
        <v>210</v>
      </c>
      <c r="F625" s="13">
        <v>0</v>
      </c>
      <c r="G625" s="12">
        <v>0</v>
      </c>
      <c r="H625" s="11" t="s">
        <v>1474</v>
      </c>
    </row>
    <row r="626" spans="1:8" ht="15" customHeight="1" x14ac:dyDescent="0.25">
      <c r="A626" s="11" t="s">
        <v>484</v>
      </c>
      <c r="B626" s="11">
        <v>130325</v>
      </c>
      <c r="C626" s="11" t="s">
        <v>1475</v>
      </c>
      <c r="D626" s="11" t="s">
        <v>486</v>
      </c>
      <c r="E626" s="12">
        <v>8392</v>
      </c>
      <c r="F626" s="13">
        <v>0</v>
      </c>
      <c r="G626" s="12">
        <v>0</v>
      </c>
      <c r="H626" s="11" t="s">
        <v>1476</v>
      </c>
    </row>
    <row r="627" spans="1:8" ht="15" customHeight="1" x14ac:dyDescent="0.25">
      <c r="A627" s="11" t="s">
        <v>484</v>
      </c>
      <c r="B627" s="11">
        <v>600108</v>
      </c>
      <c r="C627" s="11" t="s">
        <v>1477</v>
      </c>
      <c r="D627" s="11" t="s">
        <v>486</v>
      </c>
      <c r="E627" s="12">
        <v>0</v>
      </c>
      <c r="F627" s="13">
        <v>0</v>
      </c>
      <c r="G627" s="12">
        <v>0</v>
      </c>
      <c r="H627" s="11" t="s">
        <v>1478</v>
      </c>
    </row>
    <row r="628" spans="1:8" ht="15" customHeight="1" x14ac:dyDescent="0.25">
      <c r="A628" s="11" t="s">
        <v>484</v>
      </c>
      <c r="B628" s="11">
        <v>111921</v>
      </c>
      <c r="C628" s="11" t="s">
        <v>1479</v>
      </c>
      <c r="D628" s="11" t="s">
        <v>496</v>
      </c>
      <c r="E628" s="12">
        <v>3500</v>
      </c>
      <c r="F628" s="13">
        <v>180</v>
      </c>
      <c r="G628" s="12">
        <v>630000</v>
      </c>
      <c r="H628" s="11" t="s">
        <v>80</v>
      </c>
    </row>
    <row r="629" spans="1:8" ht="15" customHeight="1" x14ac:dyDescent="0.25">
      <c r="A629" s="11" t="s">
        <v>484</v>
      </c>
      <c r="B629" s="11">
        <v>400115</v>
      </c>
      <c r="C629" s="11" t="s">
        <v>1480</v>
      </c>
      <c r="D629" s="11" t="s">
        <v>486</v>
      </c>
      <c r="E629" s="12">
        <v>97222.222222222204</v>
      </c>
      <c r="F629" s="13">
        <v>0</v>
      </c>
      <c r="G629" s="12">
        <v>0</v>
      </c>
      <c r="H629" s="11" t="s">
        <v>1481</v>
      </c>
    </row>
    <row r="630" spans="1:8" ht="15" customHeight="1" x14ac:dyDescent="0.25">
      <c r="A630" s="11" t="s">
        <v>484</v>
      </c>
      <c r="B630" s="11">
        <v>111505</v>
      </c>
      <c r="C630" s="11" t="s">
        <v>1482</v>
      </c>
      <c r="D630" s="11" t="s">
        <v>496</v>
      </c>
      <c r="E630" s="12">
        <v>7500</v>
      </c>
      <c r="F630" s="13">
        <v>67</v>
      </c>
      <c r="G630" s="12">
        <v>502500</v>
      </c>
      <c r="H630" s="11" t="s">
        <v>462</v>
      </c>
    </row>
    <row r="631" spans="1:8" ht="15" customHeight="1" x14ac:dyDescent="0.25">
      <c r="A631" s="11" t="s">
        <v>484</v>
      </c>
      <c r="B631" s="11">
        <v>100523</v>
      </c>
      <c r="C631" s="11" t="s">
        <v>1483</v>
      </c>
      <c r="D631" s="11" t="s">
        <v>1484</v>
      </c>
      <c r="E631" s="12">
        <v>20958.52</v>
      </c>
      <c r="F631" s="13">
        <v>575</v>
      </c>
      <c r="G631" s="12">
        <v>12051149</v>
      </c>
      <c r="H631" s="11" t="s">
        <v>471</v>
      </c>
    </row>
    <row r="632" spans="1:8" ht="15" customHeight="1" x14ac:dyDescent="0.25">
      <c r="A632" s="11" t="s">
        <v>484</v>
      </c>
      <c r="B632" s="11">
        <v>222210</v>
      </c>
      <c r="C632" s="11" t="s">
        <v>1485</v>
      </c>
      <c r="D632" s="11" t="s">
        <v>496</v>
      </c>
      <c r="E632" s="12">
        <v>0</v>
      </c>
      <c r="F632" s="13">
        <v>0</v>
      </c>
      <c r="G632" s="12">
        <v>0</v>
      </c>
      <c r="H632" s="11" t="s">
        <v>1486</v>
      </c>
    </row>
    <row r="633" spans="1:8" ht="15" customHeight="1" x14ac:dyDescent="0.25">
      <c r="A633" s="11" t="s">
        <v>484</v>
      </c>
      <c r="B633" s="11">
        <v>222211</v>
      </c>
      <c r="C633" s="11" t="s">
        <v>1487</v>
      </c>
      <c r="D633" s="11" t="s">
        <v>496</v>
      </c>
      <c r="E633" s="12">
        <v>0</v>
      </c>
      <c r="F633" s="13">
        <v>0</v>
      </c>
      <c r="G633" s="12">
        <v>0</v>
      </c>
      <c r="H633" s="11" t="s">
        <v>1488</v>
      </c>
    </row>
    <row r="634" spans="1:8" ht="15" customHeight="1" x14ac:dyDescent="0.25">
      <c r="A634" s="11" t="s">
        <v>484</v>
      </c>
      <c r="B634" s="11">
        <v>120114</v>
      </c>
      <c r="C634" s="11" t="s">
        <v>1489</v>
      </c>
      <c r="D634" s="11" t="s">
        <v>538</v>
      </c>
      <c r="E634" s="12">
        <v>20689.849999999999</v>
      </c>
      <c r="F634" s="13">
        <v>0</v>
      </c>
      <c r="G634" s="12">
        <v>0</v>
      </c>
      <c r="H634" s="11" t="s">
        <v>1490</v>
      </c>
    </row>
    <row r="635" spans="1:8" ht="15" customHeight="1" x14ac:dyDescent="0.25">
      <c r="A635" s="11" t="s">
        <v>484</v>
      </c>
      <c r="B635" s="11">
        <v>111920</v>
      </c>
      <c r="C635" s="11" t="s">
        <v>1491</v>
      </c>
      <c r="D635" s="11" t="s">
        <v>496</v>
      </c>
      <c r="E635" s="12">
        <v>5000</v>
      </c>
      <c r="F635" s="13">
        <v>0</v>
      </c>
      <c r="G635" s="12">
        <v>0</v>
      </c>
      <c r="H635" s="11" t="s">
        <v>1492</v>
      </c>
    </row>
    <row r="636" spans="1:8" ht="15" customHeight="1" x14ac:dyDescent="0.25">
      <c r="A636" s="11" t="s">
        <v>484</v>
      </c>
      <c r="B636" s="11">
        <v>111762</v>
      </c>
      <c r="C636" s="11" t="s">
        <v>1493</v>
      </c>
      <c r="D636" s="11" t="s">
        <v>499</v>
      </c>
      <c r="E636" s="12">
        <v>458.33333333333297</v>
      </c>
      <c r="F636" s="13">
        <v>0</v>
      </c>
      <c r="G636" s="12">
        <v>0</v>
      </c>
      <c r="H636" s="11" t="s">
        <v>1494</v>
      </c>
    </row>
    <row r="637" spans="1:8" ht="15" customHeight="1" x14ac:dyDescent="0.25">
      <c r="A637" s="11" t="s">
        <v>484</v>
      </c>
      <c r="B637" s="11">
        <v>111763</v>
      </c>
      <c r="C637" s="11" t="s">
        <v>1495</v>
      </c>
      <c r="D637" s="11" t="s">
        <v>499</v>
      </c>
      <c r="E637" s="12">
        <v>541.66666666666697</v>
      </c>
      <c r="F637" s="13">
        <v>0</v>
      </c>
      <c r="G637" s="12">
        <v>0</v>
      </c>
      <c r="H637" s="11" t="s">
        <v>1496</v>
      </c>
    </row>
    <row r="638" spans="1:8" ht="15" customHeight="1" x14ac:dyDescent="0.25">
      <c r="A638" s="11" t="s">
        <v>484</v>
      </c>
      <c r="B638" s="11">
        <v>111923</v>
      </c>
      <c r="C638" s="11" t="s">
        <v>1497</v>
      </c>
      <c r="D638" s="11" t="s">
        <v>499</v>
      </c>
      <c r="E638" s="12">
        <v>3000</v>
      </c>
      <c r="F638" s="13">
        <v>368</v>
      </c>
      <c r="G638" s="12">
        <v>1104000</v>
      </c>
      <c r="H638" s="11" t="s">
        <v>464</v>
      </c>
    </row>
    <row r="639" spans="1:8" ht="15" customHeight="1" x14ac:dyDescent="0.25">
      <c r="A639" s="11" t="s">
        <v>484</v>
      </c>
      <c r="B639" s="11">
        <v>111924</v>
      </c>
      <c r="C639" s="11" t="s">
        <v>1498</v>
      </c>
      <c r="D639" s="11" t="s">
        <v>499</v>
      </c>
      <c r="E639" s="12">
        <v>800</v>
      </c>
      <c r="F639" s="13">
        <v>0</v>
      </c>
      <c r="G639" s="12">
        <v>0</v>
      </c>
      <c r="H639" s="11" t="s">
        <v>1499</v>
      </c>
    </row>
    <row r="640" spans="1:8" ht="15" customHeight="1" x14ac:dyDescent="0.25">
      <c r="A640" s="11" t="s">
        <v>484</v>
      </c>
      <c r="B640" s="11">
        <v>111925</v>
      </c>
      <c r="C640" s="11" t="s">
        <v>1500</v>
      </c>
      <c r="D640" s="11" t="s">
        <v>499</v>
      </c>
      <c r="E640" s="12">
        <v>5000</v>
      </c>
      <c r="F640" s="13">
        <v>4</v>
      </c>
      <c r="G640" s="12">
        <v>20000</v>
      </c>
      <c r="H640" s="11" t="s">
        <v>465</v>
      </c>
    </row>
    <row r="641" spans="1:8" ht="15" customHeight="1" x14ac:dyDescent="0.25">
      <c r="A641" s="11" t="s">
        <v>484</v>
      </c>
      <c r="B641" s="11">
        <v>444808</v>
      </c>
      <c r="C641" s="11" t="s">
        <v>1501</v>
      </c>
      <c r="D641" s="11" t="s">
        <v>496</v>
      </c>
      <c r="E641" s="12">
        <v>90</v>
      </c>
      <c r="F641" s="13">
        <v>2200</v>
      </c>
      <c r="G641" s="12">
        <v>198000</v>
      </c>
      <c r="H641" s="11" t="s">
        <v>409</v>
      </c>
    </row>
    <row r="642" spans="1:8" ht="15" customHeight="1" x14ac:dyDescent="0.25">
      <c r="A642" s="11" t="s">
        <v>484</v>
      </c>
      <c r="B642" s="11">
        <v>444809</v>
      </c>
      <c r="C642" s="11" t="s">
        <v>1502</v>
      </c>
      <c r="D642" s="11" t="s">
        <v>496</v>
      </c>
      <c r="E642" s="12">
        <v>100</v>
      </c>
      <c r="F642" s="13">
        <v>4536</v>
      </c>
      <c r="G642" s="12">
        <v>453600</v>
      </c>
      <c r="H642" s="11" t="s">
        <v>408</v>
      </c>
    </row>
    <row r="643" spans="1:8" ht="15" customHeight="1" x14ac:dyDescent="0.25">
      <c r="A643" s="11" t="s">
        <v>484</v>
      </c>
      <c r="B643" s="11">
        <v>130112</v>
      </c>
      <c r="C643" s="11" t="s">
        <v>1503</v>
      </c>
      <c r="D643" s="11" t="s">
        <v>486</v>
      </c>
      <c r="E643" s="12">
        <v>14000</v>
      </c>
      <c r="F643" s="13">
        <v>0</v>
      </c>
      <c r="G643" s="12">
        <v>0</v>
      </c>
      <c r="H643" s="11" t="s">
        <v>1504</v>
      </c>
    </row>
    <row r="644" spans="1:8" ht="15" customHeight="1" x14ac:dyDescent="0.25">
      <c r="A644" s="11" t="s">
        <v>484</v>
      </c>
      <c r="B644" s="11">
        <v>666403</v>
      </c>
      <c r="C644" s="11" t="s">
        <v>1505</v>
      </c>
      <c r="D644" s="11" t="s">
        <v>499</v>
      </c>
      <c r="E644" s="12">
        <v>480</v>
      </c>
      <c r="F644" s="13">
        <v>0</v>
      </c>
      <c r="G644" s="12">
        <v>0</v>
      </c>
      <c r="H644" s="11" t="s">
        <v>1506</v>
      </c>
    </row>
    <row r="645" spans="1:8" ht="15" customHeight="1" x14ac:dyDescent="0.25">
      <c r="A645" s="11" t="s">
        <v>484</v>
      </c>
      <c r="B645" s="11">
        <v>110411</v>
      </c>
      <c r="C645" s="11" t="s">
        <v>1507</v>
      </c>
      <c r="D645" s="11" t="s">
        <v>486</v>
      </c>
      <c r="E645" s="12">
        <v>32000</v>
      </c>
      <c r="F645" s="13">
        <v>0</v>
      </c>
      <c r="G645" s="12">
        <v>0</v>
      </c>
      <c r="H645" s="11" t="s">
        <v>1508</v>
      </c>
    </row>
    <row r="646" spans="1:8" ht="15" customHeight="1" x14ac:dyDescent="0.25">
      <c r="A646" s="11" t="s">
        <v>484</v>
      </c>
      <c r="B646" s="11">
        <v>110412</v>
      </c>
      <c r="C646" s="11" t="s">
        <v>1509</v>
      </c>
      <c r="D646" s="11" t="s">
        <v>496</v>
      </c>
      <c r="E646" s="12">
        <v>18000</v>
      </c>
      <c r="F646" s="13">
        <v>0</v>
      </c>
      <c r="G646" s="12">
        <v>0</v>
      </c>
      <c r="H646" s="11" t="s">
        <v>1510</v>
      </c>
    </row>
    <row r="647" spans="1:8" ht="15" customHeight="1" x14ac:dyDescent="0.25">
      <c r="A647" s="11" t="s">
        <v>484</v>
      </c>
      <c r="B647" s="11">
        <v>140807</v>
      </c>
      <c r="C647" s="11" t="s">
        <v>1511</v>
      </c>
      <c r="D647" s="11" t="s">
        <v>486</v>
      </c>
      <c r="E647" s="12">
        <v>22727</v>
      </c>
      <c r="F647" s="13">
        <v>0</v>
      </c>
      <c r="G647" s="12">
        <v>0</v>
      </c>
      <c r="H647" s="11" t="s">
        <v>1512</v>
      </c>
    </row>
    <row r="648" spans="1:8" ht="15" customHeight="1" x14ac:dyDescent="0.25">
      <c r="A648" s="11" t="s">
        <v>484</v>
      </c>
      <c r="B648" s="11">
        <v>150101</v>
      </c>
      <c r="C648" s="11" t="s">
        <v>1513</v>
      </c>
      <c r="D648" s="11" t="s">
        <v>486</v>
      </c>
      <c r="E648" s="12">
        <v>18000</v>
      </c>
      <c r="F648" s="13">
        <v>1.9</v>
      </c>
      <c r="G648" s="12">
        <v>34200</v>
      </c>
      <c r="H648" s="11" t="s">
        <v>199</v>
      </c>
    </row>
    <row r="649" spans="1:8" ht="15" customHeight="1" x14ac:dyDescent="0.25">
      <c r="A649" s="11" t="s">
        <v>484</v>
      </c>
      <c r="B649" s="11">
        <v>150102</v>
      </c>
      <c r="C649" s="11" t="s">
        <v>1514</v>
      </c>
      <c r="D649" s="11" t="s">
        <v>486</v>
      </c>
      <c r="E649" s="12">
        <v>40000</v>
      </c>
      <c r="F649" s="13">
        <v>1.85</v>
      </c>
      <c r="G649" s="12">
        <v>74000</v>
      </c>
      <c r="H649" s="11" t="s">
        <v>198</v>
      </c>
    </row>
    <row r="650" spans="1:8" ht="15" customHeight="1" x14ac:dyDescent="0.25">
      <c r="A650" s="11" t="s">
        <v>484</v>
      </c>
      <c r="B650" s="11">
        <v>150103</v>
      </c>
      <c r="C650" s="11" t="s">
        <v>1515</v>
      </c>
      <c r="D650" s="11" t="s">
        <v>486</v>
      </c>
      <c r="E650" s="12">
        <v>150000</v>
      </c>
      <c r="F650" s="13">
        <v>15.5</v>
      </c>
      <c r="G650" s="12">
        <v>2325000</v>
      </c>
      <c r="H650" s="11" t="s">
        <v>404</v>
      </c>
    </row>
    <row r="651" spans="1:8" ht="15" customHeight="1" x14ac:dyDescent="0.25">
      <c r="A651" s="11" t="s">
        <v>484</v>
      </c>
      <c r="B651" s="11">
        <v>150104</v>
      </c>
      <c r="C651" s="11" t="s">
        <v>1516</v>
      </c>
      <c r="D651" s="11" t="s">
        <v>486</v>
      </c>
      <c r="E651" s="12">
        <v>100000</v>
      </c>
      <c r="F651" s="13">
        <v>15.2</v>
      </c>
      <c r="G651" s="12">
        <v>1520000</v>
      </c>
      <c r="H651" s="11" t="s">
        <v>403</v>
      </c>
    </row>
    <row r="652" spans="1:8" ht="15" customHeight="1" x14ac:dyDescent="0.25">
      <c r="A652" s="11" t="s">
        <v>484</v>
      </c>
      <c r="B652" s="11">
        <v>150105</v>
      </c>
      <c r="C652" s="11" t="s">
        <v>1517</v>
      </c>
      <c r="D652" s="11" t="s">
        <v>486</v>
      </c>
      <c r="E652" s="12">
        <v>320000</v>
      </c>
      <c r="F652" s="13">
        <v>2</v>
      </c>
      <c r="G652" s="12">
        <v>640000</v>
      </c>
      <c r="H652" s="11" t="s">
        <v>347</v>
      </c>
    </row>
    <row r="653" spans="1:8" ht="15" customHeight="1" x14ac:dyDescent="0.25">
      <c r="A653" s="11" t="s">
        <v>484</v>
      </c>
      <c r="B653" s="11">
        <v>400117</v>
      </c>
      <c r="C653" s="11" t="s">
        <v>1518</v>
      </c>
      <c r="D653" s="11" t="s">
        <v>486</v>
      </c>
      <c r="E653" s="12">
        <v>18000</v>
      </c>
      <c r="F653" s="13">
        <v>113</v>
      </c>
      <c r="G653" s="12">
        <v>2034000</v>
      </c>
      <c r="H653" s="11" t="s">
        <v>257</v>
      </c>
    </row>
    <row r="654" spans="1:8" ht="15" customHeight="1" x14ac:dyDescent="0.25">
      <c r="A654" s="11" t="s">
        <v>484</v>
      </c>
      <c r="B654" s="11">
        <v>140808</v>
      </c>
      <c r="C654" s="11" t="s">
        <v>1519</v>
      </c>
      <c r="D654" s="11" t="s">
        <v>486</v>
      </c>
      <c r="E654" s="12">
        <v>58937.5</v>
      </c>
      <c r="F654" s="13">
        <v>10</v>
      </c>
      <c r="G654" s="12">
        <v>589375</v>
      </c>
      <c r="H654" s="11" t="s">
        <v>267</v>
      </c>
    </row>
    <row r="655" spans="1:8" ht="15" customHeight="1" x14ac:dyDescent="0.25">
      <c r="A655" s="11" t="s">
        <v>484</v>
      </c>
      <c r="B655" s="11">
        <v>400304</v>
      </c>
      <c r="C655" s="11" t="s">
        <v>1520</v>
      </c>
      <c r="D655" s="11" t="s">
        <v>486</v>
      </c>
      <c r="E655" s="12">
        <v>88800</v>
      </c>
      <c r="F655" s="13">
        <v>0</v>
      </c>
      <c r="G655" s="12">
        <v>0</v>
      </c>
      <c r="H655" s="11" t="s">
        <v>1521</v>
      </c>
    </row>
    <row r="656" spans="1:8" ht="15" customHeight="1" x14ac:dyDescent="0.25">
      <c r="A656" s="11" t="s">
        <v>484</v>
      </c>
      <c r="B656" s="11">
        <v>111922</v>
      </c>
      <c r="C656" s="11" t="s">
        <v>1522</v>
      </c>
      <c r="D656" s="11" t="s">
        <v>496</v>
      </c>
      <c r="E656" s="12">
        <v>556</v>
      </c>
      <c r="F656" s="13">
        <v>163200</v>
      </c>
      <c r="G656" s="12">
        <v>90739200</v>
      </c>
      <c r="H656" s="11" t="s">
        <v>455</v>
      </c>
    </row>
    <row r="657" spans="1:8" ht="15" customHeight="1" x14ac:dyDescent="0.25">
      <c r="A657" s="11" t="s">
        <v>484</v>
      </c>
      <c r="B657" s="11">
        <v>222213</v>
      </c>
      <c r="C657" s="11" t="s">
        <v>1523</v>
      </c>
      <c r="D657" s="11" t="s">
        <v>499</v>
      </c>
      <c r="E657" s="12">
        <v>4000</v>
      </c>
      <c r="F657" s="13">
        <v>1380</v>
      </c>
      <c r="G657" s="12">
        <v>5520000</v>
      </c>
      <c r="H657" s="11" t="s">
        <v>106</v>
      </c>
    </row>
    <row r="658" spans="1:8" ht="15" customHeight="1" x14ac:dyDescent="0.25">
      <c r="A658" s="11" t="s">
        <v>484</v>
      </c>
      <c r="B658" s="11">
        <v>444807</v>
      </c>
      <c r="C658" s="11" t="s">
        <v>1524</v>
      </c>
      <c r="D658" s="11" t="s">
        <v>496</v>
      </c>
      <c r="E658" s="12">
        <v>50</v>
      </c>
      <c r="F658" s="13">
        <v>1540</v>
      </c>
      <c r="G658" s="12">
        <v>77000</v>
      </c>
      <c r="H658" s="11" t="s">
        <v>251</v>
      </c>
    </row>
    <row r="659" spans="1:8" ht="15" customHeight="1" x14ac:dyDescent="0.25">
      <c r="A659" s="11" t="s">
        <v>484</v>
      </c>
      <c r="B659" s="11">
        <v>111926</v>
      </c>
      <c r="C659" s="11" t="s">
        <v>1525</v>
      </c>
      <c r="D659" s="11" t="s">
        <v>496</v>
      </c>
      <c r="E659" s="12">
        <v>6500</v>
      </c>
      <c r="F659" s="13">
        <v>66</v>
      </c>
      <c r="G659" s="12">
        <v>429000</v>
      </c>
      <c r="H659" s="11" t="s">
        <v>454</v>
      </c>
    </row>
    <row r="660" spans="1:8" ht="15" customHeight="1" x14ac:dyDescent="0.25">
      <c r="A660" s="11" t="s">
        <v>484</v>
      </c>
      <c r="B660" s="11">
        <v>555920</v>
      </c>
      <c r="C660" s="11" t="s">
        <v>1526</v>
      </c>
      <c r="D660" s="11" t="s">
        <v>496</v>
      </c>
      <c r="E660" s="12">
        <v>800</v>
      </c>
      <c r="F660" s="13">
        <v>600</v>
      </c>
      <c r="G660" s="12">
        <v>480000</v>
      </c>
      <c r="H660" s="11" t="s">
        <v>222</v>
      </c>
    </row>
    <row r="661" spans="1:8" ht="15" customHeight="1" x14ac:dyDescent="0.25">
      <c r="A661" s="11" t="s">
        <v>484</v>
      </c>
      <c r="B661" s="11">
        <v>120116</v>
      </c>
      <c r="C661" s="11" t="s">
        <v>1527</v>
      </c>
      <c r="D661" s="11" t="s">
        <v>486</v>
      </c>
      <c r="E661" s="12">
        <v>28889.96</v>
      </c>
      <c r="F661" s="13">
        <v>425</v>
      </c>
      <c r="G661" s="12">
        <v>12278233</v>
      </c>
      <c r="H661" s="11" t="s">
        <v>439</v>
      </c>
    </row>
    <row r="662" spans="1:8" ht="15" customHeight="1" x14ac:dyDescent="0.25">
      <c r="A662" s="11" t="s">
        <v>484</v>
      </c>
      <c r="B662" s="11">
        <v>666408</v>
      </c>
      <c r="C662" s="11" t="s">
        <v>1528</v>
      </c>
      <c r="D662" s="11" t="s">
        <v>496</v>
      </c>
      <c r="E662" s="12">
        <v>15.2380952380952</v>
      </c>
      <c r="F662" s="13">
        <v>0</v>
      </c>
      <c r="G662" s="12">
        <v>0</v>
      </c>
      <c r="H662" s="11" t="s">
        <v>1529</v>
      </c>
    </row>
    <row r="663" spans="1:8" ht="15" customHeight="1" x14ac:dyDescent="0.25">
      <c r="A663" s="11" t="s">
        <v>484</v>
      </c>
      <c r="B663" s="11">
        <v>111506</v>
      </c>
      <c r="C663" s="11" t="s">
        <v>1530</v>
      </c>
      <c r="D663" s="11" t="s">
        <v>496</v>
      </c>
      <c r="E663" s="12">
        <v>8000</v>
      </c>
      <c r="F663" s="13">
        <v>21</v>
      </c>
      <c r="G663" s="12">
        <v>168000</v>
      </c>
      <c r="H663" s="11" t="s">
        <v>463</v>
      </c>
    </row>
    <row r="664" spans="1:8" ht="15" customHeight="1" x14ac:dyDescent="0.25">
      <c r="A664" s="11" t="s">
        <v>484</v>
      </c>
      <c r="B664" s="11">
        <v>140514</v>
      </c>
      <c r="C664" s="11" t="s">
        <v>1531</v>
      </c>
      <c r="D664" s="11" t="s">
        <v>538</v>
      </c>
      <c r="E664" s="12">
        <v>35000</v>
      </c>
      <c r="F664" s="13">
        <v>45</v>
      </c>
      <c r="G664" s="12">
        <v>1575000</v>
      </c>
      <c r="H664" s="11" t="s">
        <v>57</v>
      </c>
    </row>
    <row r="665" spans="1:8" ht="15" customHeight="1" x14ac:dyDescent="0.25">
      <c r="A665" s="11" t="s">
        <v>484</v>
      </c>
      <c r="B665" s="11">
        <v>900226</v>
      </c>
      <c r="C665" s="11" t="s">
        <v>1532</v>
      </c>
      <c r="D665" s="11" t="s">
        <v>1533</v>
      </c>
      <c r="E665" s="12">
        <v>233100</v>
      </c>
      <c r="F665" s="13">
        <v>0</v>
      </c>
      <c r="G665" s="12">
        <v>0</v>
      </c>
      <c r="H665" s="11" t="s">
        <v>1534</v>
      </c>
    </row>
    <row r="666" spans="1:8" ht="15" customHeight="1" x14ac:dyDescent="0.25">
      <c r="A666" s="11" t="s">
        <v>484</v>
      </c>
      <c r="B666" s="11">
        <v>140515</v>
      </c>
      <c r="C666" s="11" t="s">
        <v>1535</v>
      </c>
      <c r="D666" s="11" t="s">
        <v>546</v>
      </c>
      <c r="E666" s="12">
        <v>60</v>
      </c>
      <c r="F666" s="13">
        <v>0</v>
      </c>
      <c r="G666" s="12">
        <v>0</v>
      </c>
      <c r="H666" s="11" t="s">
        <v>1536</v>
      </c>
    </row>
    <row r="667" spans="1:8" ht="15" customHeight="1" x14ac:dyDescent="0.25">
      <c r="A667" s="11" t="s">
        <v>484</v>
      </c>
      <c r="B667" s="11">
        <v>140516</v>
      </c>
      <c r="C667" s="11" t="s">
        <v>1537</v>
      </c>
      <c r="D667" s="11" t="s">
        <v>546</v>
      </c>
      <c r="E667" s="12">
        <v>55.5555555555556</v>
      </c>
      <c r="F667" s="13">
        <v>0</v>
      </c>
      <c r="G667" s="12">
        <v>0</v>
      </c>
      <c r="H667" s="11" t="s">
        <v>1538</v>
      </c>
    </row>
    <row r="668" spans="1:8" ht="15" customHeight="1" x14ac:dyDescent="0.25">
      <c r="A668" s="11" t="s">
        <v>484</v>
      </c>
      <c r="B668" s="11">
        <v>140517</v>
      </c>
      <c r="C668" s="11" t="s">
        <v>1539</v>
      </c>
      <c r="D668" s="11" t="s">
        <v>546</v>
      </c>
      <c r="E668" s="12">
        <v>79</v>
      </c>
      <c r="F668" s="13">
        <v>0</v>
      </c>
      <c r="G668" s="12">
        <v>0</v>
      </c>
      <c r="H668" s="11" t="s">
        <v>1540</v>
      </c>
    </row>
    <row r="669" spans="1:8" ht="15" customHeight="1" x14ac:dyDescent="0.25">
      <c r="A669" s="11" t="s">
        <v>484</v>
      </c>
      <c r="B669" s="11">
        <v>300215</v>
      </c>
      <c r="C669" s="11" t="s">
        <v>1541</v>
      </c>
      <c r="D669" s="11" t="s">
        <v>1032</v>
      </c>
      <c r="E669" s="12">
        <v>95</v>
      </c>
      <c r="F669" s="13">
        <v>0</v>
      </c>
      <c r="G669" s="12">
        <v>0</v>
      </c>
      <c r="H669" s="11" t="s">
        <v>1542</v>
      </c>
    </row>
    <row r="670" spans="1:8" ht="15" customHeight="1" x14ac:dyDescent="0.25">
      <c r="A670" s="11" t="s">
        <v>484</v>
      </c>
      <c r="B670" s="11">
        <v>140502</v>
      </c>
      <c r="C670" s="11" t="s">
        <v>1543</v>
      </c>
      <c r="D670" s="11" t="s">
        <v>736</v>
      </c>
      <c r="E670" s="12">
        <v>7360</v>
      </c>
      <c r="F670" s="13">
        <v>20</v>
      </c>
      <c r="G670" s="12">
        <v>147200</v>
      </c>
      <c r="H670" s="11" t="s">
        <v>194</v>
      </c>
    </row>
    <row r="671" spans="1:8" ht="15" customHeight="1" x14ac:dyDescent="0.25">
      <c r="A671" s="11" t="s">
        <v>484</v>
      </c>
      <c r="B671" s="11">
        <v>222103</v>
      </c>
      <c r="C671" s="11" t="s">
        <v>1544</v>
      </c>
      <c r="D671" s="11" t="s">
        <v>499</v>
      </c>
      <c r="E671" s="12">
        <v>568</v>
      </c>
      <c r="F671" s="13">
        <v>1250</v>
      </c>
      <c r="G671" s="12">
        <v>710000</v>
      </c>
      <c r="H671" s="11" t="s">
        <v>182</v>
      </c>
    </row>
    <row r="672" spans="1:8" ht="15" customHeight="1" x14ac:dyDescent="0.25">
      <c r="A672" s="11" t="s">
        <v>484</v>
      </c>
      <c r="B672" s="11">
        <v>400207</v>
      </c>
      <c r="C672" s="11" t="s">
        <v>1545</v>
      </c>
      <c r="D672" s="11" t="s">
        <v>486</v>
      </c>
      <c r="E672" s="12">
        <v>125000</v>
      </c>
      <c r="F672" s="13">
        <v>14</v>
      </c>
      <c r="G672" s="12">
        <v>1750000</v>
      </c>
      <c r="H672" s="11" t="s">
        <v>183</v>
      </c>
    </row>
    <row r="673" spans="1:8" ht="15" customHeight="1" x14ac:dyDescent="0.25">
      <c r="A673" s="11" t="s">
        <v>484</v>
      </c>
      <c r="B673" s="11">
        <v>400208</v>
      </c>
      <c r="C673" s="11" t="s">
        <v>1546</v>
      </c>
      <c r="D673" s="11" t="s">
        <v>486</v>
      </c>
      <c r="E673" s="12">
        <v>90000</v>
      </c>
      <c r="F673" s="13">
        <v>7.85</v>
      </c>
      <c r="G673" s="12">
        <v>706500</v>
      </c>
      <c r="H673" s="11" t="s">
        <v>438</v>
      </c>
    </row>
    <row r="674" spans="1:8" ht="15" customHeight="1" x14ac:dyDescent="0.25">
      <c r="A674" s="11" t="s">
        <v>484</v>
      </c>
      <c r="B674" s="11">
        <v>400209</v>
      </c>
      <c r="C674" s="11" t="s">
        <v>1547</v>
      </c>
      <c r="D674" s="11" t="s">
        <v>538</v>
      </c>
      <c r="E674" s="12">
        <v>18000</v>
      </c>
      <c r="F674" s="13">
        <v>0</v>
      </c>
      <c r="G674" s="12">
        <v>0</v>
      </c>
      <c r="H674" s="11" t="s">
        <v>1548</v>
      </c>
    </row>
    <row r="675" spans="1:8" ht="15" customHeight="1" x14ac:dyDescent="0.25">
      <c r="A675" s="11" t="s">
        <v>484</v>
      </c>
      <c r="B675" s="11">
        <v>100312</v>
      </c>
      <c r="C675" s="11" t="s">
        <v>1549</v>
      </c>
      <c r="D675" s="11" t="s">
        <v>486</v>
      </c>
      <c r="E675" s="12">
        <v>195138</v>
      </c>
      <c r="F675" s="13">
        <v>0</v>
      </c>
      <c r="G675" s="12">
        <v>0</v>
      </c>
      <c r="H675" s="11" t="s">
        <v>1550</v>
      </c>
    </row>
    <row r="676" spans="1:8" ht="15" customHeight="1" x14ac:dyDescent="0.25">
      <c r="A676" s="11" t="s">
        <v>484</v>
      </c>
      <c r="B676" s="11">
        <v>400210</v>
      </c>
      <c r="C676" s="11" t="s">
        <v>1551</v>
      </c>
      <c r="D676" s="11" t="s">
        <v>546</v>
      </c>
      <c r="E676" s="12">
        <v>61</v>
      </c>
      <c r="F676" s="13">
        <v>20000</v>
      </c>
      <c r="G676" s="12">
        <v>1220000</v>
      </c>
      <c r="H676" s="11" t="s">
        <v>184</v>
      </c>
    </row>
    <row r="677" spans="1:8" ht="15" customHeight="1" x14ac:dyDescent="0.25">
      <c r="A677" s="11" t="s">
        <v>484</v>
      </c>
      <c r="B677" s="11">
        <v>400211</v>
      </c>
      <c r="C677" s="11" t="s">
        <v>1552</v>
      </c>
      <c r="D677" s="11" t="s">
        <v>723</v>
      </c>
      <c r="E677" s="12">
        <v>200</v>
      </c>
      <c r="F677" s="13">
        <v>1350</v>
      </c>
      <c r="G677" s="12">
        <v>270000</v>
      </c>
      <c r="H677" s="11" t="s">
        <v>196</v>
      </c>
    </row>
    <row r="678" spans="1:8" ht="15" customHeight="1" x14ac:dyDescent="0.25">
      <c r="A678" s="11" t="s">
        <v>484</v>
      </c>
      <c r="B678" s="11">
        <v>900227</v>
      </c>
      <c r="C678" s="11" t="s">
        <v>1553</v>
      </c>
      <c r="D678" s="11" t="s">
        <v>496</v>
      </c>
      <c r="E678" s="12">
        <v>6000</v>
      </c>
      <c r="F678" s="13">
        <v>1</v>
      </c>
      <c r="G678" s="12">
        <v>6000</v>
      </c>
      <c r="H678" s="11" t="s">
        <v>358</v>
      </c>
    </row>
    <row r="679" spans="1:8" ht="15" customHeight="1" x14ac:dyDescent="0.25">
      <c r="A679" s="11" t="s">
        <v>484</v>
      </c>
      <c r="B679" s="11">
        <v>900228</v>
      </c>
      <c r="C679" s="11" t="s">
        <v>1554</v>
      </c>
      <c r="D679" s="11" t="s">
        <v>496</v>
      </c>
      <c r="E679" s="12">
        <v>6000</v>
      </c>
      <c r="F679" s="13">
        <v>8</v>
      </c>
      <c r="G679" s="12">
        <v>48000</v>
      </c>
      <c r="H679" s="11" t="s">
        <v>135</v>
      </c>
    </row>
    <row r="680" spans="1:8" ht="15" customHeight="1" x14ac:dyDescent="0.25">
      <c r="A680" s="11" t="s">
        <v>484</v>
      </c>
      <c r="B680" s="11">
        <v>900233</v>
      </c>
      <c r="C680" s="11" t="s">
        <v>1555</v>
      </c>
      <c r="D680" s="11" t="s">
        <v>496</v>
      </c>
      <c r="E680" s="12">
        <v>6000</v>
      </c>
      <c r="F680" s="13">
        <v>0</v>
      </c>
      <c r="G680" s="12">
        <v>0</v>
      </c>
      <c r="H680" s="11" t="s">
        <v>1556</v>
      </c>
    </row>
    <row r="681" spans="1:8" ht="15" customHeight="1" x14ac:dyDescent="0.25">
      <c r="A681" s="11" t="s">
        <v>484</v>
      </c>
      <c r="B681" s="11">
        <v>900229</v>
      </c>
      <c r="C681" s="11" t="s">
        <v>1557</v>
      </c>
      <c r="D681" s="11" t="s">
        <v>496</v>
      </c>
      <c r="E681" s="12">
        <v>6000</v>
      </c>
      <c r="F681" s="13">
        <v>19</v>
      </c>
      <c r="G681" s="12">
        <v>114000</v>
      </c>
      <c r="H681" s="11" t="s">
        <v>351</v>
      </c>
    </row>
    <row r="682" spans="1:8" ht="15" customHeight="1" x14ac:dyDescent="0.25">
      <c r="A682" s="11" t="s">
        <v>484</v>
      </c>
      <c r="B682" s="11">
        <v>444810</v>
      </c>
      <c r="C682" s="11" t="s">
        <v>1558</v>
      </c>
      <c r="D682" s="11" t="s">
        <v>496</v>
      </c>
      <c r="E682" s="12">
        <v>4500</v>
      </c>
      <c r="F682" s="13">
        <v>48</v>
      </c>
      <c r="G682" s="12">
        <v>216000</v>
      </c>
      <c r="H682" s="11" t="s">
        <v>360</v>
      </c>
    </row>
    <row r="683" spans="1:8" ht="15" customHeight="1" x14ac:dyDescent="0.25">
      <c r="A683" s="11" t="s">
        <v>484</v>
      </c>
      <c r="B683" s="11">
        <v>900315</v>
      </c>
      <c r="C683" s="11" t="s">
        <v>1559</v>
      </c>
      <c r="D683" s="11" t="s">
        <v>496</v>
      </c>
      <c r="E683" s="12">
        <v>6000</v>
      </c>
      <c r="F683" s="13">
        <v>0</v>
      </c>
      <c r="G683" s="12">
        <v>0</v>
      </c>
      <c r="H683" s="11" t="s">
        <v>127</v>
      </c>
    </row>
    <row r="684" spans="1:8" ht="15" customHeight="1" x14ac:dyDescent="0.25">
      <c r="A684" s="11" t="s">
        <v>484</v>
      </c>
      <c r="B684" s="11">
        <v>140503</v>
      </c>
      <c r="C684" s="11" t="s">
        <v>1560</v>
      </c>
      <c r="D684" s="11" t="s">
        <v>538</v>
      </c>
      <c r="E684" s="12">
        <v>46620</v>
      </c>
      <c r="F684" s="13">
        <v>35</v>
      </c>
      <c r="G684" s="12">
        <v>1631700</v>
      </c>
      <c r="H684" s="11" t="s">
        <v>195</v>
      </c>
    </row>
    <row r="685" spans="1:8" ht="15" customHeight="1" x14ac:dyDescent="0.25">
      <c r="A685" s="11" t="s">
        <v>484</v>
      </c>
      <c r="B685" s="11">
        <v>201003</v>
      </c>
      <c r="C685" s="11" t="s">
        <v>1561</v>
      </c>
      <c r="D685" s="11" t="s">
        <v>499</v>
      </c>
      <c r="E685" s="12">
        <v>2375</v>
      </c>
      <c r="F685" s="13">
        <v>61</v>
      </c>
      <c r="G685" s="12">
        <v>144875</v>
      </c>
      <c r="H685" s="11" t="s">
        <v>448</v>
      </c>
    </row>
    <row r="686" spans="1:8" ht="15" customHeight="1" x14ac:dyDescent="0.25">
      <c r="A686" s="11" t="s">
        <v>484</v>
      </c>
      <c r="B686" s="11">
        <v>140504</v>
      </c>
      <c r="C686" s="11" t="s">
        <v>1562</v>
      </c>
      <c r="D686" s="11" t="s">
        <v>736</v>
      </c>
      <c r="E686" s="12">
        <v>19500</v>
      </c>
      <c r="F686" s="13">
        <v>0</v>
      </c>
      <c r="G686" s="12">
        <v>0</v>
      </c>
      <c r="H686" s="11" t="s">
        <v>1563</v>
      </c>
    </row>
    <row r="687" spans="1:8" ht="15" customHeight="1" x14ac:dyDescent="0.25">
      <c r="A687" s="11" t="s">
        <v>484</v>
      </c>
      <c r="B687" s="11">
        <v>333410</v>
      </c>
      <c r="C687" s="11" t="s">
        <v>1564</v>
      </c>
      <c r="D687" s="11" t="s">
        <v>1005</v>
      </c>
      <c r="E687" s="12">
        <v>26</v>
      </c>
      <c r="F687" s="13">
        <v>9000</v>
      </c>
      <c r="G687" s="12">
        <v>234000</v>
      </c>
      <c r="H687" s="11" t="s">
        <v>203</v>
      </c>
    </row>
    <row r="688" spans="1:8" ht="15" customHeight="1" x14ac:dyDescent="0.25">
      <c r="A688" s="11" t="s">
        <v>484</v>
      </c>
      <c r="B688" s="11">
        <v>130328</v>
      </c>
      <c r="C688" s="11" t="s">
        <v>1565</v>
      </c>
      <c r="D688" s="11" t="s">
        <v>538</v>
      </c>
      <c r="E688" s="12">
        <v>14550</v>
      </c>
      <c r="F688" s="13">
        <v>20</v>
      </c>
      <c r="G688" s="12">
        <v>291000</v>
      </c>
      <c r="H688" s="11" t="s">
        <v>450</v>
      </c>
    </row>
    <row r="689" spans="1:8" ht="15" customHeight="1" x14ac:dyDescent="0.25">
      <c r="A689" s="11" t="s">
        <v>484</v>
      </c>
      <c r="B689" s="11">
        <v>140601</v>
      </c>
      <c r="C689" s="11" t="s">
        <v>1566</v>
      </c>
      <c r="D689" s="11" t="s">
        <v>486</v>
      </c>
      <c r="E689" s="12">
        <v>14749.9</v>
      </c>
      <c r="F689" s="13">
        <v>0</v>
      </c>
      <c r="G689" s="12">
        <v>0</v>
      </c>
      <c r="H689" s="11" t="s">
        <v>1567</v>
      </c>
    </row>
    <row r="690" spans="1:8" ht="15" customHeight="1" x14ac:dyDescent="0.25">
      <c r="A690" s="11" t="s">
        <v>484</v>
      </c>
      <c r="B690" s="11">
        <v>140603</v>
      </c>
      <c r="C690" s="11" t="s">
        <v>1568</v>
      </c>
      <c r="D690" s="11" t="s">
        <v>486</v>
      </c>
      <c r="E690" s="12">
        <v>14749.9</v>
      </c>
      <c r="F690" s="13">
        <v>20</v>
      </c>
      <c r="G690" s="12">
        <v>294998</v>
      </c>
      <c r="H690" s="11" t="s">
        <v>280</v>
      </c>
    </row>
    <row r="691" spans="1:8" ht="15" customHeight="1" x14ac:dyDescent="0.25">
      <c r="A691" s="11" t="s">
        <v>484</v>
      </c>
      <c r="B691" s="11">
        <v>140511</v>
      </c>
      <c r="C691" s="11" t="s">
        <v>1569</v>
      </c>
      <c r="D691" s="11" t="s">
        <v>546</v>
      </c>
      <c r="E691" s="12">
        <v>600</v>
      </c>
      <c r="F691" s="13">
        <v>0</v>
      </c>
      <c r="G691" s="12">
        <v>0</v>
      </c>
      <c r="H691" s="11" t="s">
        <v>1570</v>
      </c>
    </row>
    <row r="692" spans="1:8" ht="15" customHeight="1" x14ac:dyDescent="0.25">
      <c r="A692" s="11" t="s">
        <v>484</v>
      </c>
      <c r="B692" s="11">
        <v>140507</v>
      </c>
      <c r="C692" s="11" t="s">
        <v>1571</v>
      </c>
      <c r="D692" s="11" t="s">
        <v>538</v>
      </c>
      <c r="E692" s="12">
        <v>34000</v>
      </c>
      <c r="F692" s="13">
        <v>0</v>
      </c>
      <c r="G692" s="12">
        <v>0</v>
      </c>
      <c r="H692" s="11" t="s">
        <v>1572</v>
      </c>
    </row>
    <row r="693" spans="1:8" ht="15" customHeight="1" x14ac:dyDescent="0.25">
      <c r="A693" s="11" t="s">
        <v>484</v>
      </c>
      <c r="B693" s="11">
        <v>222215</v>
      </c>
      <c r="C693" s="11" t="s">
        <v>1573</v>
      </c>
      <c r="D693" s="11" t="s">
        <v>499</v>
      </c>
      <c r="E693" s="12">
        <v>8000</v>
      </c>
      <c r="F693" s="13">
        <v>0</v>
      </c>
      <c r="G693" s="12">
        <v>0</v>
      </c>
      <c r="H693" s="11" t="s">
        <v>1574</v>
      </c>
    </row>
    <row r="694" spans="1:8" ht="15" customHeight="1" x14ac:dyDescent="0.25">
      <c r="A694" s="11" t="s">
        <v>484</v>
      </c>
      <c r="B694" s="11">
        <v>222216</v>
      </c>
      <c r="C694" s="11" t="s">
        <v>1575</v>
      </c>
      <c r="D694" s="11" t="s">
        <v>499</v>
      </c>
      <c r="E694" s="12">
        <v>4000</v>
      </c>
      <c r="F694" s="13">
        <v>0</v>
      </c>
      <c r="G694" s="12">
        <v>0</v>
      </c>
      <c r="H694" s="11" t="s">
        <v>1576</v>
      </c>
    </row>
    <row r="695" spans="1:8" ht="15" customHeight="1" x14ac:dyDescent="0.25">
      <c r="A695" s="11" t="s">
        <v>484</v>
      </c>
      <c r="B695" s="11">
        <v>140518</v>
      </c>
      <c r="C695" s="11" t="s">
        <v>1577</v>
      </c>
      <c r="D695" s="11" t="s">
        <v>486</v>
      </c>
      <c r="E695" s="12">
        <v>90000</v>
      </c>
      <c r="F695" s="13">
        <v>0</v>
      </c>
      <c r="G695" s="12">
        <v>0</v>
      </c>
      <c r="H695" s="11" t="s">
        <v>138</v>
      </c>
    </row>
    <row r="696" spans="1:8" ht="15" customHeight="1" x14ac:dyDescent="0.25">
      <c r="A696" s="11" t="s">
        <v>484</v>
      </c>
      <c r="B696" s="11">
        <v>130330</v>
      </c>
      <c r="C696" s="11" t="s">
        <v>1578</v>
      </c>
      <c r="D696" s="11" t="s">
        <v>486</v>
      </c>
      <c r="E696" s="12">
        <v>12000</v>
      </c>
      <c r="F696" s="13">
        <v>20</v>
      </c>
      <c r="G696" s="12">
        <v>240000</v>
      </c>
      <c r="H696" s="11" t="s">
        <v>118</v>
      </c>
    </row>
    <row r="697" spans="1:8" ht="15" customHeight="1" x14ac:dyDescent="0.25">
      <c r="A697" s="11" t="s">
        <v>484</v>
      </c>
      <c r="B697" s="11">
        <v>444209</v>
      </c>
      <c r="C697" s="11" t="s">
        <v>1579</v>
      </c>
      <c r="D697" s="11" t="s">
        <v>499</v>
      </c>
      <c r="E697" s="12">
        <v>10000</v>
      </c>
      <c r="F697" s="13">
        <v>0</v>
      </c>
      <c r="G697" s="12">
        <v>0</v>
      </c>
      <c r="H697" s="11" t="s">
        <v>1580</v>
      </c>
    </row>
    <row r="698" spans="1:8" ht="15" customHeight="1" x14ac:dyDescent="0.25">
      <c r="A698" s="11" t="s">
        <v>484</v>
      </c>
      <c r="B698" s="11">
        <v>150107</v>
      </c>
      <c r="C698" s="11" t="s">
        <v>1581</v>
      </c>
      <c r="D698" s="11" t="s">
        <v>546</v>
      </c>
      <c r="E698" s="12">
        <v>15</v>
      </c>
      <c r="F698" s="13">
        <v>0</v>
      </c>
      <c r="G698" s="12">
        <v>0</v>
      </c>
      <c r="H698" s="11" t="s">
        <v>1582</v>
      </c>
    </row>
    <row r="699" spans="1:8" ht="15" customHeight="1" x14ac:dyDescent="0.25">
      <c r="A699" s="11" t="s">
        <v>484</v>
      </c>
      <c r="B699" s="11">
        <v>140525</v>
      </c>
      <c r="C699" s="11" t="s">
        <v>1583</v>
      </c>
      <c r="D699" s="11" t="s">
        <v>486</v>
      </c>
      <c r="E699" s="12">
        <v>34880</v>
      </c>
      <c r="F699" s="13">
        <v>0</v>
      </c>
      <c r="G699" s="12">
        <v>0</v>
      </c>
      <c r="H699" s="11" t="s">
        <v>1584</v>
      </c>
    </row>
    <row r="700" spans="1:8" ht="15" customHeight="1" x14ac:dyDescent="0.25">
      <c r="A700" s="11" t="s">
        <v>484</v>
      </c>
      <c r="B700" s="11">
        <v>900231</v>
      </c>
      <c r="C700" s="11" t="s">
        <v>1585</v>
      </c>
      <c r="D700" s="11" t="s">
        <v>499</v>
      </c>
      <c r="E700" s="12">
        <v>6000</v>
      </c>
      <c r="F700" s="13">
        <v>0</v>
      </c>
      <c r="G700" s="12">
        <v>0</v>
      </c>
      <c r="H700" s="11" t="s">
        <v>1586</v>
      </c>
    </row>
    <row r="701" spans="1:8" ht="15" customHeight="1" x14ac:dyDescent="0.25">
      <c r="A701" s="11" t="s">
        <v>484</v>
      </c>
      <c r="B701" s="11">
        <v>900236</v>
      </c>
      <c r="C701" s="11" t="s">
        <v>1587</v>
      </c>
      <c r="D701" s="11" t="s">
        <v>1032</v>
      </c>
      <c r="E701" s="12">
        <v>500</v>
      </c>
      <c r="F701" s="13">
        <v>60</v>
      </c>
      <c r="G701" s="12">
        <v>30000</v>
      </c>
      <c r="H701" s="11" t="s">
        <v>353</v>
      </c>
    </row>
    <row r="702" spans="1:8" ht="15" customHeight="1" x14ac:dyDescent="0.25">
      <c r="A702" s="11" t="s">
        <v>484</v>
      </c>
      <c r="B702" s="11">
        <v>900238</v>
      </c>
      <c r="C702" s="11" t="s">
        <v>1588</v>
      </c>
      <c r="D702" s="11" t="s">
        <v>1032</v>
      </c>
      <c r="E702" s="12">
        <v>500</v>
      </c>
      <c r="F702" s="13">
        <v>300</v>
      </c>
      <c r="G702" s="12">
        <v>150000</v>
      </c>
      <c r="H702" s="11" t="s">
        <v>356</v>
      </c>
    </row>
    <row r="703" spans="1:8" ht="15" customHeight="1" x14ac:dyDescent="0.25">
      <c r="A703" s="11" t="s">
        <v>484</v>
      </c>
      <c r="B703" s="11">
        <v>900239</v>
      </c>
      <c r="C703" s="11" t="s">
        <v>1589</v>
      </c>
      <c r="D703" s="11" t="s">
        <v>1032</v>
      </c>
      <c r="E703" s="12">
        <v>500</v>
      </c>
      <c r="F703" s="13">
        <v>600</v>
      </c>
      <c r="G703" s="12">
        <v>300000</v>
      </c>
      <c r="H703" s="11" t="s">
        <v>354</v>
      </c>
    </row>
    <row r="704" spans="1:8" ht="15" customHeight="1" x14ac:dyDescent="0.25">
      <c r="A704" s="11" t="s">
        <v>484</v>
      </c>
      <c r="B704" s="11">
        <v>140523</v>
      </c>
      <c r="C704" s="11" t="s">
        <v>1590</v>
      </c>
      <c r="D704" s="11" t="s">
        <v>736</v>
      </c>
      <c r="E704" s="12">
        <v>19500</v>
      </c>
      <c r="F704" s="13">
        <v>0</v>
      </c>
      <c r="G704" s="12">
        <v>0</v>
      </c>
      <c r="H704" s="11" t="s">
        <v>1591</v>
      </c>
    </row>
    <row r="705" spans="1:8" ht="15" customHeight="1" x14ac:dyDescent="0.25">
      <c r="A705" s="11" t="s">
        <v>484</v>
      </c>
      <c r="B705" s="11">
        <v>140519</v>
      </c>
      <c r="C705" s="11" t="s">
        <v>1592</v>
      </c>
      <c r="D705" s="11" t="s">
        <v>486</v>
      </c>
      <c r="E705" s="12">
        <v>65000</v>
      </c>
      <c r="F705" s="13">
        <v>0</v>
      </c>
      <c r="G705" s="12">
        <v>0</v>
      </c>
      <c r="H705" s="11" t="s">
        <v>1593</v>
      </c>
    </row>
    <row r="706" spans="1:8" ht="15" customHeight="1" x14ac:dyDescent="0.25">
      <c r="A706" s="11" t="s">
        <v>484</v>
      </c>
      <c r="B706" s="11">
        <v>140513</v>
      </c>
      <c r="C706" s="11" t="s">
        <v>1594</v>
      </c>
      <c r="D706" s="11" t="s">
        <v>496</v>
      </c>
      <c r="E706" s="12">
        <v>1666.6666666666699</v>
      </c>
      <c r="F706" s="13">
        <v>0</v>
      </c>
      <c r="G706" s="12">
        <v>0</v>
      </c>
      <c r="H706" s="11" t="s">
        <v>1595</v>
      </c>
    </row>
    <row r="707" spans="1:8" ht="15" customHeight="1" x14ac:dyDescent="0.25">
      <c r="A707" s="11" t="s">
        <v>484</v>
      </c>
      <c r="B707" s="11">
        <v>111764</v>
      </c>
      <c r="C707" s="11" t="s">
        <v>1596</v>
      </c>
      <c r="D707" s="11" t="s">
        <v>496</v>
      </c>
      <c r="E707" s="12">
        <v>833.33333333333303</v>
      </c>
      <c r="F707" s="13">
        <v>354</v>
      </c>
      <c r="G707" s="12">
        <v>295000</v>
      </c>
      <c r="H707" s="11" t="s">
        <v>165</v>
      </c>
    </row>
    <row r="708" spans="1:8" ht="15" customHeight="1" x14ac:dyDescent="0.25">
      <c r="A708" s="11" t="s">
        <v>484</v>
      </c>
      <c r="B708" s="11">
        <v>111765</v>
      </c>
      <c r="C708" s="11" t="s">
        <v>1597</v>
      </c>
      <c r="D708" s="11" t="s">
        <v>496</v>
      </c>
      <c r="E708" s="12">
        <v>833.33333333333303</v>
      </c>
      <c r="F708" s="13">
        <v>618</v>
      </c>
      <c r="G708" s="12">
        <v>515000</v>
      </c>
      <c r="H708" s="11" t="s">
        <v>160</v>
      </c>
    </row>
    <row r="709" spans="1:8" ht="15" customHeight="1" x14ac:dyDescent="0.25">
      <c r="A709" s="11" t="s">
        <v>484</v>
      </c>
      <c r="B709" s="11">
        <v>900234</v>
      </c>
      <c r="C709" s="11" t="s">
        <v>1598</v>
      </c>
      <c r="D709" s="11" t="s">
        <v>1032</v>
      </c>
      <c r="E709" s="12">
        <v>916.66666666666697</v>
      </c>
      <c r="F709" s="13">
        <v>120</v>
      </c>
      <c r="G709" s="12">
        <v>110000</v>
      </c>
      <c r="H709" s="11" t="s">
        <v>170</v>
      </c>
    </row>
    <row r="710" spans="1:8" ht="15" customHeight="1" x14ac:dyDescent="0.25">
      <c r="A710" s="11" t="s">
        <v>484</v>
      </c>
      <c r="B710" s="11">
        <v>900235</v>
      </c>
      <c r="C710" s="11" t="s">
        <v>1599</v>
      </c>
      <c r="D710" s="11" t="s">
        <v>1032</v>
      </c>
      <c r="E710" s="12">
        <v>916.66666666666697</v>
      </c>
      <c r="F710" s="13">
        <v>540</v>
      </c>
      <c r="G710" s="12">
        <v>495000</v>
      </c>
      <c r="H710" s="11" t="s">
        <v>163</v>
      </c>
    </row>
    <row r="711" spans="1:8" ht="15" customHeight="1" x14ac:dyDescent="0.25">
      <c r="A711" s="11" t="s">
        <v>484</v>
      </c>
      <c r="B711" s="11">
        <v>900237</v>
      </c>
      <c r="C711" s="11" t="s">
        <v>1600</v>
      </c>
      <c r="D711" s="11" t="s">
        <v>1032</v>
      </c>
      <c r="E711" s="12">
        <v>500</v>
      </c>
      <c r="F711" s="13">
        <v>300</v>
      </c>
      <c r="G711" s="12">
        <v>150000</v>
      </c>
      <c r="H711" s="11" t="s">
        <v>352</v>
      </c>
    </row>
    <row r="712" spans="1:8" ht="15" customHeight="1" x14ac:dyDescent="0.25">
      <c r="A712" s="11" t="s">
        <v>484</v>
      </c>
      <c r="B712" s="11">
        <v>900240</v>
      </c>
      <c r="C712" s="11" t="s">
        <v>1601</v>
      </c>
      <c r="D712" s="11" t="s">
        <v>1032</v>
      </c>
      <c r="E712" s="12">
        <v>500</v>
      </c>
      <c r="F712" s="13">
        <v>180</v>
      </c>
      <c r="G712" s="12">
        <v>90000</v>
      </c>
      <c r="H712" s="11" t="s">
        <v>355</v>
      </c>
    </row>
    <row r="713" spans="1:8" ht="15" customHeight="1" x14ac:dyDescent="0.25">
      <c r="A713" s="11" t="s">
        <v>484</v>
      </c>
      <c r="B713" s="11">
        <v>200127</v>
      </c>
      <c r="C713" s="11" t="s">
        <v>1602</v>
      </c>
      <c r="D713" s="11" t="s">
        <v>486</v>
      </c>
      <c r="E713" s="12">
        <v>509999</v>
      </c>
      <c r="F713" s="13">
        <v>0</v>
      </c>
      <c r="G713" s="12">
        <v>0</v>
      </c>
      <c r="H713" s="11" t="s">
        <v>1603</v>
      </c>
    </row>
    <row r="714" spans="1:8" ht="15" customHeight="1" x14ac:dyDescent="0.25">
      <c r="A714" s="11" t="s">
        <v>484</v>
      </c>
      <c r="B714" s="11">
        <v>200125</v>
      </c>
      <c r="C714" s="11" t="s">
        <v>1604</v>
      </c>
      <c r="D714" s="11" t="s">
        <v>538</v>
      </c>
      <c r="E714" s="12">
        <v>21550</v>
      </c>
      <c r="F714" s="13">
        <v>0</v>
      </c>
      <c r="G714" s="12">
        <v>0</v>
      </c>
      <c r="H714" s="11" t="s">
        <v>1605</v>
      </c>
    </row>
    <row r="715" spans="1:8" ht="15" customHeight="1" x14ac:dyDescent="0.25">
      <c r="A715" s="11" t="s">
        <v>484</v>
      </c>
      <c r="B715" s="11">
        <v>200126</v>
      </c>
      <c r="C715" s="11" t="s">
        <v>1606</v>
      </c>
      <c r="D715" s="11" t="s">
        <v>486</v>
      </c>
      <c r="E715" s="12">
        <v>32000</v>
      </c>
      <c r="F715" s="13">
        <v>100</v>
      </c>
      <c r="G715" s="12">
        <v>3200000</v>
      </c>
      <c r="H715" s="11" t="s">
        <v>204</v>
      </c>
    </row>
    <row r="716" spans="1:8" ht="15" customHeight="1" x14ac:dyDescent="0.25">
      <c r="A716" s="11" t="s">
        <v>484</v>
      </c>
      <c r="B716" s="11">
        <v>140505</v>
      </c>
      <c r="C716" s="11" t="s">
        <v>1607</v>
      </c>
      <c r="D716" s="11" t="s">
        <v>736</v>
      </c>
      <c r="E716" s="12">
        <v>45000</v>
      </c>
      <c r="F716" s="13">
        <v>4</v>
      </c>
      <c r="G716" s="12">
        <v>180000</v>
      </c>
      <c r="H716" s="11" t="s">
        <v>291</v>
      </c>
    </row>
    <row r="717" spans="1:8" ht="15" customHeight="1" x14ac:dyDescent="0.25">
      <c r="A717" s="11" t="s">
        <v>484</v>
      </c>
      <c r="B717" s="11">
        <v>111766</v>
      </c>
      <c r="C717" s="11" t="s">
        <v>1608</v>
      </c>
      <c r="D717" s="11" t="s">
        <v>496</v>
      </c>
      <c r="E717" s="12">
        <v>833.33333333333303</v>
      </c>
      <c r="F717" s="13">
        <v>618</v>
      </c>
      <c r="G717" s="12">
        <v>515000</v>
      </c>
      <c r="H717" s="11" t="s">
        <v>113</v>
      </c>
    </row>
    <row r="718" spans="1:8" ht="15" customHeight="1" x14ac:dyDescent="0.25">
      <c r="A718" s="11" t="s">
        <v>484</v>
      </c>
      <c r="B718" s="11">
        <v>777418</v>
      </c>
      <c r="C718" s="11" t="s">
        <v>1609</v>
      </c>
      <c r="D718" s="11" t="s">
        <v>1610</v>
      </c>
      <c r="E718" s="12">
        <v>2000</v>
      </c>
      <c r="F718" s="13">
        <v>200</v>
      </c>
      <c r="G718" s="12">
        <v>400000</v>
      </c>
      <c r="H718" s="11" t="s">
        <v>331</v>
      </c>
    </row>
    <row r="719" spans="1:8" ht="15" customHeight="1" x14ac:dyDescent="0.25">
      <c r="A719" s="11" t="s">
        <v>484</v>
      </c>
      <c r="B719" s="11">
        <v>100424</v>
      </c>
      <c r="C719" s="11" t="s">
        <v>1611</v>
      </c>
      <c r="D719" s="11" t="s">
        <v>486</v>
      </c>
      <c r="E719" s="12">
        <v>108060</v>
      </c>
      <c r="F719" s="13">
        <v>40</v>
      </c>
      <c r="G719" s="12">
        <v>4322400</v>
      </c>
      <c r="H719" s="11" t="s">
        <v>329</v>
      </c>
    </row>
    <row r="720" spans="1:8" ht="15" customHeight="1" x14ac:dyDescent="0.25">
      <c r="A720" s="11" t="s">
        <v>484</v>
      </c>
      <c r="B720" s="11">
        <v>100425</v>
      </c>
      <c r="C720" s="11" t="s">
        <v>1612</v>
      </c>
      <c r="D720" s="11" t="s">
        <v>486</v>
      </c>
      <c r="E720" s="12">
        <v>118280</v>
      </c>
      <c r="F720" s="13">
        <v>0</v>
      </c>
      <c r="G720" s="12">
        <v>0</v>
      </c>
      <c r="H720" s="11" t="s">
        <v>1613</v>
      </c>
    </row>
    <row r="721" spans="1:8" ht="15" customHeight="1" x14ac:dyDescent="0.25">
      <c r="A721" s="11" t="s">
        <v>484</v>
      </c>
      <c r="B721" s="11">
        <v>400212</v>
      </c>
      <c r="C721" s="11" t="s">
        <v>1614</v>
      </c>
      <c r="D721" s="11" t="s">
        <v>546</v>
      </c>
      <c r="E721" s="12">
        <v>200</v>
      </c>
      <c r="F721" s="13">
        <v>1000</v>
      </c>
      <c r="G721" s="12">
        <v>200000</v>
      </c>
      <c r="H721" s="11" t="s">
        <v>121</v>
      </c>
    </row>
    <row r="722" spans="1:8" ht="15" customHeight="1" x14ac:dyDescent="0.25">
      <c r="A722" s="11" t="s">
        <v>484</v>
      </c>
      <c r="B722" s="11">
        <v>100426</v>
      </c>
      <c r="C722" s="11" t="s">
        <v>1615</v>
      </c>
      <c r="D722" s="11" t="s">
        <v>486</v>
      </c>
      <c r="E722" s="12">
        <v>80760</v>
      </c>
      <c r="F722" s="13">
        <v>0</v>
      </c>
      <c r="G722" s="12">
        <v>0</v>
      </c>
      <c r="H722" s="11" t="s">
        <v>50</v>
      </c>
    </row>
    <row r="723" spans="1:8" ht="15" customHeight="1" x14ac:dyDescent="0.25">
      <c r="A723" s="11" t="s">
        <v>484</v>
      </c>
      <c r="B723" s="11">
        <v>400605</v>
      </c>
      <c r="C723" s="11" t="s">
        <v>1616</v>
      </c>
      <c r="D723" s="11" t="s">
        <v>486</v>
      </c>
      <c r="E723" s="12">
        <v>41650</v>
      </c>
      <c r="F723" s="13">
        <v>0</v>
      </c>
      <c r="G723" s="12">
        <v>0</v>
      </c>
      <c r="H723" s="11" t="s">
        <v>1617</v>
      </c>
    </row>
    <row r="724" spans="1:8" ht="15" customHeight="1" x14ac:dyDescent="0.25">
      <c r="A724" s="11" t="s">
        <v>484</v>
      </c>
      <c r="B724" s="11">
        <v>700113</v>
      </c>
      <c r="C724" s="11" t="s">
        <v>1618</v>
      </c>
      <c r="D724" s="11" t="s">
        <v>538</v>
      </c>
      <c r="E724" s="12">
        <v>390</v>
      </c>
      <c r="F724" s="13">
        <v>0</v>
      </c>
      <c r="G724" s="12">
        <v>0</v>
      </c>
      <c r="H724" s="11" t="s">
        <v>1619</v>
      </c>
    </row>
    <row r="725" spans="1:8" ht="15" customHeight="1" x14ac:dyDescent="0.25">
      <c r="A725" s="11" t="s">
        <v>484</v>
      </c>
      <c r="B725" s="11">
        <v>140709</v>
      </c>
      <c r="C725" s="11" t="s">
        <v>1620</v>
      </c>
      <c r="D725" s="11" t="s">
        <v>486</v>
      </c>
      <c r="E725" s="12">
        <v>40950.055555555598</v>
      </c>
      <c r="F725" s="13">
        <v>0</v>
      </c>
      <c r="G725" s="12">
        <v>0</v>
      </c>
      <c r="H725" s="11" t="s">
        <v>1621</v>
      </c>
    </row>
    <row r="726" spans="1:8" ht="15" customHeight="1" x14ac:dyDescent="0.25">
      <c r="A726" s="11" t="s">
        <v>484</v>
      </c>
      <c r="B726" s="11">
        <v>900241</v>
      </c>
      <c r="C726" s="11" t="s">
        <v>1622</v>
      </c>
      <c r="D726" s="11" t="s">
        <v>486</v>
      </c>
      <c r="E726" s="12">
        <v>62049</v>
      </c>
      <c r="F726" s="13">
        <v>50</v>
      </c>
      <c r="G726" s="12">
        <v>3102450</v>
      </c>
      <c r="H726" s="11" t="s">
        <v>348</v>
      </c>
    </row>
    <row r="727" spans="1:8" ht="15" customHeight="1" x14ac:dyDescent="0.25">
      <c r="A727" s="11" t="s">
        <v>484</v>
      </c>
      <c r="B727" s="11">
        <v>110415</v>
      </c>
      <c r="C727" s="11" t="s">
        <v>1623</v>
      </c>
      <c r="D727" s="11" t="s">
        <v>546</v>
      </c>
      <c r="E727" s="12">
        <v>95</v>
      </c>
      <c r="F727" s="13">
        <v>2000</v>
      </c>
      <c r="G727" s="12">
        <v>190000</v>
      </c>
      <c r="H727" s="11" t="s">
        <v>206</v>
      </c>
    </row>
    <row r="728" spans="1:8" ht="15" customHeight="1" x14ac:dyDescent="0.25">
      <c r="A728" s="11" t="s">
        <v>484</v>
      </c>
      <c r="B728" s="11">
        <v>555921</v>
      </c>
      <c r="C728" s="11" t="s">
        <v>1624</v>
      </c>
      <c r="D728" s="11" t="s">
        <v>499</v>
      </c>
      <c r="E728" s="12">
        <v>534</v>
      </c>
      <c r="F728" s="13">
        <v>1300</v>
      </c>
      <c r="G728" s="12">
        <v>694200</v>
      </c>
      <c r="H728" s="11" t="s">
        <v>221</v>
      </c>
    </row>
    <row r="729" spans="1:8" ht="15" customHeight="1" x14ac:dyDescent="0.25">
      <c r="A729" s="11" t="s">
        <v>484</v>
      </c>
      <c r="B729" s="11">
        <v>150116</v>
      </c>
      <c r="C729" s="11" t="s">
        <v>1625</v>
      </c>
      <c r="D729" s="11" t="s">
        <v>546</v>
      </c>
      <c r="E729" s="12">
        <v>26.5625</v>
      </c>
      <c r="F729" s="13">
        <v>4160</v>
      </c>
      <c r="G729" s="12">
        <v>110500</v>
      </c>
      <c r="H729" s="11" t="s">
        <v>193</v>
      </c>
    </row>
    <row r="730" spans="1:8" ht="15" customHeight="1" x14ac:dyDescent="0.25">
      <c r="A730" s="11" t="s">
        <v>484</v>
      </c>
      <c r="B730" s="11">
        <v>110414</v>
      </c>
      <c r="C730" s="11" t="s">
        <v>1626</v>
      </c>
      <c r="D730" s="11" t="s">
        <v>546</v>
      </c>
      <c r="E730" s="12">
        <v>40</v>
      </c>
      <c r="F730" s="13">
        <v>0</v>
      </c>
      <c r="G730" s="12">
        <v>0</v>
      </c>
      <c r="H730" s="11" t="s">
        <v>1627</v>
      </c>
    </row>
    <row r="731" spans="1:8" ht="15" customHeight="1" x14ac:dyDescent="0.25">
      <c r="A731" s="11" t="s">
        <v>484</v>
      </c>
      <c r="B731" s="11">
        <v>900242</v>
      </c>
      <c r="C731" s="11" t="s">
        <v>1628</v>
      </c>
      <c r="D731" s="11" t="s">
        <v>1032</v>
      </c>
      <c r="E731" s="12">
        <v>616.66666666666697</v>
      </c>
      <c r="F731" s="13">
        <v>0</v>
      </c>
      <c r="G731" s="12">
        <v>0</v>
      </c>
      <c r="H731" s="11" t="s">
        <v>1629</v>
      </c>
    </row>
    <row r="732" spans="1:8" ht="15" customHeight="1" x14ac:dyDescent="0.25">
      <c r="A732" s="11" t="s">
        <v>484</v>
      </c>
      <c r="B732" s="11">
        <v>900243</v>
      </c>
      <c r="C732" s="11" t="s">
        <v>1630</v>
      </c>
      <c r="D732" s="11" t="s">
        <v>1032</v>
      </c>
      <c r="E732" s="12">
        <v>616.66666666666697</v>
      </c>
      <c r="F732" s="13">
        <v>0</v>
      </c>
      <c r="G732" s="12">
        <v>0</v>
      </c>
      <c r="H732" s="11" t="s">
        <v>1631</v>
      </c>
    </row>
    <row r="733" spans="1:8" ht="15" customHeight="1" x14ac:dyDescent="0.25">
      <c r="A733" s="11" t="s">
        <v>484</v>
      </c>
      <c r="B733" s="11">
        <v>900244</v>
      </c>
      <c r="C733" s="11" t="s">
        <v>1632</v>
      </c>
      <c r="D733" s="11" t="s">
        <v>1032</v>
      </c>
      <c r="E733" s="12">
        <v>308.33333333333297</v>
      </c>
      <c r="F733" s="13">
        <v>900</v>
      </c>
      <c r="G733" s="12">
        <v>277500</v>
      </c>
      <c r="H733" s="11" t="s">
        <v>159</v>
      </c>
    </row>
    <row r="734" spans="1:8" ht="15" customHeight="1" x14ac:dyDescent="0.25">
      <c r="A734" s="11" t="s">
        <v>484</v>
      </c>
      <c r="B734" s="11">
        <v>900245</v>
      </c>
      <c r="C734" s="11" t="s">
        <v>1633</v>
      </c>
      <c r="D734" s="11" t="s">
        <v>1032</v>
      </c>
      <c r="E734" s="12">
        <v>616.66666666666697</v>
      </c>
      <c r="F734" s="13">
        <v>0</v>
      </c>
      <c r="G734" s="12">
        <v>0</v>
      </c>
      <c r="H734" s="11" t="s">
        <v>61</v>
      </c>
    </row>
    <row r="735" spans="1:8" ht="15" customHeight="1" x14ac:dyDescent="0.25">
      <c r="A735" s="11" t="s">
        <v>484</v>
      </c>
      <c r="B735" s="11">
        <v>900246</v>
      </c>
      <c r="C735" s="11" t="s">
        <v>1634</v>
      </c>
      <c r="D735" s="11" t="s">
        <v>1032</v>
      </c>
      <c r="E735" s="12">
        <v>308.33333333333297</v>
      </c>
      <c r="F735" s="13">
        <v>0</v>
      </c>
      <c r="G735" s="12">
        <v>0</v>
      </c>
      <c r="H735" s="11" t="s">
        <v>1635</v>
      </c>
    </row>
    <row r="736" spans="1:8" ht="15" customHeight="1" x14ac:dyDescent="0.25">
      <c r="A736" s="11" t="s">
        <v>484</v>
      </c>
      <c r="B736" s="11">
        <v>900247</v>
      </c>
      <c r="C736" s="11" t="s">
        <v>1636</v>
      </c>
      <c r="D736" s="11" t="s">
        <v>1032</v>
      </c>
      <c r="E736" s="12">
        <v>308.33333333333297</v>
      </c>
      <c r="F736" s="13">
        <v>0</v>
      </c>
      <c r="G736" s="12">
        <v>0</v>
      </c>
      <c r="H736" s="11" t="s">
        <v>1637</v>
      </c>
    </row>
    <row r="737" spans="1:8" ht="15" customHeight="1" x14ac:dyDescent="0.25">
      <c r="A737" s="11" t="s">
        <v>484</v>
      </c>
      <c r="B737" s="11">
        <v>900248</v>
      </c>
      <c r="C737" s="11" t="s">
        <v>1638</v>
      </c>
      <c r="D737" s="11" t="s">
        <v>1032</v>
      </c>
      <c r="E737" s="12">
        <v>308.33333333333297</v>
      </c>
      <c r="F737" s="13">
        <v>0</v>
      </c>
      <c r="G737" s="12">
        <v>0</v>
      </c>
      <c r="H737" s="11" t="s">
        <v>1639</v>
      </c>
    </row>
    <row r="738" spans="1:8" ht="15" customHeight="1" x14ac:dyDescent="0.25">
      <c r="A738" s="11" t="s">
        <v>484</v>
      </c>
      <c r="B738" s="11">
        <v>777419</v>
      </c>
      <c r="C738" s="11" t="s">
        <v>1640</v>
      </c>
      <c r="D738" s="11" t="s">
        <v>486</v>
      </c>
      <c r="E738" s="12">
        <v>48000</v>
      </c>
      <c r="F738" s="13">
        <v>0</v>
      </c>
      <c r="G738" s="12">
        <v>0</v>
      </c>
      <c r="H738" s="11" t="s">
        <v>1641</v>
      </c>
    </row>
    <row r="739" spans="1:8" ht="15" customHeight="1" x14ac:dyDescent="0.25">
      <c r="A739" s="11" t="s">
        <v>484</v>
      </c>
      <c r="B739" s="11">
        <v>222217</v>
      </c>
      <c r="C739" s="11" t="s">
        <v>1642</v>
      </c>
      <c r="D739" s="11" t="s">
        <v>499</v>
      </c>
      <c r="E739" s="12">
        <v>600</v>
      </c>
      <c r="F739" s="13">
        <v>400</v>
      </c>
      <c r="G739" s="12">
        <v>240000</v>
      </c>
      <c r="H739" s="11" t="s">
        <v>181</v>
      </c>
    </row>
    <row r="740" spans="1:8" ht="15" customHeight="1" x14ac:dyDescent="0.25">
      <c r="A740" s="11" t="s">
        <v>484</v>
      </c>
      <c r="B740" s="11">
        <v>201001</v>
      </c>
      <c r="C740" s="11" t="s">
        <v>1643</v>
      </c>
      <c r="D740" s="11" t="s">
        <v>499</v>
      </c>
      <c r="E740" s="12">
        <v>18000</v>
      </c>
      <c r="F740" s="13">
        <v>0</v>
      </c>
      <c r="G740" s="12">
        <v>0</v>
      </c>
      <c r="H740" s="11" t="s">
        <v>1644</v>
      </c>
    </row>
    <row r="741" spans="1:8" ht="15" customHeight="1" x14ac:dyDescent="0.25">
      <c r="A741" s="11" t="s">
        <v>484</v>
      </c>
      <c r="B741" s="11">
        <v>120117</v>
      </c>
      <c r="C741" s="11" t="s">
        <v>1645</v>
      </c>
      <c r="D741" s="11" t="s">
        <v>642</v>
      </c>
      <c r="E741" s="12">
        <v>17029.25</v>
      </c>
      <c r="F741" s="13">
        <v>0</v>
      </c>
      <c r="G741" s="12">
        <v>0</v>
      </c>
      <c r="H741" s="11" t="s">
        <v>74</v>
      </c>
    </row>
    <row r="742" spans="1:8" ht="15" customHeight="1" x14ac:dyDescent="0.25">
      <c r="A742" s="11" t="s">
        <v>484</v>
      </c>
      <c r="B742" s="11">
        <v>800406</v>
      </c>
      <c r="C742" s="11" t="s">
        <v>1646</v>
      </c>
      <c r="D742" s="11" t="s">
        <v>486</v>
      </c>
      <c r="E742" s="12">
        <v>31833.333333333299</v>
      </c>
      <c r="F742" s="13">
        <v>72</v>
      </c>
      <c r="G742" s="12">
        <v>2292000</v>
      </c>
      <c r="H742" s="11" t="s">
        <v>172</v>
      </c>
    </row>
    <row r="743" spans="1:8" ht="15" customHeight="1" x14ac:dyDescent="0.25">
      <c r="A743" s="11" t="s">
        <v>484</v>
      </c>
      <c r="B743" s="11">
        <v>111927</v>
      </c>
      <c r="C743" s="11" t="s">
        <v>1647</v>
      </c>
      <c r="D743" s="11" t="s">
        <v>499</v>
      </c>
      <c r="E743" s="12">
        <v>600</v>
      </c>
      <c r="F743" s="13">
        <v>2900</v>
      </c>
      <c r="G743" s="12">
        <v>1740000</v>
      </c>
      <c r="H743" s="11" t="s">
        <v>453</v>
      </c>
    </row>
    <row r="744" spans="1:8" ht="15" customHeight="1" x14ac:dyDescent="0.25">
      <c r="A744" s="11" t="s">
        <v>484</v>
      </c>
      <c r="B744" s="11">
        <v>140509</v>
      </c>
      <c r="C744" s="11" t="s">
        <v>1648</v>
      </c>
      <c r="D744" s="11" t="s">
        <v>546</v>
      </c>
      <c r="E744" s="12">
        <v>600</v>
      </c>
      <c r="F744" s="13">
        <v>0</v>
      </c>
      <c r="G744" s="12">
        <v>0</v>
      </c>
      <c r="H744" s="11" t="s">
        <v>1649</v>
      </c>
    </row>
    <row r="745" spans="1:8" ht="15" customHeight="1" x14ac:dyDescent="0.25">
      <c r="A745" s="11" t="s">
        <v>484</v>
      </c>
      <c r="B745" s="11">
        <v>300216</v>
      </c>
      <c r="C745" s="11" t="s">
        <v>1650</v>
      </c>
      <c r="D745" s="11" t="s">
        <v>546</v>
      </c>
      <c r="E745" s="12">
        <v>26.216000000000001</v>
      </c>
      <c r="F745" s="13">
        <v>78900</v>
      </c>
      <c r="G745" s="12">
        <v>2068442.4</v>
      </c>
      <c r="H745" s="11" t="s">
        <v>54</v>
      </c>
    </row>
    <row r="746" spans="1:8" ht="15" customHeight="1" x14ac:dyDescent="0.25">
      <c r="A746" s="11" t="s">
        <v>484</v>
      </c>
      <c r="B746" s="11">
        <v>140520</v>
      </c>
      <c r="C746" s="11" t="s">
        <v>1651</v>
      </c>
      <c r="D746" s="11" t="s">
        <v>736</v>
      </c>
      <c r="E746" s="12">
        <v>19500</v>
      </c>
      <c r="F746" s="13">
        <v>0</v>
      </c>
      <c r="G746" s="12">
        <v>0</v>
      </c>
      <c r="H746" s="11" t="s">
        <v>1652</v>
      </c>
    </row>
    <row r="747" spans="1:8" ht="15" customHeight="1" x14ac:dyDescent="0.25">
      <c r="A747" s="11" t="s">
        <v>484</v>
      </c>
      <c r="B747" s="11">
        <v>140521</v>
      </c>
      <c r="C747" s="11" t="s">
        <v>1653</v>
      </c>
      <c r="D747" s="11" t="s">
        <v>736</v>
      </c>
      <c r="E747" s="12">
        <v>19500</v>
      </c>
      <c r="F747" s="13">
        <v>0</v>
      </c>
      <c r="G747" s="12">
        <v>0</v>
      </c>
      <c r="H747" s="11" t="s">
        <v>1654</v>
      </c>
    </row>
    <row r="748" spans="1:8" ht="15" customHeight="1" x14ac:dyDescent="0.25">
      <c r="A748" s="11" t="s">
        <v>484</v>
      </c>
      <c r="B748" s="11">
        <v>140522</v>
      </c>
      <c r="C748" s="11" t="s">
        <v>1655</v>
      </c>
      <c r="D748" s="11" t="s">
        <v>736</v>
      </c>
      <c r="E748" s="12">
        <v>19500</v>
      </c>
      <c r="F748" s="13">
        <v>0</v>
      </c>
      <c r="G748" s="12">
        <v>0</v>
      </c>
      <c r="H748" s="11" t="s">
        <v>1656</v>
      </c>
    </row>
    <row r="749" spans="1:8" ht="15" customHeight="1" x14ac:dyDescent="0.25">
      <c r="A749" s="11" t="s">
        <v>484</v>
      </c>
      <c r="B749" s="11">
        <v>140524</v>
      </c>
      <c r="C749" s="11" t="s">
        <v>1657</v>
      </c>
      <c r="D749" s="11" t="s">
        <v>736</v>
      </c>
      <c r="E749" s="12">
        <v>19500</v>
      </c>
      <c r="F749" s="13">
        <v>0</v>
      </c>
      <c r="G749" s="12">
        <v>0</v>
      </c>
      <c r="H749" s="11" t="s">
        <v>1658</v>
      </c>
    </row>
    <row r="750" spans="1:8" ht="15" customHeight="1" x14ac:dyDescent="0.25">
      <c r="A750" s="11" t="s">
        <v>484</v>
      </c>
      <c r="B750" s="11">
        <v>110416</v>
      </c>
      <c r="C750" s="11" t="s">
        <v>1659</v>
      </c>
      <c r="D750" s="11" t="s">
        <v>642</v>
      </c>
      <c r="E750" s="12">
        <v>58000</v>
      </c>
      <c r="F750" s="13">
        <v>1</v>
      </c>
      <c r="G750" s="12">
        <v>58000</v>
      </c>
      <c r="H750" s="11" t="s">
        <v>423</v>
      </c>
    </row>
    <row r="751" spans="1:8" ht="15" customHeight="1" x14ac:dyDescent="0.25">
      <c r="A751" s="11" t="s">
        <v>484</v>
      </c>
      <c r="B751" s="11">
        <v>150109</v>
      </c>
      <c r="C751" s="11" t="s">
        <v>1660</v>
      </c>
      <c r="D751" s="11" t="s">
        <v>546</v>
      </c>
      <c r="E751" s="12">
        <v>15000</v>
      </c>
      <c r="F751" s="13">
        <v>5.35</v>
      </c>
      <c r="G751" s="12">
        <v>80250</v>
      </c>
      <c r="H751" s="11" t="s">
        <v>475</v>
      </c>
    </row>
    <row r="752" spans="1:8" ht="15" customHeight="1" x14ac:dyDescent="0.25">
      <c r="A752" s="11" t="s">
        <v>484</v>
      </c>
      <c r="B752" s="11">
        <v>130331</v>
      </c>
      <c r="C752" s="11" t="s">
        <v>1661</v>
      </c>
      <c r="D752" s="11" t="s">
        <v>538</v>
      </c>
      <c r="E752" s="12">
        <v>8600</v>
      </c>
      <c r="F752" s="13">
        <v>0</v>
      </c>
      <c r="G752" s="12">
        <v>0</v>
      </c>
      <c r="H752" s="11" t="s">
        <v>1662</v>
      </c>
    </row>
    <row r="753" spans="1:8" ht="15" customHeight="1" x14ac:dyDescent="0.25">
      <c r="A753" s="11" t="s">
        <v>484</v>
      </c>
      <c r="B753" s="11">
        <v>900232</v>
      </c>
      <c r="C753" s="11" t="s">
        <v>1663</v>
      </c>
      <c r="D753" s="11" t="s">
        <v>496</v>
      </c>
      <c r="E753" s="12">
        <v>6000</v>
      </c>
      <c r="F753" s="13">
        <v>0</v>
      </c>
      <c r="G753" s="12">
        <v>0</v>
      </c>
      <c r="H753" s="11" t="s">
        <v>1664</v>
      </c>
    </row>
    <row r="754" spans="1:8" ht="15" customHeight="1" x14ac:dyDescent="0.25">
      <c r="A754" s="11" t="s">
        <v>484</v>
      </c>
      <c r="B754" s="11">
        <v>110413</v>
      </c>
      <c r="C754" s="11" t="s">
        <v>1665</v>
      </c>
      <c r="D754" s="11" t="s">
        <v>546</v>
      </c>
      <c r="E754" s="12">
        <v>1000</v>
      </c>
      <c r="F754" s="13">
        <v>0</v>
      </c>
      <c r="G754" s="12">
        <v>0</v>
      </c>
      <c r="H754" s="11" t="s">
        <v>1666</v>
      </c>
    </row>
    <row r="755" spans="1:8" ht="15" customHeight="1" x14ac:dyDescent="0.25">
      <c r="A755" s="11" t="s">
        <v>484</v>
      </c>
      <c r="B755" s="11">
        <v>555922</v>
      </c>
      <c r="C755" s="11" t="s">
        <v>1667</v>
      </c>
      <c r="D755" s="11" t="s">
        <v>499</v>
      </c>
      <c r="E755" s="12">
        <v>2810</v>
      </c>
      <c r="F755" s="13">
        <v>1600</v>
      </c>
      <c r="G755" s="12">
        <v>4496000</v>
      </c>
      <c r="H755" s="11" t="s">
        <v>217</v>
      </c>
    </row>
    <row r="756" spans="1:8" ht="15" customHeight="1" x14ac:dyDescent="0.25">
      <c r="A756" s="11" t="s">
        <v>484</v>
      </c>
      <c r="B756" s="11">
        <v>333513</v>
      </c>
      <c r="C756" s="11" t="s">
        <v>1668</v>
      </c>
      <c r="D756" s="11" t="s">
        <v>499</v>
      </c>
      <c r="E756" s="12">
        <v>129</v>
      </c>
      <c r="F756" s="13">
        <v>3500</v>
      </c>
      <c r="G756" s="12">
        <v>451500</v>
      </c>
      <c r="H756" s="11" t="s">
        <v>96</v>
      </c>
    </row>
    <row r="757" spans="1:8" ht="15" customHeight="1" x14ac:dyDescent="0.25">
      <c r="A757" s="11" t="s">
        <v>484</v>
      </c>
      <c r="B757" s="11">
        <v>555923</v>
      </c>
      <c r="C757" s="11" t="s">
        <v>1669</v>
      </c>
      <c r="D757" s="11" t="s">
        <v>499</v>
      </c>
      <c r="E757" s="12">
        <v>551</v>
      </c>
      <c r="F757" s="13">
        <v>0</v>
      </c>
      <c r="G757" s="12">
        <v>0</v>
      </c>
      <c r="H757" s="11" t="s">
        <v>1670</v>
      </c>
    </row>
    <row r="758" spans="1:8" ht="15" customHeight="1" x14ac:dyDescent="0.25">
      <c r="A758" s="11" t="s">
        <v>484</v>
      </c>
      <c r="B758" s="11">
        <v>700114</v>
      </c>
      <c r="C758" s="11" t="s">
        <v>1671</v>
      </c>
      <c r="D758" s="11" t="s">
        <v>486</v>
      </c>
      <c r="E758" s="12">
        <v>40126.6875</v>
      </c>
      <c r="F758" s="13">
        <v>320</v>
      </c>
      <c r="G758" s="12">
        <v>12840540</v>
      </c>
      <c r="H758" s="11" t="s">
        <v>259</v>
      </c>
    </row>
    <row r="759" spans="1:8" ht="15" customHeight="1" x14ac:dyDescent="0.25">
      <c r="A759" s="11" t="s">
        <v>484</v>
      </c>
      <c r="B759" s="11">
        <v>200128</v>
      </c>
      <c r="C759" s="11" t="s">
        <v>1672</v>
      </c>
      <c r="D759" s="11" t="s">
        <v>486</v>
      </c>
      <c r="E759" s="12">
        <v>78100</v>
      </c>
      <c r="F759" s="13">
        <v>20.5</v>
      </c>
      <c r="G759" s="12">
        <v>1601050</v>
      </c>
      <c r="H759" s="11" t="s">
        <v>256</v>
      </c>
    </row>
    <row r="760" spans="1:8" ht="15" customHeight="1" x14ac:dyDescent="0.25">
      <c r="A760" s="11" t="s">
        <v>484</v>
      </c>
      <c r="B760" s="11">
        <v>100427</v>
      </c>
      <c r="C760" s="11" t="s">
        <v>1673</v>
      </c>
      <c r="D760" s="11" t="s">
        <v>486</v>
      </c>
      <c r="E760" s="12">
        <v>48790</v>
      </c>
      <c r="F760" s="13">
        <v>0</v>
      </c>
      <c r="G760" s="12">
        <v>0</v>
      </c>
      <c r="H760" s="11" t="s">
        <v>1674</v>
      </c>
    </row>
    <row r="761" spans="1:8" ht="15" customHeight="1" x14ac:dyDescent="0.25">
      <c r="A761" s="11" t="s">
        <v>484</v>
      </c>
      <c r="B761" s="11">
        <v>130332</v>
      </c>
      <c r="C761" s="11" t="s">
        <v>1675</v>
      </c>
      <c r="D761" s="11" t="s">
        <v>486</v>
      </c>
      <c r="E761" s="12">
        <v>14100</v>
      </c>
      <c r="F761" s="13">
        <v>40</v>
      </c>
      <c r="G761" s="12">
        <v>564000</v>
      </c>
      <c r="H761" s="11" t="s">
        <v>85</v>
      </c>
    </row>
    <row r="762" spans="1:8" ht="15" customHeight="1" x14ac:dyDescent="0.25">
      <c r="A762" s="11" t="s">
        <v>484</v>
      </c>
      <c r="B762" s="11">
        <v>110418</v>
      </c>
      <c r="C762" s="11" t="s">
        <v>1676</v>
      </c>
      <c r="D762" s="11" t="s">
        <v>723</v>
      </c>
      <c r="E762" s="12">
        <v>58</v>
      </c>
      <c r="F762" s="13">
        <v>0</v>
      </c>
      <c r="G762" s="12">
        <v>0</v>
      </c>
      <c r="H762" s="11" t="s">
        <v>1677</v>
      </c>
    </row>
    <row r="763" spans="1:8" ht="15" customHeight="1" x14ac:dyDescent="0.25">
      <c r="A763" s="11" t="s">
        <v>484</v>
      </c>
      <c r="B763" s="11">
        <v>777420</v>
      </c>
      <c r="C763" s="11" t="s">
        <v>1678</v>
      </c>
      <c r="D763" s="11" t="s">
        <v>486</v>
      </c>
      <c r="E763" s="12">
        <v>34000</v>
      </c>
      <c r="F763" s="13">
        <v>175</v>
      </c>
      <c r="G763" s="12">
        <v>5950000</v>
      </c>
      <c r="H763" s="11" t="s">
        <v>140</v>
      </c>
    </row>
    <row r="764" spans="1:8" ht="15" customHeight="1" x14ac:dyDescent="0.25">
      <c r="A764" s="11" t="s">
        <v>484</v>
      </c>
      <c r="B764" s="11">
        <v>111509</v>
      </c>
      <c r="C764" s="11" t="s">
        <v>1679</v>
      </c>
      <c r="D764" s="11" t="s">
        <v>499</v>
      </c>
      <c r="E764" s="12">
        <v>350</v>
      </c>
      <c r="F764" s="13">
        <v>0</v>
      </c>
      <c r="G764" s="12">
        <v>0</v>
      </c>
      <c r="H764" s="11" t="s">
        <v>1680</v>
      </c>
    </row>
    <row r="765" spans="1:8" ht="15" customHeight="1" x14ac:dyDescent="0.25">
      <c r="A765" s="11" t="s">
        <v>484</v>
      </c>
      <c r="B765" s="11">
        <v>777417</v>
      </c>
      <c r="C765" s="11" t="s">
        <v>1681</v>
      </c>
      <c r="D765" s="11" t="s">
        <v>499</v>
      </c>
      <c r="E765" s="12">
        <v>408.16326530612298</v>
      </c>
      <c r="F765" s="13">
        <v>0</v>
      </c>
      <c r="G765" s="12">
        <v>0</v>
      </c>
      <c r="H765" s="11" t="s">
        <v>1682</v>
      </c>
    </row>
    <row r="766" spans="1:8" ht="15" customHeight="1" x14ac:dyDescent="0.25">
      <c r="A766" s="11" t="s">
        <v>484</v>
      </c>
      <c r="B766" s="11">
        <v>140207</v>
      </c>
      <c r="C766" s="11" t="s">
        <v>1683</v>
      </c>
      <c r="D766" s="11" t="s">
        <v>496</v>
      </c>
      <c r="E766" s="12">
        <v>350</v>
      </c>
      <c r="F766" s="13">
        <v>17</v>
      </c>
      <c r="G766" s="12">
        <v>5950</v>
      </c>
      <c r="H766" s="11" t="s">
        <v>180</v>
      </c>
    </row>
    <row r="767" spans="1:8" ht="15" customHeight="1" x14ac:dyDescent="0.25">
      <c r="A767" s="11" t="s">
        <v>484</v>
      </c>
      <c r="B767" s="11">
        <v>201000</v>
      </c>
      <c r="C767" s="11" t="s">
        <v>1684</v>
      </c>
      <c r="D767" s="11" t="s">
        <v>1685</v>
      </c>
      <c r="E767" s="12">
        <v>395.83333333333297</v>
      </c>
      <c r="F767" s="13">
        <v>0</v>
      </c>
      <c r="G767" s="12">
        <v>0</v>
      </c>
      <c r="H767" s="11" t="s">
        <v>1686</v>
      </c>
    </row>
    <row r="768" spans="1:8" ht="15" customHeight="1" x14ac:dyDescent="0.25">
      <c r="A768" s="11" t="s">
        <v>484</v>
      </c>
      <c r="B768" s="11">
        <v>201004</v>
      </c>
      <c r="C768" s="11" t="s">
        <v>1687</v>
      </c>
      <c r="D768" s="11" t="s">
        <v>496</v>
      </c>
      <c r="E768" s="12">
        <v>916.66666666666697</v>
      </c>
      <c r="F768" s="13">
        <v>3</v>
      </c>
      <c r="G768" s="12">
        <v>2750</v>
      </c>
      <c r="H768" s="11" t="s">
        <v>177</v>
      </c>
    </row>
    <row r="769" spans="1:8" ht="15" customHeight="1" x14ac:dyDescent="0.25">
      <c r="A769" s="11" t="s">
        <v>484</v>
      </c>
      <c r="B769" s="11">
        <v>333209</v>
      </c>
      <c r="C769" s="11" t="s">
        <v>1688</v>
      </c>
      <c r="D769" s="11" t="s">
        <v>496</v>
      </c>
      <c r="E769" s="12">
        <v>100</v>
      </c>
      <c r="F769" s="13">
        <v>20000</v>
      </c>
      <c r="G769" s="12">
        <v>2000000</v>
      </c>
      <c r="H769" s="11" t="s">
        <v>265</v>
      </c>
    </row>
    <row r="770" spans="1:8" ht="15" customHeight="1" x14ac:dyDescent="0.25">
      <c r="A770" s="11" t="s">
        <v>484</v>
      </c>
      <c r="B770" s="11">
        <v>333210</v>
      </c>
      <c r="C770" s="11" t="s">
        <v>1689</v>
      </c>
      <c r="D770" s="11" t="s">
        <v>499</v>
      </c>
      <c r="E770" s="12">
        <v>75</v>
      </c>
      <c r="F770" s="13">
        <v>20000</v>
      </c>
      <c r="G770" s="12">
        <v>1500000</v>
      </c>
      <c r="H770" s="11" t="s">
        <v>264</v>
      </c>
    </row>
    <row r="771" spans="1:8" ht="15" customHeight="1" x14ac:dyDescent="0.25">
      <c r="A771" s="11" t="s">
        <v>484</v>
      </c>
      <c r="B771" s="11">
        <v>150121</v>
      </c>
      <c r="C771" s="11" t="s">
        <v>1690</v>
      </c>
      <c r="D771" s="11" t="s">
        <v>546</v>
      </c>
      <c r="E771" s="12">
        <v>45</v>
      </c>
      <c r="F771" s="13">
        <v>4200</v>
      </c>
      <c r="G771" s="12">
        <v>189000</v>
      </c>
      <c r="H771" s="11" t="s">
        <v>191</v>
      </c>
    </row>
    <row r="772" spans="1:8" ht="15" customHeight="1" x14ac:dyDescent="0.25">
      <c r="A772" s="11" t="s">
        <v>484</v>
      </c>
      <c r="B772" s="11">
        <v>150108</v>
      </c>
      <c r="C772" s="11" t="s">
        <v>1691</v>
      </c>
      <c r="D772" s="11" t="s">
        <v>546</v>
      </c>
      <c r="E772" s="12">
        <v>40</v>
      </c>
      <c r="F772" s="13">
        <v>4300</v>
      </c>
      <c r="G772" s="12">
        <v>172000</v>
      </c>
      <c r="H772" s="11" t="s">
        <v>192</v>
      </c>
    </row>
    <row r="773" spans="1:8" ht="15" customHeight="1" x14ac:dyDescent="0.25">
      <c r="A773" s="11" t="s">
        <v>484</v>
      </c>
      <c r="B773" s="11">
        <v>900249</v>
      </c>
      <c r="C773" s="11" t="s">
        <v>1692</v>
      </c>
      <c r="D773" s="11" t="s">
        <v>496</v>
      </c>
      <c r="E773" s="12">
        <v>345.33333333333297</v>
      </c>
      <c r="F773" s="13">
        <v>0</v>
      </c>
      <c r="G773" s="12">
        <v>0</v>
      </c>
      <c r="H773" s="11" t="s">
        <v>1693</v>
      </c>
    </row>
    <row r="774" spans="1:8" ht="15" customHeight="1" x14ac:dyDescent="0.25">
      <c r="A774" s="11" t="s">
        <v>484</v>
      </c>
      <c r="B774" s="11">
        <v>900250</v>
      </c>
      <c r="C774" s="11" t="s">
        <v>1694</v>
      </c>
      <c r="D774" s="11" t="s">
        <v>496</v>
      </c>
      <c r="E774" s="12">
        <v>345.33333333333297</v>
      </c>
      <c r="F774" s="13">
        <v>0</v>
      </c>
      <c r="G774" s="12">
        <v>0</v>
      </c>
      <c r="H774" s="11" t="s">
        <v>1695</v>
      </c>
    </row>
    <row r="775" spans="1:8" ht="15" customHeight="1" x14ac:dyDescent="0.25">
      <c r="A775" s="11" t="s">
        <v>484</v>
      </c>
      <c r="B775" s="11">
        <v>150117</v>
      </c>
      <c r="C775" s="11" t="s">
        <v>1696</v>
      </c>
      <c r="D775" s="11" t="s">
        <v>546</v>
      </c>
      <c r="E775" s="12">
        <v>60</v>
      </c>
      <c r="F775" s="13">
        <v>950</v>
      </c>
      <c r="G775" s="12">
        <v>57000</v>
      </c>
      <c r="H775" s="11" t="s">
        <v>260</v>
      </c>
    </row>
    <row r="776" spans="1:8" ht="15" customHeight="1" x14ac:dyDescent="0.25">
      <c r="A776" s="11" t="s">
        <v>484</v>
      </c>
      <c r="B776" s="11">
        <v>150113</v>
      </c>
      <c r="C776" s="11" t="s">
        <v>1697</v>
      </c>
      <c r="D776" s="11" t="s">
        <v>546</v>
      </c>
      <c r="E776" s="12">
        <v>50</v>
      </c>
      <c r="F776" s="13">
        <v>0</v>
      </c>
      <c r="G776" s="12">
        <v>0</v>
      </c>
      <c r="H776" s="11" t="s">
        <v>1698</v>
      </c>
    </row>
    <row r="777" spans="1:8" ht="15" customHeight="1" x14ac:dyDescent="0.25">
      <c r="A777" s="11" t="s">
        <v>484</v>
      </c>
      <c r="B777" s="11">
        <v>600304</v>
      </c>
      <c r="C777" s="11" t="s">
        <v>1699</v>
      </c>
      <c r="D777" s="11" t="s">
        <v>538</v>
      </c>
      <c r="E777" s="12">
        <v>44400</v>
      </c>
      <c r="F777" s="13">
        <v>160</v>
      </c>
      <c r="G777" s="12">
        <v>7104000</v>
      </c>
      <c r="H777" s="11" t="s">
        <v>33</v>
      </c>
    </row>
    <row r="778" spans="1:8" ht="15" customHeight="1" x14ac:dyDescent="0.25">
      <c r="A778" s="11" t="s">
        <v>484</v>
      </c>
      <c r="B778" s="11">
        <v>400213</v>
      </c>
      <c r="C778" s="11" t="s">
        <v>1700</v>
      </c>
      <c r="D778" s="11" t="s">
        <v>486</v>
      </c>
      <c r="E778" s="12">
        <v>100000</v>
      </c>
      <c r="F778" s="13">
        <v>0</v>
      </c>
      <c r="G778" s="12">
        <v>0</v>
      </c>
      <c r="H778" s="11" t="s">
        <v>1701</v>
      </c>
    </row>
    <row r="779" spans="1:8" ht="15" customHeight="1" x14ac:dyDescent="0.25">
      <c r="A779" s="11" t="s">
        <v>484</v>
      </c>
      <c r="B779" s="11">
        <v>333514</v>
      </c>
      <c r="C779" s="11" t="s">
        <v>1702</v>
      </c>
      <c r="D779" s="11" t="s">
        <v>496</v>
      </c>
      <c r="E779" s="12">
        <v>21</v>
      </c>
      <c r="F779" s="13">
        <v>21868</v>
      </c>
      <c r="G779" s="12">
        <v>459228</v>
      </c>
      <c r="H779" s="11" t="s">
        <v>437</v>
      </c>
    </row>
    <row r="780" spans="1:8" ht="15" customHeight="1" x14ac:dyDescent="0.25">
      <c r="A780" s="11" t="s">
        <v>484</v>
      </c>
      <c r="B780" s="11">
        <v>150122</v>
      </c>
      <c r="C780" s="11" t="s">
        <v>1703</v>
      </c>
      <c r="D780" s="11" t="s">
        <v>546</v>
      </c>
      <c r="E780" s="12">
        <v>48</v>
      </c>
      <c r="F780" s="13">
        <v>250</v>
      </c>
      <c r="G780" s="12">
        <v>12000</v>
      </c>
      <c r="H780" s="11" t="s">
        <v>151</v>
      </c>
    </row>
    <row r="781" spans="1:8" ht="15" customHeight="1" x14ac:dyDescent="0.25">
      <c r="A781" s="11" t="s">
        <v>484</v>
      </c>
      <c r="B781" s="11">
        <v>444303</v>
      </c>
      <c r="C781" s="11" t="s">
        <v>1704</v>
      </c>
      <c r="D781" s="11" t="s">
        <v>546</v>
      </c>
      <c r="E781" s="12">
        <v>123.404255319149</v>
      </c>
      <c r="F781" s="13">
        <v>235</v>
      </c>
      <c r="G781" s="12">
        <v>29000</v>
      </c>
      <c r="H781" s="11" t="s">
        <v>167</v>
      </c>
    </row>
    <row r="782" spans="1:8" ht="15" customHeight="1" x14ac:dyDescent="0.25">
      <c r="A782" s="11" t="s">
        <v>484</v>
      </c>
      <c r="B782" s="11">
        <v>130333</v>
      </c>
      <c r="C782" s="11" t="s">
        <v>1705</v>
      </c>
      <c r="D782" s="11" t="s">
        <v>486</v>
      </c>
      <c r="E782" s="12">
        <v>85803</v>
      </c>
      <c r="F782" s="13">
        <v>0</v>
      </c>
      <c r="G782" s="12">
        <v>0</v>
      </c>
      <c r="H782" s="11" t="s">
        <v>30</v>
      </c>
    </row>
    <row r="783" spans="1:8" ht="15" customHeight="1" x14ac:dyDescent="0.25">
      <c r="A783" s="11" t="s">
        <v>484</v>
      </c>
      <c r="B783" s="11">
        <v>333211</v>
      </c>
      <c r="C783" s="11" t="s">
        <v>1706</v>
      </c>
      <c r="D783" s="11" t="s">
        <v>496</v>
      </c>
      <c r="E783" s="12">
        <v>836.4</v>
      </c>
      <c r="F783" s="13">
        <v>0</v>
      </c>
      <c r="G783" s="12">
        <v>0</v>
      </c>
      <c r="H783" s="11" t="s">
        <v>1707</v>
      </c>
    </row>
    <row r="784" spans="1:8" ht="15" customHeight="1" x14ac:dyDescent="0.25">
      <c r="A784" s="11" t="s">
        <v>484</v>
      </c>
      <c r="B784" s="11">
        <v>300217</v>
      </c>
      <c r="C784" s="11" t="s">
        <v>1708</v>
      </c>
      <c r="D784" s="11" t="s">
        <v>546</v>
      </c>
      <c r="E784" s="12">
        <v>32</v>
      </c>
      <c r="F784" s="13">
        <v>12500</v>
      </c>
      <c r="G784" s="12">
        <v>400000</v>
      </c>
      <c r="H784" s="11" t="s">
        <v>426</v>
      </c>
    </row>
    <row r="785" spans="1:8" ht="15" customHeight="1" x14ac:dyDescent="0.25">
      <c r="A785" s="11" t="s">
        <v>484</v>
      </c>
      <c r="B785" s="11">
        <v>800509</v>
      </c>
      <c r="C785" s="11" t="s">
        <v>1709</v>
      </c>
      <c r="D785" s="11" t="s">
        <v>538</v>
      </c>
      <c r="E785" s="12">
        <v>28001.599999999999</v>
      </c>
      <c r="F785" s="13">
        <v>45</v>
      </c>
      <c r="G785" s="12">
        <v>1260072</v>
      </c>
      <c r="H785" s="11" t="s">
        <v>323</v>
      </c>
    </row>
    <row r="786" spans="1:8" ht="15" customHeight="1" x14ac:dyDescent="0.25">
      <c r="A786" s="11" t="s">
        <v>484</v>
      </c>
      <c r="B786" s="11">
        <v>666410</v>
      </c>
      <c r="C786" s="11" t="s">
        <v>1710</v>
      </c>
      <c r="D786" s="11" t="s">
        <v>496</v>
      </c>
      <c r="E786" s="12">
        <v>6200</v>
      </c>
      <c r="F786" s="13">
        <v>1340</v>
      </c>
      <c r="G786" s="12">
        <v>8308000</v>
      </c>
      <c r="H786" s="11" t="s">
        <v>452</v>
      </c>
    </row>
    <row r="787" spans="1:8" ht="15" customHeight="1" x14ac:dyDescent="0.25">
      <c r="A787" s="11" t="s">
        <v>484</v>
      </c>
      <c r="B787" s="11">
        <v>600305</v>
      </c>
      <c r="C787" s="11" t="s">
        <v>1711</v>
      </c>
      <c r="D787" s="11" t="s">
        <v>546</v>
      </c>
      <c r="E787" s="12">
        <v>17</v>
      </c>
      <c r="F787" s="13">
        <v>0</v>
      </c>
      <c r="G787" s="12">
        <v>0</v>
      </c>
      <c r="H787" s="11" t="s">
        <v>1712</v>
      </c>
    </row>
    <row r="788" spans="1:8" ht="15" customHeight="1" x14ac:dyDescent="0.25">
      <c r="A788" s="11" t="s">
        <v>484</v>
      </c>
      <c r="B788" s="11">
        <v>700115</v>
      </c>
      <c r="C788" s="11" t="s">
        <v>1713</v>
      </c>
      <c r="D788" s="11" t="s">
        <v>546</v>
      </c>
      <c r="E788" s="12">
        <v>350</v>
      </c>
      <c r="F788" s="13">
        <v>0</v>
      </c>
      <c r="G788" s="12">
        <v>0</v>
      </c>
      <c r="H788" s="11" t="s">
        <v>1714</v>
      </c>
    </row>
    <row r="789" spans="1:8" ht="15" customHeight="1" x14ac:dyDescent="0.25">
      <c r="A789" s="11" t="s">
        <v>484</v>
      </c>
      <c r="B789" s="11">
        <v>444304</v>
      </c>
      <c r="C789" s="11" t="s">
        <v>1715</v>
      </c>
      <c r="D789" s="11" t="s">
        <v>496</v>
      </c>
      <c r="E789" s="12">
        <v>240</v>
      </c>
      <c r="F789" s="13">
        <v>2000</v>
      </c>
      <c r="G789" s="12">
        <v>480000</v>
      </c>
      <c r="H789" s="11" t="s">
        <v>346</v>
      </c>
    </row>
    <row r="790" spans="1:8" ht="15" customHeight="1" x14ac:dyDescent="0.25">
      <c r="A790" s="11" t="s">
        <v>484</v>
      </c>
      <c r="B790" s="11">
        <v>444305</v>
      </c>
      <c r="C790" s="11" t="s">
        <v>1716</v>
      </c>
      <c r="D790" s="11" t="s">
        <v>496</v>
      </c>
      <c r="E790" s="12">
        <v>90</v>
      </c>
      <c r="F790" s="13">
        <v>0</v>
      </c>
      <c r="G790" s="12">
        <v>0</v>
      </c>
      <c r="H790" s="11" t="s">
        <v>1717</v>
      </c>
    </row>
    <row r="791" spans="1:8" ht="15" customHeight="1" x14ac:dyDescent="0.25">
      <c r="A791" s="11" t="s">
        <v>484</v>
      </c>
      <c r="B791" s="11">
        <v>222218</v>
      </c>
      <c r="C791" s="11" t="s">
        <v>1718</v>
      </c>
      <c r="D791" s="11" t="s">
        <v>496</v>
      </c>
      <c r="E791" s="12">
        <v>50</v>
      </c>
      <c r="F791" s="13">
        <v>1750</v>
      </c>
      <c r="G791" s="12">
        <v>87500</v>
      </c>
      <c r="H791" s="11" t="s">
        <v>214</v>
      </c>
    </row>
    <row r="792" spans="1:8" ht="15" customHeight="1" x14ac:dyDescent="0.25">
      <c r="A792" s="11" t="s">
        <v>484</v>
      </c>
      <c r="B792" s="11">
        <v>130334</v>
      </c>
      <c r="C792" s="11" t="s">
        <v>1719</v>
      </c>
      <c r="D792" s="11" t="s">
        <v>1720</v>
      </c>
      <c r="E792" s="12">
        <v>14</v>
      </c>
      <c r="F792" s="13">
        <v>0</v>
      </c>
      <c r="G792" s="12">
        <v>0</v>
      </c>
      <c r="H792" s="11" t="s">
        <v>1721</v>
      </c>
    </row>
    <row r="793" spans="1:8" ht="15" customHeight="1" x14ac:dyDescent="0.25">
      <c r="A793" s="11" t="s">
        <v>484</v>
      </c>
      <c r="B793" s="11">
        <v>600306</v>
      </c>
      <c r="C793" s="11" t="s">
        <v>1722</v>
      </c>
      <c r="D793" s="11" t="s">
        <v>1720</v>
      </c>
      <c r="E793" s="12">
        <v>26</v>
      </c>
      <c r="F793" s="13">
        <v>44000</v>
      </c>
      <c r="G793" s="12">
        <v>1144000</v>
      </c>
      <c r="H793" s="11" t="s">
        <v>250</v>
      </c>
    </row>
    <row r="794" spans="1:8" ht="15" customHeight="1" x14ac:dyDescent="0.25">
      <c r="A794" s="11" t="s">
        <v>484</v>
      </c>
      <c r="B794" s="11">
        <v>400214</v>
      </c>
      <c r="C794" s="11" t="s">
        <v>1723</v>
      </c>
      <c r="D794" s="11" t="s">
        <v>1720</v>
      </c>
      <c r="E794" s="12">
        <v>0</v>
      </c>
      <c r="F794" s="13">
        <v>0</v>
      </c>
      <c r="G794" s="12">
        <v>0</v>
      </c>
      <c r="H794" s="11" t="s">
        <v>1724</v>
      </c>
    </row>
    <row r="795" spans="1:8" ht="15" customHeight="1" x14ac:dyDescent="0.25">
      <c r="A795" s="11" t="s">
        <v>484</v>
      </c>
      <c r="B795" s="11">
        <v>130335</v>
      </c>
      <c r="C795" s="11" t="s">
        <v>1725</v>
      </c>
      <c r="D795" s="11" t="s">
        <v>1720</v>
      </c>
      <c r="E795" s="12">
        <v>34</v>
      </c>
      <c r="F795" s="13">
        <v>53000</v>
      </c>
      <c r="G795" s="12">
        <v>1802000</v>
      </c>
      <c r="H795" s="11" t="s">
        <v>451</v>
      </c>
    </row>
    <row r="796" spans="1:8" ht="15" customHeight="1" x14ac:dyDescent="0.25">
      <c r="A796" s="11" t="s">
        <v>484</v>
      </c>
      <c r="B796" s="11">
        <v>400215</v>
      </c>
      <c r="C796" s="11" t="s">
        <v>1726</v>
      </c>
      <c r="D796" s="11" t="s">
        <v>1720</v>
      </c>
      <c r="E796" s="12">
        <v>0</v>
      </c>
      <c r="F796" s="13">
        <v>0</v>
      </c>
      <c r="G796" s="12">
        <v>0</v>
      </c>
      <c r="H796" s="11" t="s">
        <v>1727</v>
      </c>
    </row>
    <row r="797" spans="1:8" ht="15" customHeight="1" x14ac:dyDescent="0.25">
      <c r="A797" s="11" t="s">
        <v>484</v>
      </c>
      <c r="B797" s="11">
        <v>333212</v>
      </c>
      <c r="C797" s="11" t="s">
        <v>1728</v>
      </c>
      <c r="D797" s="11" t="s">
        <v>496</v>
      </c>
      <c r="E797" s="12">
        <v>250</v>
      </c>
      <c r="F797" s="13">
        <v>205</v>
      </c>
      <c r="G797" s="12">
        <v>51250</v>
      </c>
      <c r="H797" s="11" t="s">
        <v>144</v>
      </c>
    </row>
    <row r="798" spans="1:8" ht="15" customHeight="1" x14ac:dyDescent="0.25">
      <c r="A798" s="11" t="s">
        <v>484</v>
      </c>
      <c r="B798" s="11">
        <v>333213</v>
      </c>
      <c r="C798" s="11" t="s">
        <v>1729</v>
      </c>
      <c r="D798" s="11" t="s">
        <v>496</v>
      </c>
      <c r="E798" s="12">
        <v>12500</v>
      </c>
      <c r="F798" s="13">
        <v>124</v>
      </c>
      <c r="G798" s="12">
        <v>1550000</v>
      </c>
      <c r="H798" s="11" t="s">
        <v>425</v>
      </c>
    </row>
    <row r="799" spans="1:8" ht="15" customHeight="1" x14ac:dyDescent="0.25">
      <c r="A799" s="11" t="s">
        <v>484</v>
      </c>
      <c r="B799" s="11">
        <v>800510</v>
      </c>
      <c r="C799" s="11" t="s">
        <v>1730</v>
      </c>
      <c r="D799" s="11" t="s">
        <v>1720</v>
      </c>
      <c r="E799" s="12">
        <v>374</v>
      </c>
      <c r="F799" s="13">
        <v>0</v>
      </c>
      <c r="G799" s="12">
        <v>0</v>
      </c>
      <c r="H799" s="11" t="s">
        <v>1731</v>
      </c>
    </row>
    <row r="800" spans="1:8" ht="15" customHeight="1" x14ac:dyDescent="0.25">
      <c r="A800" s="11" t="s">
        <v>484</v>
      </c>
      <c r="B800" s="11">
        <v>140526</v>
      </c>
      <c r="C800" s="11" t="s">
        <v>1732</v>
      </c>
      <c r="D800" s="11" t="s">
        <v>538</v>
      </c>
      <c r="E800" s="12">
        <v>65000</v>
      </c>
      <c r="F800" s="13">
        <v>0</v>
      </c>
      <c r="G800" s="12">
        <v>0</v>
      </c>
      <c r="H800" s="11" t="s">
        <v>1733</v>
      </c>
    </row>
    <row r="801" spans="1:8" ht="15" customHeight="1" x14ac:dyDescent="0.25">
      <c r="A801" s="11" t="s">
        <v>484</v>
      </c>
      <c r="B801" s="11">
        <v>444907</v>
      </c>
      <c r="C801" s="11" t="s">
        <v>1734</v>
      </c>
      <c r="D801" s="11" t="s">
        <v>496</v>
      </c>
      <c r="E801" s="12">
        <v>168</v>
      </c>
      <c r="F801" s="13">
        <v>6200</v>
      </c>
      <c r="G801" s="12">
        <v>1041600</v>
      </c>
      <c r="H801" s="11" t="s">
        <v>424</v>
      </c>
    </row>
    <row r="802" spans="1:8" ht="15" customHeight="1" x14ac:dyDescent="0.25">
      <c r="A802" s="11" t="s">
        <v>484</v>
      </c>
      <c r="B802" s="11">
        <v>666411</v>
      </c>
      <c r="C802" s="11" t="s">
        <v>1735</v>
      </c>
      <c r="D802" s="11" t="s">
        <v>496</v>
      </c>
      <c r="E802" s="12">
        <v>4750</v>
      </c>
      <c r="F802" s="13">
        <v>0</v>
      </c>
      <c r="G802" s="12">
        <v>0</v>
      </c>
      <c r="H802" s="11" t="s">
        <v>1736</v>
      </c>
    </row>
    <row r="803" spans="1:8" ht="15" customHeight="1" x14ac:dyDescent="0.25">
      <c r="A803" s="11" t="s">
        <v>484</v>
      </c>
      <c r="B803" s="11">
        <v>140527</v>
      </c>
      <c r="C803" s="11" t="s">
        <v>1737</v>
      </c>
      <c r="D803" s="11" t="s">
        <v>538</v>
      </c>
      <c r="E803" s="12">
        <v>25750</v>
      </c>
      <c r="F803" s="13">
        <v>255</v>
      </c>
      <c r="G803" s="12">
        <v>6566250</v>
      </c>
      <c r="H803" s="11" t="s">
        <v>207</v>
      </c>
    </row>
    <row r="804" spans="1:8" ht="15" customHeight="1" x14ac:dyDescent="0.25">
      <c r="A804" s="11" t="s">
        <v>484</v>
      </c>
      <c r="B804" s="11">
        <v>333214</v>
      </c>
      <c r="C804" s="11" t="s">
        <v>1738</v>
      </c>
      <c r="D804" s="11" t="s">
        <v>496</v>
      </c>
      <c r="E804" s="12">
        <v>391</v>
      </c>
      <c r="F804" s="13">
        <v>5959</v>
      </c>
      <c r="G804" s="12">
        <v>2329969</v>
      </c>
      <c r="H804" s="11" t="s">
        <v>436</v>
      </c>
    </row>
    <row r="805" spans="1:8" ht="15" customHeight="1" x14ac:dyDescent="0.25">
      <c r="A805" s="11" t="s">
        <v>484</v>
      </c>
      <c r="B805" s="11">
        <v>333215</v>
      </c>
      <c r="C805" s="11" t="s">
        <v>1739</v>
      </c>
      <c r="D805" s="11" t="s">
        <v>496</v>
      </c>
      <c r="E805" s="12">
        <v>167</v>
      </c>
      <c r="F805" s="13">
        <v>0</v>
      </c>
      <c r="G805" s="12">
        <v>0</v>
      </c>
      <c r="H805" s="11" t="s">
        <v>1740</v>
      </c>
    </row>
    <row r="806" spans="1:8" ht="15" customHeight="1" x14ac:dyDescent="0.25">
      <c r="A806" s="11" t="s">
        <v>484</v>
      </c>
      <c r="B806" s="11">
        <v>201005</v>
      </c>
      <c r="C806" s="11" t="s">
        <v>1741</v>
      </c>
      <c r="D806" s="11" t="s">
        <v>496</v>
      </c>
      <c r="E806" s="12">
        <v>1625</v>
      </c>
      <c r="F806" s="13">
        <v>0</v>
      </c>
      <c r="G806" s="12">
        <v>0</v>
      </c>
      <c r="H806" s="11" t="s">
        <v>1742</v>
      </c>
    </row>
    <row r="807" spans="1:8" ht="15" customHeight="1" x14ac:dyDescent="0.25">
      <c r="A807" s="11" t="s">
        <v>484</v>
      </c>
      <c r="B807" s="11">
        <v>400305</v>
      </c>
      <c r="C807" s="11" t="s">
        <v>1743</v>
      </c>
      <c r="D807" s="11" t="s">
        <v>496</v>
      </c>
      <c r="E807" s="12">
        <v>64416.666666666701</v>
      </c>
      <c r="F807" s="13">
        <v>0</v>
      </c>
      <c r="G807" s="12">
        <v>0</v>
      </c>
      <c r="H807" s="11" t="s">
        <v>1744</v>
      </c>
    </row>
    <row r="808" spans="1:8" ht="15" customHeight="1" x14ac:dyDescent="0.25">
      <c r="A808" s="11" t="s">
        <v>484</v>
      </c>
      <c r="B808" s="11">
        <v>222219</v>
      </c>
      <c r="C808" s="11" t="s">
        <v>1745</v>
      </c>
      <c r="D808" s="11" t="s">
        <v>496</v>
      </c>
      <c r="E808" s="12">
        <v>5000</v>
      </c>
      <c r="F808" s="13">
        <v>0</v>
      </c>
      <c r="G808" s="12">
        <v>0</v>
      </c>
      <c r="H808" s="11" t="s">
        <v>1746</v>
      </c>
    </row>
    <row r="809" spans="1:8" ht="15" customHeight="1" x14ac:dyDescent="0.25">
      <c r="A809" s="11" t="s">
        <v>484</v>
      </c>
      <c r="B809" s="11">
        <v>300405</v>
      </c>
      <c r="C809" s="11" t="s">
        <v>1747</v>
      </c>
      <c r="D809" s="11" t="s">
        <v>496</v>
      </c>
      <c r="E809" s="12">
        <v>40000</v>
      </c>
      <c r="F809" s="13">
        <v>0</v>
      </c>
      <c r="G809" s="12">
        <v>0</v>
      </c>
      <c r="H809" s="11" t="s">
        <v>1748</v>
      </c>
    </row>
    <row r="810" spans="1:8" ht="15" customHeight="1" x14ac:dyDescent="0.25">
      <c r="A810" s="11" t="s">
        <v>484</v>
      </c>
      <c r="B810" s="11">
        <v>333409</v>
      </c>
      <c r="C810" s="11" t="s">
        <v>1749</v>
      </c>
      <c r="D810" s="11" t="s">
        <v>499</v>
      </c>
      <c r="E810" s="12">
        <v>31278.7</v>
      </c>
      <c r="F810" s="13">
        <v>0</v>
      </c>
      <c r="G810" s="12">
        <v>0</v>
      </c>
      <c r="H810" s="11" t="s">
        <v>1750</v>
      </c>
    </row>
    <row r="811" spans="1:8" ht="15" customHeight="1" x14ac:dyDescent="0.25">
      <c r="A811" s="11" t="s">
        <v>484</v>
      </c>
      <c r="B811" s="11">
        <v>444210</v>
      </c>
      <c r="C811" s="11" t="s">
        <v>1751</v>
      </c>
      <c r="D811" s="11" t="s">
        <v>1243</v>
      </c>
      <c r="E811" s="12">
        <v>22000</v>
      </c>
      <c r="F811" s="13">
        <v>0</v>
      </c>
      <c r="G811" s="12">
        <v>0</v>
      </c>
      <c r="H811" s="11" t="s">
        <v>1752</v>
      </c>
    </row>
    <row r="812" spans="1:8" ht="15" customHeight="1" x14ac:dyDescent="0.25">
      <c r="A812" s="11" t="s">
        <v>484</v>
      </c>
      <c r="B812" s="11">
        <v>444211</v>
      </c>
      <c r="C812" s="11" t="s">
        <v>1753</v>
      </c>
      <c r="D812" s="11" t="s">
        <v>1243</v>
      </c>
      <c r="E812" s="12">
        <v>13000</v>
      </c>
      <c r="F812" s="13">
        <v>0</v>
      </c>
      <c r="G812" s="12">
        <v>0</v>
      </c>
      <c r="H812" s="11" t="s">
        <v>1754</v>
      </c>
    </row>
    <row r="813" spans="1:8" ht="15" customHeight="1" x14ac:dyDescent="0.25">
      <c r="A813" s="11" t="s">
        <v>484</v>
      </c>
      <c r="B813" s="11">
        <v>140530</v>
      </c>
      <c r="C813" s="11" t="s">
        <v>1755</v>
      </c>
      <c r="D813" s="11" t="s">
        <v>538</v>
      </c>
      <c r="E813" s="12">
        <v>287500</v>
      </c>
      <c r="F813" s="13">
        <v>55</v>
      </c>
      <c r="G813" s="12">
        <v>15812500</v>
      </c>
      <c r="H813" s="11" t="s">
        <v>266</v>
      </c>
    </row>
    <row r="814" spans="1:8" ht="15" customHeight="1" x14ac:dyDescent="0.25">
      <c r="A814" s="11" t="s">
        <v>484</v>
      </c>
      <c r="B814" s="11">
        <v>140531</v>
      </c>
      <c r="C814" s="11" t="s">
        <v>1756</v>
      </c>
      <c r="D814" s="11" t="s">
        <v>538</v>
      </c>
      <c r="E814" s="12">
        <v>120000</v>
      </c>
      <c r="F814" s="13">
        <v>70</v>
      </c>
      <c r="G814" s="12">
        <v>8400000</v>
      </c>
      <c r="H814" s="11" t="s">
        <v>349</v>
      </c>
    </row>
    <row r="815" spans="1:8" ht="15" customHeight="1" x14ac:dyDescent="0.25">
      <c r="A815" s="11" t="s">
        <v>484</v>
      </c>
      <c r="B815" s="11">
        <v>140532</v>
      </c>
      <c r="C815" s="11" t="s">
        <v>1757</v>
      </c>
      <c r="D815" s="11" t="s">
        <v>538</v>
      </c>
      <c r="E815" s="12">
        <v>230000</v>
      </c>
      <c r="F815" s="13">
        <v>40</v>
      </c>
      <c r="G815" s="12">
        <v>9200000</v>
      </c>
      <c r="H815" s="11" t="s">
        <v>324</v>
      </c>
    </row>
    <row r="816" spans="1:8" ht="15" customHeight="1" x14ac:dyDescent="0.25">
      <c r="A816" s="11" t="s">
        <v>484</v>
      </c>
      <c r="B816" s="11">
        <v>666110</v>
      </c>
      <c r="C816" s="11" t="s">
        <v>1758</v>
      </c>
      <c r="D816" s="11" t="s">
        <v>499</v>
      </c>
      <c r="E816" s="12">
        <v>19500</v>
      </c>
      <c r="F816" s="13">
        <v>5</v>
      </c>
      <c r="G816" s="12">
        <v>97500</v>
      </c>
      <c r="H816" s="11" t="s">
        <v>134</v>
      </c>
    </row>
    <row r="817" spans="1:8" ht="15" customHeight="1" x14ac:dyDescent="0.25">
      <c r="A817" s="11" t="s">
        <v>484</v>
      </c>
      <c r="B817" s="11">
        <v>333411</v>
      </c>
      <c r="C817" s="11" t="s">
        <v>1759</v>
      </c>
      <c r="D817" s="11" t="s">
        <v>736</v>
      </c>
      <c r="E817" s="12">
        <v>550</v>
      </c>
      <c r="F817" s="13">
        <v>0</v>
      </c>
      <c r="G817" s="12">
        <v>0</v>
      </c>
      <c r="H817" s="11" t="s">
        <v>133</v>
      </c>
    </row>
    <row r="818" spans="1:8" ht="15" customHeight="1" x14ac:dyDescent="0.25">
      <c r="A818" s="11" t="s">
        <v>484</v>
      </c>
      <c r="B818" s="11">
        <v>333515</v>
      </c>
      <c r="C818" s="11" t="s">
        <v>1760</v>
      </c>
      <c r="D818" s="11" t="s">
        <v>496</v>
      </c>
      <c r="E818" s="12">
        <v>362</v>
      </c>
      <c r="F818" s="13">
        <v>5800</v>
      </c>
      <c r="G818" s="12">
        <v>2099600</v>
      </c>
      <c r="H818" s="11" t="s">
        <v>53</v>
      </c>
    </row>
    <row r="819" spans="1:8" ht="15" customHeight="1" x14ac:dyDescent="0.25">
      <c r="A819" s="11" t="s">
        <v>484</v>
      </c>
      <c r="B819" s="11">
        <v>200130</v>
      </c>
      <c r="C819" s="11" t="s">
        <v>1761</v>
      </c>
      <c r="D819" s="11" t="s">
        <v>496</v>
      </c>
      <c r="E819" s="12">
        <v>35750</v>
      </c>
      <c r="F819" s="13">
        <v>0</v>
      </c>
      <c r="G819" s="12">
        <v>0</v>
      </c>
      <c r="H819" s="11" t="s">
        <v>1762</v>
      </c>
    </row>
    <row r="820" spans="1:8" ht="15" customHeight="1" x14ac:dyDescent="0.25">
      <c r="A820" s="11" t="s">
        <v>484</v>
      </c>
      <c r="B820" s="11">
        <v>666412</v>
      </c>
      <c r="C820" s="11" t="s">
        <v>1763</v>
      </c>
      <c r="D820" s="11" t="s">
        <v>496</v>
      </c>
      <c r="E820" s="12">
        <v>5700</v>
      </c>
      <c r="F820" s="13">
        <v>0</v>
      </c>
      <c r="G820" s="12">
        <v>0</v>
      </c>
      <c r="H820" s="11" t="s">
        <v>1764</v>
      </c>
    </row>
    <row r="821" spans="1:8" ht="15" customHeight="1" x14ac:dyDescent="0.25">
      <c r="A821" s="11" t="s">
        <v>484</v>
      </c>
      <c r="B821" s="11">
        <v>140710</v>
      </c>
      <c r="C821" s="11" t="s">
        <v>1765</v>
      </c>
      <c r="D821" s="11" t="s">
        <v>538</v>
      </c>
      <c r="E821" s="12">
        <v>58833.333333333299</v>
      </c>
      <c r="F821" s="13">
        <v>0</v>
      </c>
      <c r="G821" s="12">
        <v>0</v>
      </c>
      <c r="H821" s="11" t="s">
        <v>1766</v>
      </c>
    </row>
    <row r="822" spans="1:8" ht="15" customHeight="1" x14ac:dyDescent="0.25">
      <c r="A822" s="11" t="s">
        <v>484</v>
      </c>
      <c r="B822" s="11">
        <v>555297</v>
      </c>
      <c r="C822" s="11" t="s">
        <v>1767</v>
      </c>
      <c r="D822" s="11" t="s">
        <v>496</v>
      </c>
      <c r="E822" s="12">
        <v>8000</v>
      </c>
      <c r="F822" s="13">
        <v>0</v>
      </c>
      <c r="G822" s="12">
        <v>0</v>
      </c>
      <c r="H822" s="11" t="s">
        <v>1768</v>
      </c>
    </row>
    <row r="823" spans="1:8" ht="15" customHeight="1" x14ac:dyDescent="0.25">
      <c r="A823" s="11" t="s">
        <v>484</v>
      </c>
      <c r="B823" s="11">
        <v>140423</v>
      </c>
      <c r="C823" s="11" t="s">
        <v>1769</v>
      </c>
      <c r="D823" s="11" t="s">
        <v>538</v>
      </c>
      <c r="E823" s="12">
        <v>265300</v>
      </c>
      <c r="F823" s="13">
        <v>85</v>
      </c>
      <c r="G823" s="12">
        <v>22550500</v>
      </c>
      <c r="H823" s="11" t="s">
        <v>208</v>
      </c>
    </row>
    <row r="824" spans="1:8" ht="15" customHeight="1" x14ac:dyDescent="0.25">
      <c r="A824" s="11" t="s">
        <v>484</v>
      </c>
      <c r="B824" s="11">
        <v>140424</v>
      </c>
      <c r="C824" s="11" t="s">
        <v>1770</v>
      </c>
      <c r="D824" s="11" t="s">
        <v>538</v>
      </c>
      <c r="E824" s="12">
        <v>213900</v>
      </c>
      <c r="F824" s="13">
        <v>0</v>
      </c>
      <c r="G824" s="12">
        <v>0</v>
      </c>
      <c r="H824" s="11" t="s">
        <v>1771</v>
      </c>
    </row>
    <row r="825" spans="1:8" ht="15" customHeight="1" x14ac:dyDescent="0.25">
      <c r="A825" s="11" t="s">
        <v>484</v>
      </c>
      <c r="B825" s="11">
        <v>140425</v>
      </c>
      <c r="C825" s="11" t="s">
        <v>1772</v>
      </c>
      <c r="D825" s="11" t="s">
        <v>538</v>
      </c>
      <c r="E825" s="12">
        <v>218400</v>
      </c>
      <c r="F825" s="13">
        <v>0</v>
      </c>
      <c r="G825" s="12">
        <v>0</v>
      </c>
      <c r="H825" s="11" t="s">
        <v>1773</v>
      </c>
    </row>
    <row r="826" spans="1:8" ht="15" customHeight="1" x14ac:dyDescent="0.25">
      <c r="A826" s="11" t="s">
        <v>484</v>
      </c>
      <c r="B826" s="11">
        <v>140426</v>
      </c>
      <c r="C826" s="11" t="s">
        <v>1774</v>
      </c>
      <c r="D826" s="11" t="s">
        <v>538</v>
      </c>
      <c r="E826" s="12">
        <v>219800</v>
      </c>
      <c r="F826" s="13">
        <v>0</v>
      </c>
      <c r="G826" s="12">
        <v>0</v>
      </c>
      <c r="H826" s="11" t="s">
        <v>1775</v>
      </c>
    </row>
    <row r="827" spans="1:8" ht="15" customHeight="1" x14ac:dyDescent="0.25">
      <c r="A827" s="11" t="s">
        <v>484</v>
      </c>
      <c r="B827" s="11">
        <v>140427</v>
      </c>
      <c r="C827" s="11" t="s">
        <v>1776</v>
      </c>
      <c r="D827" s="11" t="s">
        <v>538</v>
      </c>
      <c r="E827" s="12">
        <v>253500</v>
      </c>
      <c r="F827" s="13">
        <v>0</v>
      </c>
      <c r="G827" s="12">
        <v>0</v>
      </c>
      <c r="H827" s="11" t="s">
        <v>1777</v>
      </c>
    </row>
    <row r="828" spans="1:8" ht="15" customHeight="1" x14ac:dyDescent="0.25">
      <c r="A828" s="11" t="s">
        <v>484</v>
      </c>
      <c r="B828" s="11">
        <v>200131</v>
      </c>
      <c r="C828" s="11" t="s">
        <v>1778</v>
      </c>
      <c r="D828" s="11" t="s">
        <v>538</v>
      </c>
      <c r="E828" s="12">
        <v>95700</v>
      </c>
      <c r="F828" s="13">
        <v>2</v>
      </c>
      <c r="G828" s="12">
        <v>191400</v>
      </c>
      <c r="H828" s="11" t="s">
        <v>190</v>
      </c>
    </row>
    <row r="829" spans="1:8" ht="15" customHeight="1" x14ac:dyDescent="0.25">
      <c r="A829" s="11" t="s">
        <v>484</v>
      </c>
      <c r="B829" s="11">
        <v>140533</v>
      </c>
      <c r="C829" s="11" t="s">
        <v>1779</v>
      </c>
      <c r="D829" s="11" t="s">
        <v>538</v>
      </c>
      <c r="E829" s="12">
        <v>285000</v>
      </c>
      <c r="F829" s="13">
        <v>0</v>
      </c>
      <c r="G829" s="12">
        <v>0</v>
      </c>
      <c r="H829" s="11" t="s">
        <v>1780</v>
      </c>
    </row>
    <row r="830" spans="1:8" ht="15" customHeight="1" x14ac:dyDescent="0.25">
      <c r="A830" s="11" t="s">
        <v>484</v>
      </c>
      <c r="B830" s="11">
        <v>140534</v>
      </c>
      <c r="C830" s="11" t="s">
        <v>1781</v>
      </c>
      <c r="D830" s="11" t="s">
        <v>538</v>
      </c>
      <c r="E830" s="12">
        <v>560000</v>
      </c>
      <c r="F830" s="13">
        <v>0</v>
      </c>
      <c r="G830" s="12">
        <v>0</v>
      </c>
      <c r="H830" s="11" t="s">
        <v>1782</v>
      </c>
    </row>
    <row r="831" spans="1:8" ht="15" customHeight="1" x14ac:dyDescent="0.25">
      <c r="A831" s="11" t="s">
        <v>484</v>
      </c>
      <c r="B831" s="11">
        <v>140535</v>
      </c>
      <c r="C831" s="11" t="s">
        <v>1783</v>
      </c>
      <c r="D831" s="11" t="s">
        <v>538</v>
      </c>
      <c r="E831" s="12">
        <v>588000</v>
      </c>
      <c r="F831" s="13">
        <v>1</v>
      </c>
      <c r="G831" s="12">
        <v>588000</v>
      </c>
      <c r="H831" s="11" t="s">
        <v>84</v>
      </c>
    </row>
    <row r="832" spans="1:8" ht="15" customHeight="1" x14ac:dyDescent="0.25">
      <c r="A832" s="11" t="s">
        <v>484</v>
      </c>
      <c r="B832" s="11">
        <v>140536</v>
      </c>
      <c r="C832" s="11" t="s">
        <v>1784</v>
      </c>
      <c r="D832" s="11" t="s">
        <v>538</v>
      </c>
      <c r="E832" s="12">
        <v>590000</v>
      </c>
      <c r="F832" s="13">
        <v>0</v>
      </c>
      <c r="G832" s="12">
        <v>0</v>
      </c>
      <c r="H832" s="11" t="s">
        <v>1785</v>
      </c>
    </row>
    <row r="833" spans="1:8" ht="15" customHeight="1" x14ac:dyDescent="0.25">
      <c r="A833" s="11" t="s">
        <v>484</v>
      </c>
      <c r="B833" s="11">
        <v>140537</v>
      </c>
      <c r="C833" s="11" t="s">
        <v>1786</v>
      </c>
      <c r="D833" s="11" t="s">
        <v>538</v>
      </c>
      <c r="E833" s="12">
        <v>520000</v>
      </c>
      <c r="F833" s="13">
        <v>0</v>
      </c>
      <c r="G833" s="12">
        <v>0</v>
      </c>
      <c r="H833" s="11" t="s">
        <v>1787</v>
      </c>
    </row>
    <row r="834" spans="1:8" ht="15" customHeight="1" x14ac:dyDescent="0.25">
      <c r="A834" s="11" t="s">
        <v>484</v>
      </c>
      <c r="B834" s="11">
        <v>140538</v>
      </c>
      <c r="C834" s="11" t="s">
        <v>1788</v>
      </c>
      <c r="D834" s="11" t="s">
        <v>538</v>
      </c>
      <c r="E834" s="12">
        <v>695500</v>
      </c>
      <c r="F834" s="13">
        <v>1</v>
      </c>
      <c r="G834" s="12">
        <v>695500</v>
      </c>
      <c r="H834" s="11" t="s">
        <v>77</v>
      </c>
    </row>
    <row r="835" spans="1:8" ht="15" customHeight="1" x14ac:dyDescent="0.25">
      <c r="A835" s="11" t="s">
        <v>484</v>
      </c>
      <c r="B835" s="11">
        <v>222208</v>
      </c>
      <c r="C835" s="11" t="s">
        <v>1789</v>
      </c>
      <c r="D835" s="11" t="s">
        <v>496</v>
      </c>
      <c r="E835" s="12">
        <v>2500</v>
      </c>
      <c r="F835" s="13">
        <v>0</v>
      </c>
      <c r="G835" s="12">
        <v>0</v>
      </c>
      <c r="H835" s="11" t="s">
        <v>1790</v>
      </c>
    </row>
    <row r="836" spans="1:8" ht="15" customHeight="1" x14ac:dyDescent="0.25">
      <c r="A836" s="11" t="s">
        <v>484</v>
      </c>
      <c r="B836" s="11">
        <v>400306</v>
      </c>
      <c r="C836" s="11" t="s">
        <v>1791</v>
      </c>
      <c r="D836" s="11" t="s">
        <v>496</v>
      </c>
      <c r="E836" s="12">
        <v>21000</v>
      </c>
      <c r="F836" s="13">
        <v>6</v>
      </c>
      <c r="G836" s="12">
        <v>126000</v>
      </c>
      <c r="H836" s="11" t="s">
        <v>321</v>
      </c>
    </row>
    <row r="837" spans="1:8" ht="15" customHeight="1" x14ac:dyDescent="0.25">
      <c r="A837" s="11" t="s">
        <v>484</v>
      </c>
      <c r="B837" s="11">
        <v>110419</v>
      </c>
      <c r="C837" s="11" t="s">
        <v>1792</v>
      </c>
      <c r="D837" s="11" t="s">
        <v>538</v>
      </c>
      <c r="E837" s="12">
        <v>25500</v>
      </c>
      <c r="F837" s="13">
        <v>0</v>
      </c>
      <c r="G837" s="12">
        <v>0</v>
      </c>
      <c r="H837" s="11" t="s">
        <v>1793</v>
      </c>
    </row>
    <row r="838" spans="1:8" ht="15" customHeight="1" x14ac:dyDescent="0.25">
      <c r="A838" s="11" t="s">
        <v>484</v>
      </c>
      <c r="B838" s="11">
        <v>100429</v>
      </c>
      <c r="C838" s="11" t="s">
        <v>1794</v>
      </c>
      <c r="D838" s="11" t="s">
        <v>538</v>
      </c>
      <c r="E838" s="12">
        <v>52000</v>
      </c>
      <c r="F838" s="13">
        <v>1</v>
      </c>
      <c r="G838" s="12">
        <v>52000</v>
      </c>
      <c r="H838" s="11" t="s">
        <v>143</v>
      </c>
    </row>
    <row r="839" spans="1:8" ht="15" customHeight="1" x14ac:dyDescent="0.25">
      <c r="A839" s="11" t="s">
        <v>484</v>
      </c>
      <c r="B839" s="11">
        <v>900251</v>
      </c>
      <c r="C839" s="11" t="s">
        <v>1795</v>
      </c>
      <c r="D839" s="11" t="s">
        <v>1685</v>
      </c>
      <c r="E839" s="12">
        <v>500</v>
      </c>
      <c r="F839" s="13">
        <v>60</v>
      </c>
      <c r="G839" s="12">
        <v>30000</v>
      </c>
      <c r="H839" s="11" t="s">
        <v>357</v>
      </c>
    </row>
    <row r="840" spans="1:8" ht="15" customHeight="1" x14ac:dyDescent="0.25">
      <c r="A840" s="11" t="s">
        <v>484</v>
      </c>
      <c r="B840" s="11">
        <v>140539</v>
      </c>
      <c r="C840" s="11" t="s">
        <v>1796</v>
      </c>
      <c r="D840" s="11" t="s">
        <v>538</v>
      </c>
      <c r="E840" s="12">
        <v>305000</v>
      </c>
      <c r="F840" s="13">
        <v>0</v>
      </c>
      <c r="G840" s="12">
        <v>0</v>
      </c>
      <c r="H840" s="11" t="s">
        <v>1797</v>
      </c>
    </row>
    <row r="841" spans="1:8" ht="15" customHeight="1" x14ac:dyDescent="0.25">
      <c r="A841" s="11" t="s">
        <v>484</v>
      </c>
      <c r="B841" s="11">
        <v>140540</v>
      </c>
      <c r="C841" s="11" t="s">
        <v>1798</v>
      </c>
      <c r="D841" s="11" t="s">
        <v>538</v>
      </c>
      <c r="E841" s="12">
        <v>545000</v>
      </c>
      <c r="F841" s="13">
        <v>1</v>
      </c>
      <c r="G841" s="12">
        <v>545000</v>
      </c>
      <c r="H841" s="11" t="s">
        <v>88</v>
      </c>
    </row>
    <row r="842" spans="1:8" ht="15" customHeight="1" x14ac:dyDescent="0.25">
      <c r="A842" s="11" t="s">
        <v>484</v>
      </c>
      <c r="B842" s="11">
        <v>900252</v>
      </c>
      <c r="C842" s="11" t="s">
        <v>1799</v>
      </c>
      <c r="D842" s="11" t="s">
        <v>496</v>
      </c>
      <c r="E842" s="12">
        <v>6000</v>
      </c>
      <c r="F842" s="13">
        <v>297</v>
      </c>
      <c r="G842" s="12">
        <v>1782000</v>
      </c>
      <c r="H842" s="11" t="s">
        <v>350</v>
      </c>
    </row>
    <row r="843" spans="1:8" ht="15" customHeight="1" x14ac:dyDescent="0.25">
      <c r="A843" s="11" t="s">
        <v>484</v>
      </c>
      <c r="B843" s="11">
        <v>120119</v>
      </c>
      <c r="C843" s="11" t="s">
        <v>1800</v>
      </c>
      <c r="D843" s="11" t="s">
        <v>1801</v>
      </c>
      <c r="E843" s="12">
        <v>264000</v>
      </c>
      <c r="F843" s="13">
        <v>0</v>
      </c>
      <c r="G843" s="12">
        <v>0</v>
      </c>
      <c r="H843" s="11" t="s">
        <v>1802</v>
      </c>
    </row>
    <row r="844" spans="1:8" ht="15" customHeight="1" x14ac:dyDescent="0.25">
      <c r="A844" s="11" t="s">
        <v>484</v>
      </c>
      <c r="B844" s="11">
        <v>400216</v>
      </c>
      <c r="C844" s="11" t="s">
        <v>1803</v>
      </c>
      <c r="D844" s="11" t="s">
        <v>538</v>
      </c>
      <c r="E844" s="12">
        <v>65500</v>
      </c>
      <c r="F844" s="13">
        <v>0</v>
      </c>
      <c r="G844" s="12">
        <v>0</v>
      </c>
      <c r="H844" s="11" t="s">
        <v>1804</v>
      </c>
    </row>
    <row r="845" spans="1:8" ht="15" customHeight="1" x14ac:dyDescent="0.25">
      <c r="A845" s="11" t="s">
        <v>484</v>
      </c>
      <c r="B845" s="11">
        <v>111510</v>
      </c>
      <c r="C845" s="11" t="s">
        <v>1805</v>
      </c>
      <c r="D845" s="11" t="s">
        <v>496</v>
      </c>
      <c r="E845" s="12">
        <v>31000</v>
      </c>
      <c r="F845" s="13">
        <v>0</v>
      </c>
      <c r="G845" s="12">
        <v>0</v>
      </c>
      <c r="H845" s="11" t="s">
        <v>1806</v>
      </c>
    </row>
    <row r="846" spans="1:8" ht="15" customHeight="1" x14ac:dyDescent="0.25">
      <c r="A846" s="11" t="s">
        <v>484</v>
      </c>
      <c r="B846" s="11">
        <v>333220</v>
      </c>
      <c r="C846" s="11" t="s">
        <v>1807</v>
      </c>
      <c r="D846" s="11" t="s">
        <v>496</v>
      </c>
      <c r="E846" s="12">
        <v>62</v>
      </c>
      <c r="F846" s="13">
        <v>2000</v>
      </c>
      <c r="G846" s="12">
        <v>124000</v>
      </c>
      <c r="H846" s="11" t="s">
        <v>262</v>
      </c>
    </row>
    <row r="847" spans="1:8" ht="15" customHeight="1" x14ac:dyDescent="0.25">
      <c r="A847" s="11" t="s">
        <v>484</v>
      </c>
      <c r="B847" s="11">
        <v>333221</v>
      </c>
      <c r="C847" s="11" t="s">
        <v>1808</v>
      </c>
      <c r="D847" s="11" t="s">
        <v>496</v>
      </c>
      <c r="E847" s="12">
        <v>124</v>
      </c>
      <c r="F847" s="13">
        <v>44000</v>
      </c>
      <c r="G847" s="12">
        <v>5456000</v>
      </c>
      <c r="H847" s="11" t="s">
        <v>263</v>
      </c>
    </row>
    <row r="848" spans="1:8" ht="15" customHeight="1" x14ac:dyDescent="0.25">
      <c r="A848" s="11" t="s">
        <v>484</v>
      </c>
      <c r="B848" s="11">
        <v>200108</v>
      </c>
      <c r="C848" s="11" t="s">
        <v>1809</v>
      </c>
      <c r="D848" s="11" t="s">
        <v>496</v>
      </c>
      <c r="E848" s="12">
        <v>5250</v>
      </c>
      <c r="F848" s="13">
        <v>0</v>
      </c>
      <c r="G848" s="12">
        <v>0</v>
      </c>
      <c r="H848" s="11" t="s">
        <v>1810</v>
      </c>
    </row>
    <row r="849" spans="1:8" ht="15" customHeight="1" x14ac:dyDescent="0.25">
      <c r="A849" s="11" t="s">
        <v>484</v>
      </c>
      <c r="B849" s="11">
        <v>200132</v>
      </c>
      <c r="C849" s="11" t="s">
        <v>1811</v>
      </c>
      <c r="D849" s="11" t="s">
        <v>496</v>
      </c>
      <c r="E849" s="12">
        <v>11333.333333333299</v>
      </c>
      <c r="F849" s="13">
        <v>0</v>
      </c>
      <c r="G849" s="12">
        <v>0</v>
      </c>
      <c r="H849" s="11" t="s">
        <v>1812</v>
      </c>
    </row>
    <row r="850" spans="1:8" ht="15" customHeight="1" x14ac:dyDescent="0.25">
      <c r="A850" s="11" t="s">
        <v>484</v>
      </c>
      <c r="B850" s="11">
        <v>900225</v>
      </c>
      <c r="C850" s="11" t="s">
        <v>1813</v>
      </c>
      <c r="D850" s="11" t="s">
        <v>546</v>
      </c>
      <c r="E850" s="12">
        <v>180</v>
      </c>
      <c r="F850" s="13">
        <v>0</v>
      </c>
      <c r="G850" s="12">
        <v>0</v>
      </c>
      <c r="H850" s="11" t="s">
        <v>1814</v>
      </c>
    </row>
    <row r="851" spans="1:8" ht="15" customHeight="1" x14ac:dyDescent="0.25">
      <c r="A851" s="11" t="s">
        <v>484</v>
      </c>
      <c r="B851" s="11">
        <v>900107</v>
      </c>
      <c r="C851" s="11" t="s">
        <v>1815</v>
      </c>
      <c r="D851" s="11" t="s">
        <v>538</v>
      </c>
      <c r="E851" s="12">
        <v>152070</v>
      </c>
      <c r="F851" s="13">
        <v>0</v>
      </c>
      <c r="G851" s="12">
        <v>0</v>
      </c>
      <c r="H851" s="11" t="s">
        <v>1816</v>
      </c>
    </row>
    <row r="852" spans="1:8" ht="15" customHeight="1" x14ac:dyDescent="0.25">
      <c r="A852" s="11" t="s">
        <v>484</v>
      </c>
      <c r="B852" s="11">
        <v>900108</v>
      </c>
      <c r="C852" s="11" t="s">
        <v>1817</v>
      </c>
      <c r="D852" s="11" t="s">
        <v>538</v>
      </c>
      <c r="E852" s="12">
        <v>152070</v>
      </c>
      <c r="F852" s="13">
        <v>0</v>
      </c>
      <c r="G852" s="12">
        <v>0</v>
      </c>
      <c r="H852" s="11" t="s">
        <v>1818</v>
      </c>
    </row>
    <row r="853" spans="1:8" ht="15" customHeight="1" x14ac:dyDescent="0.25">
      <c r="A853" s="11" t="s">
        <v>484</v>
      </c>
      <c r="B853" s="11">
        <v>140541</v>
      </c>
      <c r="C853" s="11" t="s">
        <v>1819</v>
      </c>
      <c r="D853" s="11" t="s">
        <v>538</v>
      </c>
      <c r="E853" s="12">
        <v>53280</v>
      </c>
      <c r="F853" s="13">
        <v>5</v>
      </c>
      <c r="G853" s="12">
        <v>266400</v>
      </c>
      <c r="H853" s="11" t="s">
        <v>209</v>
      </c>
    </row>
    <row r="854" spans="1:8" ht="15" customHeight="1" x14ac:dyDescent="0.25">
      <c r="A854" s="11" t="s">
        <v>484</v>
      </c>
      <c r="B854" s="11">
        <v>150123</v>
      </c>
      <c r="C854" s="11" t="s">
        <v>1820</v>
      </c>
      <c r="D854" s="11" t="s">
        <v>546</v>
      </c>
      <c r="E854" s="12">
        <v>25</v>
      </c>
      <c r="F854" s="13">
        <v>8550</v>
      </c>
      <c r="G854" s="12">
        <v>213750</v>
      </c>
      <c r="H854" s="11" t="s">
        <v>261</v>
      </c>
    </row>
    <row r="855" spans="1:8" ht="15" customHeight="1" x14ac:dyDescent="0.25">
      <c r="A855" s="11" t="s">
        <v>484</v>
      </c>
      <c r="B855" s="11">
        <v>150124</v>
      </c>
      <c r="C855" s="11" t="s">
        <v>1821</v>
      </c>
      <c r="D855" s="11" t="s">
        <v>546</v>
      </c>
      <c r="E855" s="12">
        <v>15</v>
      </c>
      <c r="F855" s="13">
        <v>0</v>
      </c>
      <c r="G855" s="12">
        <v>0</v>
      </c>
      <c r="H855" s="11" t="s">
        <v>1822</v>
      </c>
    </row>
    <row r="856" spans="1:8" ht="15" customHeight="1" x14ac:dyDescent="0.25">
      <c r="A856" s="11" t="s">
        <v>484</v>
      </c>
      <c r="B856" s="11">
        <v>110420</v>
      </c>
      <c r="C856" s="11" t="s">
        <v>1823</v>
      </c>
      <c r="D856" s="11" t="s">
        <v>546</v>
      </c>
      <c r="E856" s="12">
        <v>58</v>
      </c>
      <c r="F856" s="13">
        <v>0</v>
      </c>
      <c r="G856" s="12">
        <v>0</v>
      </c>
      <c r="H856" s="11" t="s">
        <v>1824</v>
      </c>
    </row>
    <row r="857" spans="1:8" ht="15" customHeight="1" x14ac:dyDescent="0.25">
      <c r="A857" s="11" t="s">
        <v>484</v>
      </c>
      <c r="B857" s="11">
        <v>400217</v>
      </c>
      <c r="C857" s="11" t="s">
        <v>1825</v>
      </c>
      <c r="D857" s="11" t="s">
        <v>546</v>
      </c>
      <c r="E857" s="12">
        <v>20</v>
      </c>
      <c r="F857" s="13">
        <v>0</v>
      </c>
      <c r="G857" s="12">
        <v>0</v>
      </c>
      <c r="H857" s="11" t="s">
        <v>1826</v>
      </c>
    </row>
    <row r="858" spans="1:8" ht="15" customHeight="1" x14ac:dyDescent="0.25">
      <c r="A858" s="11" t="s">
        <v>484</v>
      </c>
      <c r="B858" s="11">
        <v>666111</v>
      </c>
      <c r="C858" s="11" t="s">
        <v>1827</v>
      </c>
      <c r="D858" s="11" t="s">
        <v>496</v>
      </c>
      <c r="E858" s="12">
        <v>10000</v>
      </c>
      <c r="F858" s="13">
        <v>0</v>
      </c>
      <c r="G858" s="12">
        <v>0</v>
      </c>
      <c r="H858" s="11" t="s">
        <v>1828</v>
      </c>
    </row>
    <row r="859" spans="1:8" ht="15" customHeight="1" x14ac:dyDescent="0.25">
      <c r="A859" s="11" t="s">
        <v>484</v>
      </c>
      <c r="B859" s="11">
        <v>111928</v>
      </c>
      <c r="C859" s="11" t="s">
        <v>1829</v>
      </c>
      <c r="D859" s="11" t="s">
        <v>496</v>
      </c>
      <c r="E859" s="12">
        <v>750</v>
      </c>
      <c r="F859" s="13">
        <v>0</v>
      </c>
      <c r="G859" s="12">
        <v>0</v>
      </c>
      <c r="H859" s="11" t="s">
        <v>1830</v>
      </c>
    </row>
    <row r="860" spans="1:8" ht="15" customHeight="1" x14ac:dyDescent="0.25">
      <c r="A860" s="11" t="s">
        <v>484</v>
      </c>
      <c r="B860" s="11">
        <v>444107</v>
      </c>
      <c r="C860" s="11" t="s">
        <v>1831</v>
      </c>
      <c r="D860" s="11" t="s">
        <v>1801</v>
      </c>
      <c r="E860" s="12">
        <v>30000</v>
      </c>
      <c r="F860" s="13">
        <v>0</v>
      </c>
      <c r="G860" s="12">
        <v>0</v>
      </c>
      <c r="H860" s="11" t="s">
        <v>1832</v>
      </c>
    </row>
    <row r="861" spans="1:8" ht="15" customHeight="1" x14ac:dyDescent="0.25">
      <c r="A861" s="11" t="s">
        <v>484</v>
      </c>
      <c r="B861" s="11">
        <v>140508</v>
      </c>
      <c r="C861" s="11" t="s">
        <v>1833</v>
      </c>
      <c r="D861" s="11" t="s">
        <v>546</v>
      </c>
      <c r="E861" s="12">
        <v>85</v>
      </c>
      <c r="F861" s="13">
        <v>0</v>
      </c>
      <c r="G861" s="12">
        <v>0</v>
      </c>
      <c r="H861" s="11" t="s">
        <v>1834</v>
      </c>
    </row>
    <row r="862" spans="1:8" ht="15" customHeight="1" x14ac:dyDescent="0.25">
      <c r="A862" s="11" t="s">
        <v>484</v>
      </c>
      <c r="B862" s="11">
        <v>999212</v>
      </c>
      <c r="C862" s="11" t="s">
        <v>1835</v>
      </c>
      <c r="D862" s="11" t="s">
        <v>496</v>
      </c>
      <c r="E862" s="12">
        <v>6679</v>
      </c>
      <c r="F862" s="13">
        <v>0</v>
      </c>
      <c r="G862" s="12">
        <v>0</v>
      </c>
      <c r="H862" s="11" t="s">
        <v>1836</v>
      </c>
    </row>
    <row r="863" spans="1:8" ht="15" customHeight="1" x14ac:dyDescent="0.25">
      <c r="A863" s="11" t="s">
        <v>484</v>
      </c>
      <c r="B863" s="11">
        <v>150111</v>
      </c>
      <c r="C863" s="11" t="s">
        <v>1837</v>
      </c>
      <c r="D863" s="11" t="s">
        <v>546</v>
      </c>
      <c r="E863" s="12">
        <v>376.92307692307702</v>
      </c>
      <c r="F863" s="13">
        <v>0</v>
      </c>
      <c r="G863" s="12">
        <v>0</v>
      </c>
      <c r="H863" s="11" t="s">
        <v>1838</v>
      </c>
    </row>
    <row r="864" spans="1:8" ht="15" customHeight="1" x14ac:dyDescent="0.25">
      <c r="A864" s="11" t="s">
        <v>484</v>
      </c>
      <c r="B864" s="11">
        <v>110417</v>
      </c>
      <c r="C864" s="11" t="s">
        <v>1839</v>
      </c>
      <c r="D864" s="11" t="s">
        <v>546</v>
      </c>
      <c r="E864" s="12">
        <v>78.571428571428598</v>
      </c>
      <c r="F864" s="13">
        <v>0</v>
      </c>
      <c r="G864" s="12">
        <v>0</v>
      </c>
      <c r="H864" s="11" t="s">
        <v>1840</v>
      </c>
    </row>
    <row r="865" spans="1:8" ht="15" customHeight="1" x14ac:dyDescent="0.25">
      <c r="A865" s="11" t="s">
        <v>484</v>
      </c>
      <c r="B865" s="11">
        <v>111511</v>
      </c>
      <c r="C865" s="11" t="s">
        <v>1841</v>
      </c>
      <c r="D865" s="11" t="s">
        <v>496</v>
      </c>
      <c r="E865" s="12">
        <v>23000</v>
      </c>
      <c r="F865" s="13">
        <v>0</v>
      </c>
      <c r="G865" s="12">
        <v>0</v>
      </c>
      <c r="H865" s="11" t="s">
        <v>1842</v>
      </c>
    </row>
    <row r="866" spans="1:8" ht="15" customHeight="1" x14ac:dyDescent="0.25">
      <c r="A866" s="11" t="s">
        <v>484</v>
      </c>
      <c r="B866" s="11">
        <v>110421</v>
      </c>
      <c r="C866" s="11" t="s">
        <v>1843</v>
      </c>
      <c r="D866" s="11" t="s">
        <v>546</v>
      </c>
      <c r="E866" s="12">
        <v>3000</v>
      </c>
      <c r="F866" s="13">
        <v>0</v>
      </c>
      <c r="G866" s="12">
        <v>0</v>
      </c>
      <c r="H866" s="11" t="s">
        <v>1844</v>
      </c>
    </row>
    <row r="867" spans="1:8" ht="15" customHeight="1" x14ac:dyDescent="0.25">
      <c r="A867" s="11" t="s">
        <v>484</v>
      </c>
      <c r="B867" s="11">
        <v>111512</v>
      </c>
      <c r="C867" s="11" t="s">
        <v>1845</v>
      </c>
      <c r="D867" s="11" t="s">
        <v>496</v>
      </c>
      <c r="E867" s="12">
        <v>24250</v>
      </c>
      <c r="F867" s="13">
        <v>0</v>
      </c>
      <c r="G867" s="12">
        <v>0</v>
      </c>
      <c r="H867" s="11" t="s">
        <v>1846</v>
      </c>
    </row>
    <row r="868" spans="1:8" ht="15" customHeight="1" x14ac:dyDescent="0.25">
      <c r="A868" s="11" t="s">
        <v>484</v>
      </c>
      <c r="B868" s="11">
        <v>100313</v>
      </c>
      <c r="C868" s="11" t="s">
        <v>1847</v>
      </c>
      <c r="D868" s="11" t="s">
        <v>538</v>
      </c>
      <c r="E868" s="12">
        <v>295882</v>
      </c>
      <c r="F868" s="13">
        <v>19.75</v>
      </c>
      <c r="G868" s="12">
        <v>5843669.5</v>
      </c>
      <c r="H868" s="11" t="s">
        <v>142</v>
      </c>
    </row>
    <row r="869" spans="1:8" ht="15" customHeight="1" x14ac:dyDescent="0.25">
      <c r="A869" s="11" t="s">
        <v>484</v>
      </c>
      <c r="B869" s="11">
        <v>100314</v>
      </c>
      <c r="C869" s="11" t="s">
        <v>1848</v>
      </c>
      <c r="D869" s="11" t="s">
        <v>538</v>
      </c>
      <c r="E869" s="12">
        <v>202420</v>
      </c>
      <c r="F869" s="13">
        <v>0</v>
      </c>
      <c r="G869" s="12">
        <v>0</v>
      </c>
      <c r="H869" s="11" t="s">
        <v>1849</v>
      </c>
    </row>
    <row r="870" spans="1:8" ht="15" customHeight="1" x14ac:dyDescent="0.25">
      <c r="A870" s="11" t="s">
        <v>484</v>
      </c>
      <c r="B870" s="11">
        <v>100430</v>
      </c>
      <c r="C870" s="11" t="s">
        <v>1850</v>
      </c>
      <c r="D870" s="11" t="s">
        <v>538</v>
      </c>
      <c r="E870" s="12">
        <v>68000</v>
      </c>
      <c r="F870" s="13">
        <v>35</v>
      </c>
      <c r="G870" s="12">
        <v>2380000</v>
      </c>
      <c r="H870" s="11" t="s">
        <v>242</v>
      </c>
    </row>
    <row r="871" spans="1:8" ht="15" customHeight="1" x14ac:dyDescent="0.25">
      <c r="A871" s="11" t="s">
        <v>484</v>
      </c>
      <c r="B871" s="11">
        <v>150110</v>
      </c>
      <c r="C871" s="11" t="s">
        <v>1851</v>
      </c>
      <c r="D871" s="11" t="s">
        <v>546</v>
      </c>
      <c r="E871" s="12">
        <v>23</v>
      </c>
      <c r="F871" s="13">
        <v>0</v>
      </c>
      <c r="G871" s="12">
        <v>0</v>
      </c>
      <c r="H871" s="11" t="s">
        <v>1852</v>
      </c>
    </row>
    <row r="872" spans="1:8" ht="15" customHeight="1" x14ac:dyDescent="0.25">
      <c r="A872" s="11" t="s">
        <v>484</v>
      </c>
      <c r="B872" s="11">
        <v>100431</v>
      </c>
      <c r="C872" s="11" t="s">
        <v>1853</v>
      </c>
      <c r="D872" s="11" t="s">
        <v>496</v>
      </c>
      <c r="E872" s="12">
        <v>53000</v>
      </c>
      <c r="F872" s="13">
        <v>0</v>
      </c>
      <c r="G872" s="12">
        <v>0</v>
      </c>
      <c r="H872" s="11" t="s">
        <v>1854</v>
      </c>
    </row>
    <row r="873" spans="1:8" ht="15" customHeight="1" x14ac:dyDescent="0.25">
      <c r="A873" s="11" t="s">
        <v>484</v>
      </c>
      <c r="B873" s="11">
        <v>444212</v>
      </c>
      <c r="C873" s="11" t="s">
        <v>1855</v>
      </c>
      <c r="D873" s="11" t="s">
        <v>736</v>
      </c>
      <c r="E873" s="12">
        <v>8000</v>
      </c>
      <c r="F873" s="13">
        <v>0</v>
      </c>
      <c r="G873" s="12">
        <v>0</v>
      </c>
      <c r="H873" s="11" t="s">
        <v>1856</v>
      </c>
    </row>
    <row r="874" spans="1:8" ht="15" customHeight="1" x14ac:dyDescent="0.25">
      <c r="A874" s="11" t="s">
        <v>484</v>
      </c>
      <c r="B874" s="11">
        <v>110422</v>
      </c>
      <c r="C874" s="11" t="s">
        <v>1857</v>
      </c>
      <c r="D874" s="11" t="s">
        <v>736</v>
      </c>
      <c r="E874" s="12">
        <v>100000</v>
      </c>
      <c r="F874" s="13">
        <v>5</v>
      </c>
      <c r="G874" s="12">
        <v>500000</v>
      </c>
      <c r="H874" s="11" t="s">
        <v>472</v>
      </c>
    </row>
    <row r="875" spans="1:8" ht="15" customHeight="1" x14ac:dyDescent="0.25">
      <c r="A875" s="11" t="s">
        <v>484</v>
      </c>
      <c r="B875" s="11">
        <v>900253</v>
      </c>
      <c r="C875" s="11" t="s">
        <v>1858</v>
      </c>
      <c r="D875" s="11" t="s">
        <v>496</v>
      </c>
      <c r="E875" s="12">
        <v>30000</v>
      </c>
      <c r="F875" s="13">
        <v>240</v>
      </c>
      <c r="G875" s="12">
        <v>7200000</v>
      </c>
      <c r="H875" s="11" t="s">
        <v>31</v>
      </c>
    </row>
    <row r="876" spans="1:8" ht="15" customHeight="1" x14ac:dyDescent="0.25">
      <c r="A876" s="11" t="s">
        <v>484</v>
      </c>
      <c r="B876" s="11">
        <v>300406</v>
      </c>
      <c r="C876" s="11" t="s">
        <v>1859</v>
      </c>
      <c r="D876" s="11" t="s">
        <v>496</v>
      </c>
      <c r="E876" s="12">
        <v>41000</v>
      </c>
      <c r="F876" s="13">
        <v>180</v>
      </c>
      <c r="G876" s="12">
        <v>7380000</v>
      </c>
      <c r="H876" s="11" t="s">
        <v>421</v>
      </c>
    </row>
    <row r="877" spans="1:8" ht="15" customHeight="1" x14ac:dyDescent="0.25">
      <c r="A877" s="11" t="s">
        <v>484</v>
      </c>
      <c r="B877" s="11">
        <v>300407</v>
      </c>
      <c r="C877" s="11" t="s">
        <v>1860</v>
      </c>
      <c r="D877" s="11" t="s">
        <v>496</v>
      </c>
      <c r="E877" s="12">
        <v>58000</v>
      </c>
      <c r="F877" s="13">
        <v>12</v>
      </c>
      <c r="G877" s="12">
        <v>696000</v>
      </c>
      <c r="H877" s="11" t="s">
        <v>420</v>
      </c>
    </row>
    <row r="878" spans="1:8" ht="15" customHeight="1" x14ac:dyDescent="0.25">
      <c r="A878" s="11" t="s">
        <v>484</v>
      </c>
      <c r="B878" s="11">
        <v>444908</v>
      </c>
      <c r="C878" s="11" t="s">
        <v>1861</v>
      </c>
      <c r="D878" s="11" t="s">
        <v>496</v>
      </c>
      <c r="E878" s="12">
        <v>1800</v>
      </c>
      <c r="F878" s="13">
        <v>320</v>
      </c>
      <c r="G878" s="12">
        <v>576000</v>
      </c>
      <c r="H878" s="11" t="s">
        <v>363</v>
      </c>
    </row>
    <row r="879" spans="1:8" ht="15" customHeight="1" x14ac:dyDescent="0.25">
      <c r="A879" s="11" t="s">
        <v>484</v>
      </c>
      <c r="B879" s="11">
        <v>444909</v>
      </c>
      <c r="C879" s="11" t="s">
        <v>1862</v>
      </c>
      <c r="D879" s="11" t="s">
        <v>496</v>
      </c>
      <c r="E879" s="12">
        <v>870</v>
      </c>
      <c r="F879" s="13">
        <v>90</v>
      </c>
      <c r="G879" s="12">
        <v>78300</v>
      </c>
      <c r="H879" s="11" t="s">
        <v>364</v>
      </c>
    </row>
    <row r="880" spans="1:8" ht="15" customHeight="1" x14ac:dyDescent="0.25">
      <c r="A880" s="11" t="s">
        <v>484</v>
      </c>
      <c r="B880" s="11">
        <v>444307</v>
      </c>
      <c r="C880" s="11" t="s">
        <v>1863</v>
      </c>
      <c r="D880" s="11" t="s">
        <v>496</v>
      </c>
      <c r="E880" s="12">
        <v>5000</v>
      </c>
      <c r="F880" s="13">
        <v>6</v>
      </c>
      <c r="G880" s="12">
        <v>30000</v>
      </c>
      <c r="H880" s="11" t="s">
        <v>422</v>
      </c>
    </row>
    <row r="881" spans="1:8" ht="15" customHeight="1" x14ac:dyDescent="0.25">
      <c r="A881" s="11" t="s">
        <v>1864</v>
      </c>
      <c r="B881" s="11">
        <v>999101</v>
      </c>
      <c r="C881" s="11" t="s">
        <v>1865</v>
      </c>
      <c r="D881" s="11" t="s">
        <v>496</v>
      </c>
      <c r="E881" s="12">
        <v>2040</v>
      </c>
      <c r="F881" s="13">
        <v>0</v>
      </c>
      <c r="G881" s="12">
        <v>0</v>
      </c>
      <c r="H881" s="11" t="s">
        <v>1866</v>
      </c>
    </row>
    <row r="882" spans="1:8" ht="15" customHeight="1" x14ac:dyDescent="0.25">
      <c r="A882" s="11" t="s">
        <v>1864</v>
      </c>
      <c r="B882" s="11">
        <v>999105</v>
      </c>
      <c r="C882" s="11" t="s">
        <v>1867</v>
      </c>
      <c r="D882" s="11" t="s">
        <v>496</v>
      </c>
      <c r="E882" s="12">
        <v>1188</v>
      </c>
      <c r="F882" s="13">
        <v>0</v>
      </c>
      <c r="G882" s="12">
        <v>0</v>
      </c>
      <c r="H882" s="11" t="s">
        <v>1868</v>
      </c>
    </row>
    <row r="883" spans="1:8" ht="15" customHeight="1" x14ac:dyDescent="0.25">
      <c r="A883" s="11" t="s">
        <v>1864</v>
      </c>
      <c r="B883" s="11">
        <v>999102</v>
      </c>
      <c r="C883" s="11" t="s">
        <v>1869</v>
      </c>
      <c r="D883" s="11" t="s">
        <v>496</v>
      </c>
      <c r="E883" s="12">
        <v>345</v>
      </c>
      <c r="F883" s="13">
        <v>0</v>
      </c>
      <c r="G883" s="12">
        <v>0</v>
      </c>
      <c r="H883" s="11" t="s">
        <v>1870</v>
      </c>
    </row>
    <row r="884" spans="1:8" ht="15" customHeight="1" x14ac:dyDescent="0.25">
      <c r="A884" s="11" t="s">
        <v>1864</v>
      </c>
      <c r="B884" s="11">
        <v>999103</v>
      </c>
      <c r="C884" s="11" t="s">
        <v>1871</v>
      </c>
      <c r="D884" s="11" t="s">
        <v>496</v>
      </c>
      <c r="E884" s="12">
        <v>73</v>
      </c>
      <c r="F884" s="13">
        <v>0</v>
      </c>
      <c r="G884" s="12">
        <v>0</v>
      </c>
      <c r="H884" s="11" t="s">
        <v>1872</v>
      </c>
    </row>
    <row r="885" spans="1:8" ht="15" customHeight="1" x14ac:dyDescent="0.25">
      <c r="A885" s="11" t="s">
        <v>1864</v>
      </c>
      <c r="B885" s="11">
        <v>999104</v>
      </c>
      <c r="C885" s="11" t="s">
        <v>1873</v>
      </c>
      <c r="D885" s="11" t="s">
        <v>496</v>
      </c>
      <c r="E885" s="12">
        <v>1025</v>
      </c>
      <c r="F885" s="13">
        <v>0</v>
      </c>
      <c r="G885" s="12">
        <v>0</v>
      </c>
      <c r="H885" s="11" t="s">
        <v>1874</v>
      </c>
    </row>
    <row r="886" spans="1:8" ht="15" customHeight="1" x14ac:dyDescent="0.25">
      <c r="A886" s="11" t="s">
        <v>1864</v>
      </c>
      <c r="B886" s="11">
        <v>999501</v>
      </c>
      <c r="C886" s="11" t="s">
        <v>1875</v>
      </c>
      <c r="D886" s="11" t="s">
        <v>496</v>
      </c>
      <c r="E886" s="12">
        <v>1033</v>
      </c>
      <c r="F886" s="13">
        <v>0</v>
      </c>
      <c r="G886" s="12">
        <v>0</v>
      </c>
      <c r="H886" s="11" t="s">
        <v>1876</v>
      </c>
    </row>
    <row r="887" spans="1:8" ht="15" customHeight="1" x14ac:dyDescent="0.25">
      <c r="A887" s="11" t="s">
        <v>1864</v>
      </c>
      <c r="B887" s="11">
        <v>999618</v>
      </c>
      <c r="C887" s="11" t="s">
        <v>1877</v>
      </c>
      <c r="D887" s="11" t="s">
        <v>496</v>
      </c>
      <c r="E887" s="12">
        <v>9583</v>
      </c>
      <c r="F887" s="13">
        <v>100</v>
      </c>
      <c r="G887" s="12">
        <v>958300</v>
      </c>
      <c r="H887" s="11" t="s">
        <v>427</v>
      </c>
    </row>
    <row r="888" spans="1:8" ht="15" customHeight="1" x14ac:dyDescent="0.25">
      <c r="A888" s="11" t="s">
        <v>1864</v>
      </c>
      <c r="B888" s="11">
        <v>999614</v>
      </c>
      <c r="C888" s="11" t="s">
        <v>1878</v>
      </c>
      <c r="D888" s="11" t="s">
        <v>496</v>
      </c>
      <c r="E888" s="12">
        <v>4255</v>
      </c>
      <c r="F888" s="13">
        <v>0</v>
      </c>
      <c r="G888" s="12">
        <v>0</v>
      </c>
      <c r="H888" s="11" t="s">
        <v>1879</v>
      </c>
    </row>
    <row r="889" spans="1:8" ht="15" customHeight="1" x14ac:dyDescent="0.25">
      <c r="A889" s="11" t="s">
        <v>1864</v>
      </c>
      <c r="B889" s="11">
        <v>999601</v>
      </c>
      <c r="C889" s="11" t="s">
        <v>1880</v>
      </c>
      <c r="D889" s="11" t="s">
        <v>496</v>
      </c>
      <c r="E889" s="12">
        <v>14323</v>
      </c>
      <c r="F889" s="13">
        <v>176</v>
      </c>
      <c r="G889" s="12">
        <v>2520848</v>
      </c>
      <c r="H889" s="11" t="s">
        <v>428</v>
      </c>
    </row>
    <row r="890" spans="1:8" ht="15" customHeight="1" x14ac:dyDescent="0.25">
      <c r="A890" s="11" t="s">
        <v>1864</v>
      </c>
      <c r="B890" s="11">
        <v>999616</v>
      </c>
      <c r="C890" s="11" t="s">
        <v>1881</v>
      </c>
      <c r="D890" s="11" t="s">
        <v>496</v>
      </c>
      <c r="E890" s="12">
        <v>10023</v>
      </c>
      <c r="F890" s="13">
        <v>0</v>
      </c>
      <c r="G890" s="12">
        <v>0</v>
      </c>
      <c r="H890" s="11" t="s">
        <v>1882</v>
      </c>
    </row>
    <row r="891" spans="1:8" ht="15" customHeight="1" x14ac:dyDescent="0.25">
      <c r="A891" s="11" t="s">
        <v>1864</v>
      </c>
      <c r="B891" s="11">
        <v>999602</v>
      </c>
      <c r="C891" s="11" t="s">
        <v>1883</v>
      </c>
      <c r="D891" s="11" t="s">
        <v>496</v>
      </c>
      <c r="E891" s="12">
        <v>6620</v>
      </c>
      <c r="F891" s="13">
        <v>80</v>
      </c>
      <c r="G891" s="12">
        <v>529600</v>
      </c>
      <c r="H891" s="11" t="s">
        <v>429</v>
      </c>
    </row>
    <row r="892" spans="1:8" ht="15" customHeight="1" x14ac:dyDescent="0.25">
      <c r="A892" s="11" t="s">
        <v>1864</v>
      </c>
      <c r="B892" s="11">
        <v>999609</v>
      </c>
      <c r="C892" s="11" t="s">
        <v>1884</v>
      </c>
      <c r="D892" s="11" t="s">
        <v>496</v>
      </c>
      <c r="E892" s="12">
        <v>0</v>
      </c>
      <c r="F892" s="13">
        <v>0</v>
      </c>
      <c r="G892" s="12">
        <v>0</v>
      </c>
      <c r="H892" s="11" t="s">
        <v>1885</v>
      </c>
    </row>
    <row r="893" spans="1:8" ht="15" customHeight="1" x14ac:dyDescent="0.25">
      <c r="A893" s="11" t="s">
        <v>1864</v>
      </c>
      <c r="B893" s="11">
        <v>999617</v>
      </c>
      <c r="C893" s="11" t="s">
        <v>1886</v>
      </c>
      <c r="D893" s="11" t="s">
        <v>496</v>
      </c>
      <c r="E893" s="12">
        <v>4250</v>
      </c>
      <c r="F893" s="13">
        <v>0</v>
      </c>
      <c r="G893" s="12">
        <v>0</v>
      </c>
      <c r="H893" s="11" t="s">
        <v>1887</v>
      </c>
    </row>
    <row r="894" spans="1:8" ht="15" customHeight="1" x14ac:dyDescent="0.25">
      <c r="A894" s="11" t="s">
        <v>1864</v>
      </c>
      <c r="B894" s="11">
        <v>999603</v>
      </c>
      <c r="C894" s="11" t="s">
        <v>1888</v>
      </c>
      <c r="D894" s="11" t="s">
        <v>496</v>
      </c>
      <c r="E894" s="12">
        <v>5080</v>
      </c>
      <c r="F894" s="13">
        <v>0</v>
      </c>
      <c r="G894" s="12">
        <v>0</v>
      </c>
      <c r="H894" s="11" t="s">
        <v>1889</v>
      </c>
    </row>
    <row r="895" spans="1:8" ht="15" customHeight="1" x14ac:dyDescent="0.25">
      <c r="A895" s="11" t="s">
        <v>1864</v>
      </c>
      <c r="B895" s="11">
        <v>999615</v>
      </c>
      <c r="C895" s="11" t="s">
        <v>1890</v>
      </c>
      <c r="D895" s="11" t="s">
        <v>496</v>
      </c>
      <c r="E895" s="12">
        <v>0</v>
      </c>
      <c r="F895" s="13">
        <v>0</v>
      </c>
      <c r="G895" s="12">
        <v>0</v>
      </c>
      <c r="H895" s="11" t="s">
        <v>1891</v>
      </c>
    </row>
    <row r="896" spans="1:8" ht="15" customHeight="1" x14ac:dyDescent="0.25">
      <c r="A896" s="11" t="s">
        <v>1864</v>
      </c>
      <c r="B896" s="11">
        <v>999604</v>
      </c>
      <c r="C896" s="11" t="s">
        <v>1892</v>
      </c>
      <c r="D896" s="11" t="s">
        <v>496</v>
      </c>
      <c r="E896" s="12">
        <v>2567</v>
      </c>
      <c r="F896" s="13">
        <v>0</v>
      </c>
      <c r="G896" s="12">
        <v>0</v>
      </c>
      <c r="H896" s="11" t="s">
        <v>1893</v>
      </c>
    </row>
    <row r="897" spans="1:8" ht="15" customHeight="1" x14ac:dyDescent="0.25">
      <c r="A897" s="11" t="s">
        <v>1864</v>
      </c>
      <c r="B897" s="11">
        <v>999619</v>
      </c>
      <c r="C897" s="11" t="s">
        <v>1894</v>
      </c>
      <c r="D897" s="11" t="s">
        <v>736</v>
      </c>
      <c r="E897" s="12">
        <v>39500</v>
      </c>
      <c r="F897" s="13">
        <v>0</v>
      </c>
      <c r="G897" s="12">
        <v>0</v>
      </c>
      <c r="H897" s="11" t="s">
        <v>1895</v>
      </c>
    </row>
    <row r="898" spans="1:8" ht="15" customHeight="1" x14ac:dyDescent="0.25">
      <c r="A898" s="11" t="s">
        <v>1864</v>
      </c>
      <c r="B898" s="11">
        <v>999605</v>
      </c>
      <c r="C898" s="11" t="s">
        <v>1896</v>
      </c>
      <c r="D898" s="11" t="s">
        <v>496</v>
      </c>
      <c r="E898" s="12">
        <v>8398</v>
      </c>
      <c r="F898" s="13">
        <v>256</v>
      </c>
      <c r="G898" s="12">
        <v>2149888</v>
      </c>
      <c r="H898" s="11" t="s">
        <v>431</v>
      </c>
    </row>
    <row r="899" spans="1:8" ht="15" customHeight="1" x14ac:dyDescent="0.25">
      <c r="A899" s="11" t="s">
        <v>1864</v>
      </c>
      <c r="B899" s="11">
        <v>999608</v>
      </c>
      <c r="C899" s="11" t="s">
        <v>1897</v>
      </c>
      <c r="D899" s="11" t="s">
        <v>496</v>
      </c>
      <c r="E899" s="12">
        <v>5989</v>
      </c>
      <c r="F899" s="13">
        <v>0</v>
      </c>
      <c r="G899" s="12">
        <v>0</v>
      </c>
      <c r="H899" s="11" t="s">
        <v>1898</v>
      </c>
    </row>
    <row r="900" spans="1:8" ht="15" customHeight="1" x14ac:dyDescent="0.25">
      <c r="A900" s="11" t="s">
        <v>1864</v>
      </c>
      <c r="B900" s="11">
        <v>999610</v>
      </c>
      <c r="C900" s="11" t="s">
        <v>1899</v>
      </c>
      <c r="D900" s="11" t="s">
        <v>496</v>
      </c>
      <c r="E900" s="12">
        <v>15101</v>
      </c>
      <c r="F900" s="13">
        <v>0</v>
      </c>
      <c r="G900" s="12">
        <v>0</v>
      </c>
      <c r="H900" s="11" t="s">
        <v>1900</v>
      </c>
    </row>
    <row r="901" spans="1:8" ht="15" customHeight="1" x14ac:dyDescent="0.25">
      <c r="A901" s="11" t="s">
        <v>1864</v>
      </c>
      <c r="B901" s="11">
        <v>999606</v>
      </c>
      <c r="C901" s="11" t="s">
        <v>1901</v>
      </c>
      <c r="D901" s="11" t="s">
        <v>496</v>
      </c>
      <c r="E901" s="12">
        <v>4053</v>
      </c>
      <c r="F901" s="13">
        <v>10</v>
      </c>
      <c r="G901" s="12">
        <v>40530</v>
      </c>
      <c r="H901" s="11" t="s">
        <v>430</v>
      </c>
    </row>
    <row r="902" spans="1:8" ht="15" customHeight="1" x14ac:dyDescent="0.25">
      <c r="A902" s="11" t="s">
        <v>1864</v>
      </c>
      <c r="B902" s="11">
        <v>999611</v>
      </c>
      <c r="C902" s="11" t="s">
        <v>1902</v>
      </c>
      <c r="D902" s="11" t="s">
        <v>496</v>
      </c>
      <c r="E902" s="12">
        <v>22608</v>
      </c>
      <c r="F902" s="13">
        <v>25</v>
      </c>
      <c r="G902" s="12">
        <v>565200</v>
      </c>
      <c r="H902" s="11" t="s">
        <v>432</v>
      </c>
    </row>
    <row r="903" spans="1:8" ht="15" customHeight="1" x14ac:dyDescent="0.25">
      <c r="A903" s="11" t="s">
        <v>1864</v>
      </c>
      <c r="B903" s="11">
        <v>999612</v>
      </c>
      <c r="C903" s="11" t="s">
        <v>1903</v>
      </c>
      <c r="D903" s="11" t="s">
        <v>496</v>
      </c>
      <c r="E903" s="12">
        <v>22608</v>
      </c>
      <c r="F903" s="13">
        <v>25</v>
      </c>
      <c r="G903" s="12">
        <v>565200</v>
      </c>
      <c r="H903" s="11" t="s">
        <v>433</v>
      </c>
    </row>
    <row r="904" spans="1:8" ht="15" customHeight="1" x14ac:dyDescent="0.25">
      <c r="A904" s="11" t="s">
        <v>1864</v>
      </c>
      <c r="B904" s="11">
        <v>999607</v>
      </c>
      <c r="C904" s="11" t="s">
        <v>1904</v>
      </c>
      <c r="D904" s="11" t="s">
        <v>496</v>
      </c>
      <c r="E904" s="12">
        <v>8003</v>
      </c>
      <c r="F904" s="13">
        <v>312</v>
      </c>
      <c r="G904" s="12">
        <v>2496936</v>
      </c>
      <c r="H904" s="11" t="s">
        <v>434</v>
      </c>
    </row>
    <row r="905" spans="1:8" ht="15" customHeight="1" x14ac:dyDescent="0.25">
      <c r="A905" s="11" t="s">
        <v>1864</v>
      </c>
      <c r="B905" s="11">
        <v>999613</v>
      </c>
      <c r="C905" s="11" t="s">
        <v>1905</v>
      </c>
      <c r="D905" s="11" t="s">
        <v>496</v>
      </c>
      <c r="E905" s="12">
        <v>0</v>
      </c>
      <c r="F905" s="13">
        <v>0</v>
      </c>
      <c r="G905" s="12">
        <v>0</v>
      </c>
      <c r="H905" s="11" t="s">
        <v>1906</v>
      </c>
    </row>
    <row r="906" spans="1:8" ht="15" customHeight="1" x14ac:dyDescent="0.25">
      <c r="A906" s="11" t="s">
        <v>1864</v>
      </c>
      <c r="B906" s="11">
        <v>999301</v>
      </c>
      <c r="C906" s="11" t="s">
        <v>1907</v>
      </c>
      <c r="D906" s="11" t="s">
        <v>496</v>
      </c>
      <c r="E906" s="12">
        <v>41482</v>
      </c>
      <c r="F906" s="13">
        <v>0</v>
      </c>
      <c r="G906" s="12">
        <v>0</v>
      </c>
      <c r="H906" s="11" t="s">
        <v>1908</v>
      </c>
    </row>
    <row r="907" spans="1:8" ht="15" customHeight="1" x14ac:dyDescent="0.25">
      <c r="A907" s="11" t="s">
        <v>1864</v>
      </c>
      <c r="B907" s="11">
        <v>999302</v>
      </c>
      <c r="C907" s="11" t="s">
        <v>1909</v>
      </c>
      <c r="D907" s="11" t="s">
        <v>496</v>
      </c>
      <c r="E907" s="12">
        <v>0</v>
      </c>
      <c r="F907" s="13">
        <v>0</v>
      </c>
      <c r="G907" s="12">
        <v>0</v>
      </c>
      <c r="H907" s="11" t="s">
        <v>1910</v>
      </c>
    </row>
    <row r="908" spans="1:8" ht="15" customHeight="1" x14ac:dyDescent="0.25">
      <c r="A908" s="11" t="s">
        <v>1864</v>
      </c>
      <c r="B908" s="11">
        <v>999201</v>
      </c>
      <c r="C908" s="11" t="s">
        <v>1911</v>
      </c>
      <c r="D908" s="11" t="s">
        <v>1912</v>
      </c>
      <c r="E908" s="12">
        <v>32984.466666666704</v>
      </c>
      <c r="F908" s="13">
        <v>0</v>
      </c>
      <c r="G908" s="12">
        <v>0</v>
      </c>
      <c r="H908" s="11" t="s">
        <v>1913</v>
      </c>
    </row>
    <row r="909" spans="1:8" ht="15" customHeight="1" x14ac:dyDescent="0.25">
      <c r="A909" s="11" t="s">
        <v>1864</v>
      </c>
      <c r="B909" s="11">
        <v>999401</v>
      </c>
      <c r="C909" s="11" t="s">
        <v>1914</v>
      </c>
      <c r="D909" s="11" t="s">
        <v>496</v>
      </c>
      <c r="E909" s="12">
        <v>2594</v>
      </c>
      <c r="F909" s="13">
        <v>0</v>
      </c>
      <c r="G909" s="12">
        <v>0</v>
      </c>
      <c r="H909" s="11" t="s">
        <v>1915</v>
      </c>
    </row>
    <row r="910" spans="1:8" ht="15" customHeight="1" x14ac:dyDescent="0.25">
      <c r="A910" s="11" t="s">
        <v>1864</v>
      </c>
      <c r="B910" s="11">
        <v>999402</v>
      </c>
      <c r="C910" s="11" t="s">
        <v>1916</v>
      </c>
      <c r="D910" s="11" t="s">
        <v>496</v>
      </c>
      <c r="E910" s="12">
        <v>7234</v>
      </c>
      <c r="F910" s="13">
        <v>120</v>
      </c>
      <c r="G910" s="12">
        <v>868080</v>
      </c>
      <c r="H910" s="11" t="s">
        <v>367</v>
      </c>
    </row>
    <row r="911" spans="1:8" ht="15" customHeight="1" x14ac:dyDescent="0.25">
      <c r="A911" s="11" t="s">
        <v>1864</v>
      </c>
      <c r="B911" s="11">
        <v>999424</v>
      </c>
      <c r="C911" s="11" t="s">
        <v>1917</v>
      </c>
      <c r="D911" s="11" t="s">
        <v>496</v>
      </c>
      <c r="E911" s="12">
        <v>8167</v>
      </c>
      <c r="F911" s="13">
        <v>0</v>
      </c>
      <c r="G911" s="12">
        <v>0</v>
      </c>
      <c r="H911" s="11" t="s">
        <v>1918</v>
      </c>
    </row>
    <row r="912" spans="1:8" ht="15" customHeight="1" x14ac:dyDescent="0.25">
      <c r="A912" s="11" t="s">
        <v>1864</v>
      </c>
      <c r="B912" s="11">
        <v>999421</v>
      </c>
      <c r="C912" s="11" t="s">
        <v>1919</v>
      </c>
      <c r="D912" s="11" t="s">
        <v>496</v>
      </c>
      <c r="E912" s="12">
        <v>45399</v>
      </c>
      <c r="F912" s="13">
        <v>0</v>
      </c>
      <c r="G912" s="12">
        <v>0</v>
      </c>
      <c r="H912" s="11" t="s">
        <v>1920</v>
      </c>
    </row>
    <row r="913" spans="1:8" ht="15" customHeight="1" x14ac:dyDescent="0.25">
      <c r="A913" s="11" t="s">
        <v>1864</v>
      </c>
      <c r="B913" s="11">
        <v>999403</v>
      </c>
      <c r="C913" s="11" t="s">
        <v>1921</v>
      </c>
      <c r="D913" s="11" t="s">
        <v>496</v>
      </c>
      <c r="E913" s="12">
        <v>30599</v>
      </c>
      <c r="F913" s="13">
        <v>88</v>
      </c>
      <c r="G913" s="12">
        <v>2692712</v>
      </c>
      <c r="H913" s="11" t="s">
        <v>368</v>
      </c>
    </row>
    <row r="914" spans="1:8" ht="15" customHeight="1" x14ac:dyDescent="0.25">
      <c r="A914" s="11" t="s">
        <v>1864</v>
      </c>
      <c r="B914" s="11">
        <v>999422</v>
      </c>
      <c r="C914" s="11" t="s">
        <v>1922</v>
      </c>
      <c r="D914" s="11" t="s">
        <v>496</v>
      </c>
      <c r="E914" s="12">
        <v>45519</v>
      </c>
      <c r="F914" s="13">
        <v>0</v>
      </c>
      <c r="G914" s="12">
        <v>0</v>
      </c>
      <c r="H914" s="11" t="s">
        <v>1923</v>
      </c>
    </row>
    <row r="915" spans="1:8" ht="15" customHeight="1" x14ac:dyDescent="0.25">
      <c r="A915" s="11" t="s">
        <v>1864</v>
      </c>
      <c r="B915" s="11">
        <v>999404</v>
      </c>
      <c r="C915" s="11" t="s">
        <v>1924</v>
      </c>
      <c r="D915" s="11" t="s">
        <v>496</v>
      </c>
      <c r="E915" s="12">
        <v>17159</v>
      </c>
      <c r="F915" s="13">
        <v>0</v>
      </c>
      <c r="G915" s="12">
        <v>0</v>
      </c>
      <c r="H915" s="11" t="s">
        <v>29</v>
      </c>
    </row>
    <row r="916" spans="1:8" ht="15" customHeight="1" x14ac:dyDescent="0.25">
      <c r="A916" s="11" t="s">
        <v>1864</v>
      </c>
      <c r="B916" s="11">
        <v>999423</v>
      </c>
      <c r="C916" s="11" t="s">
        <v>1925</v>
      </c>
      <c r="D916" s="11" t="s">
        <v>496</v>
      </c>
      <c r="E916" s="12">
        <v>14686</v>
      </c>
      <c r="F916" s="13">
        <v>0</v>
      </c>
      <c r="G916" s="12">
        <v>0</v>
      </c>
      <c r="H916" s="11" t="s">
        <v>1926</v>
      </c>
    </row>
    <row r="917" spans="1:8" ht="15" customHeight="1" x14ac:dyDescent="0.25">
      <c r="A917" s="11" t="s">
        <v>1864</v>
      </c>
      <c r="B917" s="11">
        <v>999405</v>
      </c>
      <c r="C917" s="11" t="s">
        <v>1927</v>
      </c>
      <c r="D917" s="11" t="s">
        <v>496</v>
      </c>
      <c r="E917" s="12">
        <v>14148</v>
      </c>
      <c r="F917" s="13">
        <v>0</v>
      </c>
      <c r="G917" s="12">
        <v>0</v>
      </c>
      <c r="H917" s="11" t="s">
        <v>1928</v>
      </c>
    </row>
    <row r="918" spans="1:8" ht="15" customHeight="1" x14ac:dyDescent="0.25">
      <c r="A918" s="11" t="s">
        <v>1864</v>
      </c>
      <c r="B918" s="11">
        <v>999417</v>
      </c>
      <c r="C918" s="11" t="s">
        <v>1929</v>
      </c>
      <c r="D918" s="11" t="s">
        <v>496</v>
      </c>
      <c r="E918" s="12">
        <v>0</v>
      </c>
      <c r="F918" s="13">
        <v>0</v>
      </c>
      <c r="G918" s="12">
        <v>0</v>
      </c>
      <c r="H918" s="11" t="s">
        <v>1930</v>
      </c>
    </row>
    <row r="919" spans="1:8" ht="15" customHeight="1" x14ac:dyDescent="0.25">
      <c r="A919" s="11" t="s">
        <v>1864</v>
      </c>
      <c r="B919" s="11">
        <v>999406</v>
      </c>
      <c r="C919" s="11" t="s">
        <v>1931</v>
      </c>
      <c r="D919" s="11" t="s">
        <v>496</v>
      </c>
      <c r="E919" s="12">
        <v>17159</v>
      </c>
      <c r="F919" s="13">
        <v>136</v>
      </c>
      <c r="G919" s="12">
        <v>2333624</v>
      </c>
      <c r="H919" s="11" t="s">
        <v>370</v>
      </c>
    </row>
    <row r="920" spans="1:8" ht="15" customHeight="1" x14ac:dyDescent="0.25">
      <c r="A920" s="11" t="s">
        <v>1864</v>
      </c>
      <c r="B920" s="11">
        <v>999407</v>
      </c>
      <c r="C920" s="11" t="s">
        <v>1932</v>
      </c>
      <c r="D920" s="11" t="s">
        <v>496</v>
      </c>
      <c r="E920" s="12">
        <v>7234</v>
      </c>
      <c r="F920" s="13">
        <v>0</v>
      </c>
      <c r="G920" s="12">
        <v>0</v>
      </c>
      <c r="H920" s="11" t="s">
        <v>1933</v>
      </c>
    </row>
    <row r="921" spans="1:8" ht="15" customHeight="1" x14ac:dyDescent="0.25">
      <c r="A921" s="11" t="s">
        <v>1864</v>
      </c>
      <c r="B921" s="11">
        <v>999420</v>
      </c>
      <c r="C921" s="11" t="s">
        <v>1934</v>
      </c>
      <c r="D921" s="11" t="s">
        <v>496</v>
      </c>
      <c r="E921" s="12">
        <v>81200</v>
      </c>
      <c r="F921" s="13">
        <v>0</v>
      </c>
      <c r="G921" s="12">
        <v>0</v>
      </c>
      <c r="H921" s="11" t="s">
        <v>1935</v>
      </c>
    </row>
    <row r="922" spans="1:8" ht="15" customHeight="1" x14ac:dyDescent="0.25">
      <c r="A922" s="11" t="s">
        <v>1864</v>
      </c>
      <c r="B922" s="11">
        <v>999408</v>
      </c>
      <c r="C922" s="11" t="s">
        <v>1936</v>
      </c>
      <c r="D922" s="11" t="s">
        <v>496</v>
      </c>
      <c r="E922" s="12">
        <v>0</v>
      </c>
      <c r="F922" s="13">
        <v>0</v>
      </c>
      <c r="G922" s="12">
        <v>0</v>
      </c>
      <c r="H922" s="11" t="s">
        <v>1937</v>
      </c>
    </row>
    <row r="923" spans="1:8" ht="15" customHeight="1" x14ac:dyDescent="0.25">
      <c r="A923" s="11" t="s">
        <v>1864</v>
      </c>
      <c r="B923" s="11">
        <v>999414</v>
      </c>
      <c r="C923" s="11" t="s">
        <v>1938</v>
      </c>
      <c r="D923" s="11" t="s">
        <v>496</v>
      </c>
      <c r="E923" s="12">
        <v>7396</v>
      </c>
      <c r="F923" s="13">
        <v>0</v>
      </c>
      <c r="G923" s="12">
        <v>0</v>
      </c>
      <c r="H923" s="11" t="s">
        <v>1939</v>
      </c>
    </row>
    <row r="924" spans="1:8" ht="15" customHeight="1" x14ac:dyDescent="0.25">
      <c r="A924" s="11" t="s">
        <v>1864</v>
      </c>
      <c r="B924" s="11">
        <v>999409</v>
      </c>
      <c r="C924" s="11" t="s">
        <v>1940</v>
      </c>
      <c r="D924" s="11" t="s">
        <v>496</v>
      </c>
      <c r="E924" s="12">
        <v>9879</v>
      </c>
      <c r="F924" s="13">
        <v>42</v>
      </c>
      <c r="G924" s="12">
        <v>414918</v>
      </c>
      <c r="H924" s="11" t="s">
        <v>371</v>
      </c>
    </row>
    <row r="925" spans="1:8" ht="15" customHeight="1" x14ac:dyDescent="0.25">
      <c r="A925" s="11" t="s">
        <v>1864</v>
      </c>
      <c r="B925" s="11">
        <v>999410</v>
      </c>
      <c r="C925" s="11" t="s">
        <v>1941</v>
      </c>
      <c r="D925" s="11" t="s">
        <v>496</v>
      </c>
      <c r="E925" s="12">
        <v>7234</v>
      </c>
      <c r="F925" s="13">
        <v>54</v>
      </c>
      <c r="G925" s="12">
        <v>390636</v>
      </c>
      <c r="H925" s="11" t="s">
        <v>372</v>
      </c>
    </row>
    <row r="926" spans="1:8" ht="15" customHeight="1" x14ac:dyDescent="0.25">
      <c r="A926" s="11" t="s">
        <v>1864</v>
      </c>
      <c r="B926" s="11">
        <v>999411</v>
      </c>
      <c r="C926" s="11" t="s">
        <v>1942</v>
      </c>
      <c r="D926" s="11" t="s">
        <v>496</v>
      </c>
      <c r="E926" s="12">
        <v>0</v>
      </c>
      <c r="F926" s="13">
        <v>0</v>
      </c>
      <c r="G926" s="12">
        <v>0</v>
      </c>
      <c r="H926" s="11" t="s">
        <v>1943</v>
      </c>
    </row>
    <row r="927" spans="1:8" ht="15" customHeight="1" x14ac:dyDescent="0.25">
      <c r="A927" s="11" t="s">
        <v>1864</v>
      </c>
      <c r="B927" s="11">
        <v>999412</v>
      </c>
      <c r="C927" s="11" t="s">
        <v>1944</v>
      </c>
      <c r="D927" s="11" t="s">
        <v>496</v>
      </c>
      <c r="E927" s="12">
        <v>7663</v>
      </c>
      <c r="F927" s="13">
        <v>0</v>
      </c>
      <c r="G927" s="12">
        <v>0</v>
      </c>
      <c r="H927" s="11" t="s">
        <v>1945</v>
      </c>
    </row>
    <row r="928" spans="1:8" ht="15" customHeight="1" x14ac:dyDescent="0.25">
      <c r="A928" s="11" t="s">
        <v>1864</v>
      </c>
      <c r="B928" s="11">
        <v>999415</v>
      </c>
      <c r="C928" s="11" t="s">
        <v>1946</v>
      </c>
      <c r="D928" s="11" t="s">
        <v>496</v>
      </c>
      <c r="E928" s="12">
        <v>65846</v>
      </c>
      <c r="F928" s="13">
        <v>0</v>
      </c>
      <c r="G928" s="12">
        <v>0</v>
      </c>
      <c r="H928" s="11" t="s">
        <v>1947</v>
      </c>
    </row>
    <row r="929" spans="1:8" ht="15" customHeight="1" x14ac:dyDescent="0.25">
      <c r="A929" s="11" t="s">
        <v>1864</v>
      </c>
      <c r="B929" s="11">
        <v>999416</v>
      </c>
      <c r="C929" s="11" t="s">
        <v>1948</v>
      </c>
      <c r="D929" s="11" t="s">
        <v>496</v>
      </c>
      <c r="E929" s="12">
        <v>65846</v>
      </c>
      <c r="F929" s="13">
        <v>0</v>
      </c>
      <c r="G929" s="12">
        <v>0</v>
      </c>
      <c r="H929" s="11" t="s">
        <v>1949</v>
      </c>
    </row>
    <row r="930" spans="1:8" ht="15" customHeight="1" x14ac:dyDescent="0.25">
      <c r="A930" s="11" t="s">
        <v>1864</v>
      </c>
      <c r="B930" s="11">
        <v>999419</v>
      </c>
      <c r="C930" s="11" t="s">
        <v>1950</v>
      </c>
      <c r="D930" s="11" t="s">
        <v>496</v>
      </c>
      <c r="E930" s="12">
        <v>1726</v>
      </c>
      <c r="F930" s="13">
        <v>41</v>
      </c>
      <c r="G930" s="12">
        <v>70766</v>
      </c>
      <c r="H930" s="11" t="s">
        <v>374</v>
      </c>
    </row>
    <row r="931" spans="1:8" ht="15" customHeight="1" x14ac:dyDescent="0.25">
      <c r="A931" s="11" t="s">
        <v>1864</v>
      </c>
      <c r="B931" s="11">
        <v>999413</v>
      </c>
      <c r="C931" s="11" t="s">
        <v>1951</v>
      </c>
      <c r="D931" s="11" t="s">
        <v>496</v>
      </c>
      <c r="E931" s="12">
        <v>16403</v>
      </c>
      <c r="F931" s="13">
        <v>156</v>
      </c>
      <c r="G931" s="12">
        <v>2558868</v>
      </c>
      <c r="H931" s="11" t="s">
        <v>375</v>
      </c>
    </row>
    <row r="932" spans="1:8" ht="15" customHeight="1" x14ac:dyDescent="0.25">
      <c r="A932" s="11" t="s">
        <v>1864</v>
      </c>
      <c r="B932" s="11">
        <v>999425</v>
      </c>
      <c r="C932" s="11" t="s">
        <v>1952</v>
      </c>
      <c r="D932" s="11" t="s">
        <v>486</v>
      </c>
      <c r="E932" s="12">
        <v>17400</v>
      </c>
      <c r="F932" s="13">
        <v>0</v>
      </c>
      <c r="G932" s="12">
        <v>0</v>
      </c>
      <c r="H932" s="11" t="s">
        <v>43</v>
      </c>
    </row>
    <row r="933" spans="1:8" ht="15" customHeight="1" x14ac:dyDescent="0.25">
      <c r="A933" s="11" t="s">
        <v>1864</v>
      </c>
      <c r="B933" s="11">
        <v>999729</v>
      </c>
      <c r="C933" s="11" t="s">
        <v>1953</v>
      </c>
      <c r="D933" s="11" t="s">
        <v>496</v>
      </c>
      <c r="E933" s="12">
        <v>76108</v>
      </c>
      <c r="F933" s="13">
        <v>7</v>
      </c>
      <c r="G933" s="12">
        <v>532756</v>
      </c>
      <c r="H933" s="11" t="s">
        <v>376</v>
      </c>
    </row>
    <row r="934" spans="1:8" ht="15" customHeight="1" x14ac:dyDescent="0.25">
      <c r="A934" s="11" t="s">
        <v>1864</v>
      </c>
      <c r="B934" s="11">
        <v>999724</v>
      </c>
      <c r="C934" s="11" t="s">
        <v>1954</v>
      </c>
      <c r="D934" s="11" t="s">
        <v>496</v>
      </c>
      <c r="E934" s="12">
        <v>0</v>
      </c>
      <c r="F934" s="13">
        <v>0</v>
      </c>
      <c r="G934" s="12">
        <v>0</v>
      </c>
      <c r="H934" s="11" t="s">
        <v>1955</v>
      </c>
    </row>
    <row r="935" spans="1:8" ht="15" customHeight="1" x14ac:dyDescent="0.25">
      <c r="A935" s="11" t="s">
        <v>1864</v>
      </c>
      <c r="B935" s="11">
        <v>999701</v>
      </c>
      <c r="C935" s="11" t="s">
        <v>1956</v>
      </c>
      <c r="D935" s="11" t="s">
        <v>496</v>
      </c>
      <c r="E935" s="12">
        <v>3824</v>
      </c>
      <c r="F935" s="13">
        <v>0</v>
      </c>
      <c r="G935" s="12">
        <v>0</v>
      </c>
      <c r="H935" s="11" t="s">
        <v>1957</v>
      </c>
    </row>
    <row r="936" spans="1:8" ht="15" customHeight="1" x14ac:dyDescent="0.25">
      <c r="A936" s="11" t="s">
        <v>1864</v>
      </c>
      <c r="B936" s="11">
        <v>999733</v>
      </c>
      <c r="C936" s="11" t="s">
        <v>1958</v>
      </c>
      <c r="D936" s="11" t="s">
        <v>496</v>
      </c>
      <c r="E936" s="12">
        <v>0</v>
      </c>
      <c r="F936" s="13">
        <v>0</v>
      </c>
      <c r="G936" s="12">
        <v>0</v>
      </c>
      <c r="H936" s="11" t="s">
        <v>1959</v>
      </c>
    </row>
    <row r="937" spans="1:8" ht="15" customHeight="1" x14ac:dyDescent="0.25">
      <c r="A937" s="11" t="s">
        <v>1864</v>
      </c>
      <c r="B937" s="11">
        <v>999703</v>
      </c>
      <c r="C937" s="11" t="s">
        <v>1960</v>
      </c>
      <c r="D937" s="11" t="s">
        <v>496</v>
      </c>
      <c r="E937" s="12">
        <v>23347</v>
      </c>
      <c r="F937" s="13">
        <v>120</v>
      </c>
      <c r="G937" s="12">
        <v>2801640</v>
      </c>
      <c r="H937" s="11" t="s">
        <v>377</v>
      </c>
    </row>
    <row r="938" spans="1:8" ht="15" customHeight="1" x14ac:dyDescent="0.25">
      <c r="A938" s="11" t="s">
        <v>1864</v>
      </c>
      <c r="B938" s="11">
        <v>999741</v>
      </c>
      <c r="C938" s="11" t="s">
        <v>1961</v>
      </c>
      <c r="D938" s="11" t="s">
        <v>496</v>
      </c>
      <c r="E938" s="12">
        <v>23761</v>
      </c>
      <c r="F938" s="13">
        <v>0</v>
      </c>
      <c r="G938" s="12">
        <v>0</v>
      </c>
      <c r="H938" s="11" t="s">
        <v>1962</v>
      </c>
    </row>
    <row r="939" spans="1:8" ht="15" customHeight="1" x14ac:dyDescent="0.25">
      <c r="A939" s="11" t="s">
        <v>1864</v>
      </c>
      <c r="B939" s="11">
        <v>999739</v>
      </c>
      <c r="C939" s="11" t="s">
        <v>1963</v>
      </c>
      <c r="D939" s="11" t="s">
        <v>496</v>
      </c>
      <c r="E939" s="12">
        <v>86396</v>
      </c>
      <c r="F939" s="13">
        <v>0</v>
      </c>
      <c r="G939" s="12">
        <v>0</v>
      </c>
      <c r="H939" s="11" t="s">
        <v>1964</v>
      </c>
    </row>
    <row r="940" spans="1:8" ht="15" customHeight="1" x14ac:dyDescent="0.25">
      <c r="A940" s="11" t="s">
        <v>1864</v>
      </c>
      <c r="B940" s="11">
        <v>999704</v>
      </c>
      <c r="C940" s="11" t="s">
        <v>1965</v>
      </c>
      <c r="D940" s="11" t="s">
        <v>496</v>
      </c>
      <c r="E940" s="12">
        <v>35508</v>
      </c>
      <c r="F940" s="13">
        <v>88</v>
      </c>
      <c r="G940" s="12">
        <v>3124704</v>
      </c>
      <c r="H940" s="11" t="s">
        <v>378</v>
      </c>
    </row>
    <row r="941" spans="1:8" ht="15" customHeight="1" x14ac:dyDescent="0.25">
      <c r="A941" s="11" t="s">
        <v>1864</v>
      </c>
      <c r="B941" s="11">
        <v>999740</v>
      </c>
      <c r="C941" s="11" t="s">
        <v>1966</v>
      </c>
      <c r="D941" s="11" t="s">
        <v>496</v>
      </c>
      <c r="E941" s="12">
        <v>19229</v>
      </c>
      <c r="F941" s="13">
        <v>0</v>
      </c>
      <c r="G941" s="12">
        <v>0</v>
      </c>
      <c r="H941" s="11" t="s">
        <v>1967</v>
      </c>
    </row>
    <row r="942" spans="1:8" ht="15" customHeight="1" x14ac:dyDescent="0.25">
      <c r="A942" s="11" t="s">
        <v>1864</v>
      </c>
      <c r="B942" s="11">
        <v>999705</v>
      </c>
      <c r="C942" s="11" t="s">
        <v>1968</v>
      </c>
      <c r="D942" s="11" t="s">
        <v>496</v>
      </c>
      <c r="E942" s="12">
        <v>66695</v>
      </c>
      <c r="F942" s="13">
        <v>0</v>
      </c>
      <c r="G942" s="12">
        <v>0</v>
      </c>
      <c r="H942" s="11" t="s">
        <v>1969</v>
      </c>
    </row>
    <row r="943" spans="1:8" ht="15" customHeight="1" x14ac:dyDescent="0.25">
      <c r="A943" s="11" t="s">
        <v>1864</v>
      </c>
      <c r="B943" s="11">
        <v>999731</v>
      </c>
      <c r="C943" s="11" t="s">
        <v>1970</v>
      </c>
      <c r="D943" s="11" t="s">
        <v>496</v>
      </c>
      <c r="E943" s="12">
        <v>127302</v>
      </c>
      <c r="F943" s="13">
        <v>4</v>
      </c>
      <c r="G943" s="12">
        <v>509208</v>
      </c>
      <c r="H943" s="11" t="s">
        <v>379</v>
      </c>
    </row>
    <row r="944" spans="1:8" ht="15" customHeight="1" x14ac:dyDescent="0.25">
      <c r="A944" s="11" t="s">
        <v>1864</v>
      </c>
      <c r="B944" s="11">
        <v>999728</v>
      </c>
      <c r="C944" s="11" t="s">
        <v>1971</v>
      </c>
      <c r="D944" s="11" t="s">
        <v>496</v>
      </c>
      <c r="E944" s="12">
        <v>34998</v>
      </c>
      <c r="F944" s="13">
        <v>0</v>
      </c>
      <c r="G944" s="12">
        <v>0</v>
      </c>
      <c r="H944" s="11" t="s">
        <v>1972</v>
      </c>
    </row>
    <row r="945" spans="1:8" ht="15" customHeight="1" x14ac:dyDescent="0.25">
      <c r="A945" s="11" t="s">
        <v>1864</v>
      </c>
      <c r="B945" s="11">
        <v>999723</v>
      </c>
      <c r="C945" s="11" t="s">
        <v>1973</v>
      </c>
      <c r="D945" s="11" t="s">
        <v>496</v>
      </c>
      <c r="E945" s="12">
        <v>0</v>
      </c>
      <c r="F945" s="13">
        <v>0</v>
      </c>
      <c r="G945" s="12">
        <v>0</v>
      </c>
      <c r="H945" s="11" t="s">
        <v>1974</v>
      </c>
    </row>
    <row r="946" spans="1:8" ht="15" customHeight="1" x14ac:dyDescent="0.25">
      <c r="A946" s="11" t="s">
        <v>1864</v>
      </c>
      <c r="B946" s="11">
        <v>999706</v>
      </c>
      <c r="C946" s="11" t="s">
        <v>1975</v>
      </c>
      <c r="D946" s="11" t="s">
        <v>496</v>
      </c>
      <c r="E946" s="12">
        <v>21636</v>
      </c>
      <c r="F946" s="13">
        <v>5</v>
      </c>
      <c r="G946" s="12">
        <v>108180</v>
      </c>
      <c r="H946" s="11" t="s">
        <v>380</v>
      </c>
    </row>
    <row r="947" spans="1:8" ht="15" customHeight="1" x14ac:dyDescent="0.25">
      <c r="A947" s="11" t="s">
        <v>1864</v>
      </c>
      <c r="B947" s="11">
        <v>999719</v>
      </c>
      <c r="C947" s="11" t="s">
        <v>1976</v>
      </c>
      <c r="D947" s="11" t="s">
        <v>499</v>
      </c>
      <c r="E947" s="12">
        <v>0</v>
      </c>
      <c r="F947" s="13">
        <v>0</v>
      </c>
      <c r="G947" s="12">
        <v>0</v>
      </c>
      <c r="H947" s="11" t="s">
        <v>1977</v>
      </c>
    </row>
    <row r="948" spans="1:8" ht="15" customHeight="1" x14ac:dyDescent="0.25">
      <c r="A948" s="11" t="s">
        <v>1864</v>
      </c>
      <c r="B948" s="11">
        <v>999738</v>
      </c>
      <c r="C948" s="11" t="s">
        <v>1978</v>
      </c>
      <c r="D948" s="11" t="s">
        <v>496</v>
      </c>
      <c r="E948" s="12">
        <v>0</v>
      </c>
      <c r="F948" s="13">
        <v>0</v>
      </c>
      <c r="G948" s="12">
        <v>0</v>
      </c>
      <c r="H948" s="11" t="s">
        <v>1979</v>
      </c>
    </row>
    <row r="949" spans="1:8" ht="15" customHeight="1" x14ac:dyDescent="0.25">
      <c r="A949" s="11" t="s">
        <v>1864</v>
      </c>
      <c r="B949" s="11">
        <v>999737</v>
      </c>
      <c r="C949" s="11" t="s">
        <v>1980</v>
      </c>
      <c r="D949" s="11" t="s">
        <v>496</v>
      </c>
      <c r="E949" s="12">
        <v>0</v>
      </c>
      <c r="F949" s="13">
        <v>0</v>
      </c>
      <c r="G949" s="12">
        <v>0</v>
      </c>
      <c r="H949" s="11" t="s">
        <v>1981</v>
      </c>
    </row>
    <row r="950" spans="1:8" ht="15" customHeight="1" x14ac:dyDescent="0.25">
      <c r="A950" s="11" t="s">
        <v>1864</v>
      </c>
      <c r="B950" s="11">
        <v>999736</v>
      </c>
      <c r="C950" s="11" t="s">
        <v>1982</v>
      </c>
      <c r="D950" s="11" t="s">
        <v>496</v>
      </c>
      <c r="E950" s="12">
        <v>0</v>
      </c>
      <c r="F950" s="13">
        <v>0</v>
      </c>
      <c r="G950" s="12">
        <v>0</v>
      </c>
      <c r="H950" s="11" t="s">
        <v>1983</v>
      </c>
    </row>
    <row r="951" spans="1:8" ht="15" customHeight="1" x14ac:dyDescent="0.25">
      <c r="A951" s="11" t="s">
        <v>1864</v>
      </c>
      <c r="B951" s="11">
        <v>999735</v>
      </c>
      <c r="C951" s="11" t="s">
        <v>1984</v>
      </c>
      <c r="D951" s="11" t="s">
        <v>496</v>
      </c>
      <c r="E951" s="12">
        <v>0</v>
      </c>
      <c r="F951" s="13">
        <v>0</v>
      </c>
      <c r="G951" s="12">
        <v>0</v>
      </c>
      <c r="H951" s="11" t="s">
        <v>1985</v>
      </c>
    </row>
    <row r="952" spans="1:8" ht="15" customHeight="1" x14ac:dyDescent="0.25">
      <c r="A952" s="11" t="s">
        <v>1864</v>
      </c>
      <c r="B952" s="11">
        <v>999707</v>
      </c>
      <c r="C952" s="11" t="s">
        <v>1986</v>
      </c>
      <c r="D952" s="11" t="s">
        <v>496</v>
      </c>
      <c r="E952" s="12">
        <v>72625</v>
      </c>
      <c r="F952" s="13">
        <v>12</v>
      </c>
      <c r="G952" s="12">
        <v>871500</v>
      </c>
      <c r="H952" s="11" t="s">
        <v>382</v>
      </c>
    </row>
    <row r="953" spans="1:8" ht="15" customHeight="1" x14ac:dyDescent="0.25">
      <c r="A953" s="11" t="s">
        <v>1864</v>
      </c>
      <c r="B953" s="11">
        <v>999708</v>
      </c>
      <c r="C953" s="11" t="s">
        <v>1987</v>
      </c>
      <c r="D953" s="11" t="s">
        <v>496</v>
      </c>
      <c r="E953" s="12">
        <v>19611</v>
      </c>
      <c r="F953" s="13">
        <v>136</v>
      </c>
      <c r="G953" s="12">
        <v>2667096</v>
      </c>
      <c r="H953" s="11" t="s">
        <v>383</v>
      </c>
    </row>
    <row r="954" spans="1:8" ht="15" customHeight="1" x14ac:dyDescent="0.25">
      <c r="A954" s="11" t="s">
        <v>1864</v>
      </c>
      <c r="B954" s="11">
        <v>999709</v>
      </c>
      <c r="C954" s="11" t="s">
        <v>1988</v>
      </c>
      <c r="D954" s="11" t="s">
        <v>496</v>
      </c>
      <c r="E954" s="12">
        <v>13600</v>
      </c>
      <c r="F954" s="13">
        <v>4</v>
      </c>
      <c r="G954" s="12">
        <v>54400</v>
      </c>
      <c r="H954" s="11" t="s">
        <v>384</v>
      </c>
    </row>
    <row r="955" spans="1:8" ht="15" customHeight="1" x14ac:dyDescent="0.25">
      <c r="A955" s="11" t="s">
        <v>1864</v>
      </c>
      <c r="B955" s="11">
        <v>999722</v>
      </c>
      <c r="C955" s="11" t="s">
        <v>1989</v>
      </c>
      <c r="D955" s="11" t="s">
        <v>499</v>
      </c>
      <c r="E955" s="12">
        <v>107922</v>
      </c>
      <c r="F955" s="13">
        <v>6</v>
      </c>
      <c r="G955" s="12">
        <v>647532</v>
      </c>
      <c r="H955" s="11" t="s">
        <v>385</v>
      </c>
    </row>
    <row r="956" spans="1:8" ht="15" customHeight="1" x14ac:dyDescent="0.25">
      <c r="A956" s="11" t="s">
        <v>1864</v>
      </c>
      <c r="B956" s="11">
        <v>999720</v>
      </c>
      <c r="C956" s="11" t="s">
        <v>1990</v>
      </c>
      <c r="D956" s="11" t="s">
        <v>499</v>
      </c>
      <c r="E956" s="12">
        <v>3772</v>
      </c>
      <c r="F956" s="13">
        <v>0</v>
      </c>
      <c r="G956" s="12">
        <v>0</v>
      </c>
      <c r="H956" s="11" t="s">
        <v>1991</v>
      </c>
    </row>
    <row r="957" spans="1:8" ht="15" customHeight="1" x14ac:dyDescent="0.25">
      <c r="A957" s="11" t="s">
        <v>1864</v>
      </c>
      <c r="B957" s="11">
        <v>999710</v>
      </c>
      <c r="C957" s="11" t="s">
        <v>1992</v>
      </c>
      <c r="D957" s="11" t="s">
        <v>496</v>
      </c>
      <c r="E957" s="12">
        <v>0</v>
      </c>
      <c r="F957" s="13">
        <v>0</v>
      </c>
      <c r="G957" s="12">
        <v>0</v>
      </c>
      <c r="H957" s="11" t="s">
        <v>1993</v>
      </c>
    </row>
    <row r="958" spans="1:8" ht="15" customHeight="1" x14ac:dyDescent="0.25">
      <c r="A958" s="11" t="s">
        <v>1864</v>
      </c>
      <c r="B958" s="11">
        <v>999725</v>
      </c>
      <c r="C958" s="11" t="s">
        <v>1994</v>
      </c>
      <c r="D958" s="11" t="s">
        <v>496</v>
      </c>
      <c r="E958" s="12">
        <v>0</v>
      </c>
      <c r="F958" s="13">
        <v>0</v>
      </c>
      <c r="G958" s="12">
        <v>0</v>
      </c>
      <c r="H958" s="11" t="s">
        <v>1995</v>
      </c>
    </row>
    <row r="959" spans="1:8" ht="15" customHeight="1" x14ac:dyDescent="0.25">
      <c r="A959" s="11" t="s">
        <v>1864</v>
      </c>
      <c r="B959" s="11">
        <v>999716</v>
      </c>
      <c r="C959" s="11" t="s">
        <v>1996</v>
      </c>
      <c r="D959" s="11" t="s">
        <v>496</v>
      </c>
      <c r="E959" s="12">
        <v>22286</v>
      </c>
      <c r="F959" s="13">
        <v>2</v>
      </c>
      <c r="G959" s="12">
        <v>44572</v>
      </c>
      <c r="H959" s="11" t="s">
        <v>386</v>
      </c>
    </row>
    <row r="960" spans="1:8" ht="15" customHeight="1" x14ac:dyDescent="0.25">
      <c r="A960" s="11" t="s">
        <v>1864</v>
      </c>
      <c r="B960" s="11">
        <v>999727</v>
      </c>
      <c r="C960" s="11" t="s">
        <v>1997</v>
      </c>
      <c r="D960" s="11" t="s">
        <v>496</v>
      </c>
      <c r="E960" s="12">
        <v>0</v>
      </c>
      <c r="F960" s="13">
        <v>0</v>
      </c>
      <c r="G960" s="12">
        <v>0</v>
      </c>
      <c r="H960" s="11" t="s">
        <v>1998</v>
      </c>
    </row>
    <row r="961" spans="1:8" ht="15" customHeight="1" x14ac:dyDescent="0.25">
      <c r="A961" s="11" t="s">
        <v>1864</v>
      </c>
      <c r="B961" s="11">
        <v>999726</v>
      </c>
      <c r="C961" s="11" t="s">
        <v>1999</v>
      </c>
      <c r="D961" s="11" t="s">
        <v>496</v>
      </c>
      <c r="E961" s="12">
        <v>0</v>
      </c>
      <c r="F961" s="13">
        <v>0</v>
      </c>
      <c r="G961" s="12">
        <v>0</v>
      </c>
      <c r="H961" s="11" t="s">
        <v>2000</v>
      </c>
    </row>
    <row r="962" spans="1:8" ht="15" customHeight="1" x14ac:dyDescent="0.25">
      <c r="A962" s="11" t="s">
        <v>1864</v>
      </c>
      <c r="B962" s="11">
        <v>999711</v>
      </c>
      <c r="C962" s="11" t="s">
        <v>2001</v>
      </c>
      <c r="D962" s="11" t="s">
        <v>496</v>
      </c>
      <c r="E962" s="12">
        <v>44672</v>
      </c>
      <c r="F962" s="13">
        <v>42</v>
      </c>
      <c r="G962" s="12">
        <v>1876224</v>
      </c>
      <c r="H962" s="11" t="s">
        <v>387</v>
      </c>
    </row>
    <row r="963" spans="1:8" ht="15" customHeight="1" x14ac:dyDescent="0.25">
      <c r="A963" s="11" t="s">
        <v>1864</v>
      </c>
      <c r="B963" s="11">
        <v>999712</v>
      </c>
      <c r="C963" s="11" t="s">
        <v>2002</v>
      </c>
      <c r="D963" s="11" t="s">
        <v>496</v>
      </c>
      <c r="E963" s="12">
        <v>60453</v>
      </c>
      <c r="F963" s="13">
        <v>54</v>
      </c>
      <c r="G963" s="12">
        <v>3264462</v>
      </c>
      <c r="H963" s="11" t="s">
        <v>388</v>
      </c>
    </row>
    <row r="964" spans="1:8" ht="15" customHeight="1" x14ac:dyDescent="0.25">
      <c r="A964" s="11" t="s">
        <v>1864</v>
      </c>
      <c r="B964" s="11">
        <v>999713</v>
      </c>
      <c r="C964" s="11" t="s">
        <v>2003</v>
      </c>
      <c r="D964" s="11" t="s">
        <v>496</v>
      </c>
      <c r="E964" s="12">
        <v>0</v>
      </c>
      <c r="F964" s="13">
        <v>0</v>
      </c>
      <c r="G964" s="12">
        <v>0</v>
      </c>
      <c r="H964" s="11" t="s">
        <v>2004</v>
      </c>
    </row>
    <row r="965" spans="1:8" ht="15" customHeight="1" x14ac:dyDescent="0.25">
      <c r="A965" s="11" t="s">
        <v>1864</v>
      </c>
      <c r="B965" s="11">
        <v>999714</v>
      </c>
      <c r="C965" s="11" t="s">
        <v>2005</v>
      </c>
      <c r="D965" s="11" t="s">
        <v>496</v>
      </c>
      <c r="E965" s="12">
        <v>10357</v>
      </c>
      <c r="F965" s="13">
        <v>0</v>
      </c>
      <c r="G965" s="12">
        <v>0</v>
      </c>
      <c r="H965" s="11" t="s">
        <v>2006</v>
      </c>
    </row>
    <row r="966" spans="1:8" ht="15" customHeight="1" x14ac:dyDescent="0.25">
      <c r="A966" s="11" t="s">
        <v>1864</v>
      </c>
      <c r="B966" s="11">
        <v>999717</v>
      </c>
      <c r="C966" s="11" t="s">
        <v>2007</v>
      </c>
      <c r="D966" s="11" t="s">
        <v>496</v>
      </c>
      <c r="E966" s="12">
        <v>252301</v>
      </c>
      <c r="F966" s="13">
        <v>15</v>
      </c>
      <c r="G966" s="12">
        <v>3784515</v>
      </c>
      <c r="H966" s="11" t="s">
        <v>390</v>
      </c>
    </row>
    <row r="967" spans="1:8" ht="15" customHeight="1" x14ac:dyDescent="0.25">
      <c r="A967" s="11" t="s">
        <v>1864</v>
      </c>
      <c r="B967" s="11">
        <v>999718</v>
      </c>
      <c r="C967" s="11" t="s">
        <v>2008</v>
      </c>
      <c r="D967" s="11" t="s">
        <v>496</v>
      </c>
      <c r="E967" s="12">
        <v>39078</v>
      </c>
      <c r="F967" s="13">
        <v>0</v>
      </c>
      <c r="G967" s="12">
        <v>0</v>
      </c>
      <c r="H967" s="11" t="s">
        <v>2009</v>
      </c>
    </row>
    <row r="968" spans="1:8" ht="15" customHeight="1" x14ac:dyDescent="0.25">
      <c r="A968" s="11" t="s">
        <v>1864</v>
      </c>
      <c r="B968" s="11">
        <v>999721</v>
      </c>
      <c r="C968" s="11" t="s">
        <v>2010</v>
      </c>
      <c r="D968" s="11" t="s">
        <v>499</v>
      </c>
      <c r="E968" s="12">
        <v>16766</v>
      </c>
      <c r="F968" s="13">
        <v>21</v>
      </c>
      <c r="G968" s="12">
        <v>352086</v>
      </c>
      <c r="H968" s="11" t="s">
        <v>391</v>
      </c>
    </row>
    <row r="969" spans="1:8" ht="15" customHeight="1" x14ac:dyDescent="0.25">
      <c r="A969" s="11" t="s">
        <v>1864</v>
      </c>
      <c r="B969" s="11">
        <v>999715</v>
      </c>
      <c r="C969" s="11" t="s">
        <v>2011</v>
      </c>
      <c r="D969" s="11" t="s">
        <v>496</v>
      </c>
      <c r="E969" s="12">
        <v>15766</v>
      </c>
      <c r="F969" s="13">
        <v>156</v>
      </c>
      <c r="G969" s="12">
        <v>2459496</v>
      </c>
      <c r="H969" s="11" t="s">
        <v>392</v>
      </c>
    </row>
    <row r="970" spans="1:8" ht="15" customHeight="1" x14ac:dyDescent="0.25">
      <c r="A970" s="11" t="s">
        <v>1864</v>
      </c>
      <c r="B970" s="11">
        <v>999732</v>
      </c>
      <c r="C970" s="11" t="s">
        <v>2012</v>
      </c>
      <c r="D970" s="11" t="s">
        <v>496</v>
      </c>
      <c r="E970" s="12">
        <v>0</v>
      </c>
      <c r="F970" s="13">
        <v>0</v>
      </c>
      <c r="G970" s="12">
        <v>0</v>
      </c>
      <c r="H970" s="11" t="s">
        <v>2013</v>
      </c>
    </row>
    <row r="971" spans="1:8" ht="15" customHeight="1" x14ac:dyDescent="0.25">
      <c r="A971" s="11" t="s">
        <v>1864</v>
      </c>
      <c r="B971" s="11">
        <v>999730</v>
      </c>
      <c r="C971" s="11" t="s">
        <v>2014</v>
      </c>
      <c r="D971" s="11" t="s">
        <v>496</v>
      </c>
      <c r="E971" s="12">
        <v>0</v>
      </c>
      <c r="F971" s="13">
        <v>0</v>
      </c>
      <c r="G971" s="12">
        <v>0</v>
      </c>
      <c r="H971" s="11" t="s">
        <v>2015</v>
      </c>
    </row>
    <row r="972" spans="1:8" ht="15" customHeight="1" x14ac:dyDescent="0.25">
      <c r="A972" s="11" t="s">
        <v>1864</v>
      </c>
      <c r="B972" s="11">
        <v>999734</v>
      </c>
      <c r="C972" s="11" t="s">
        <v>2016</v>
      </c>
      <c r="D972" s="11" t="s">
        <v>496</v>
      </c>
      <c r="E972" s="12">
        <v>3197</v>
      </c>
      <c r="F972" s="13">
        <v>40</v>
      </c>
      <c r="G972" s="12">
        <v>127880</v>
      </c>
      <c r="H972" s="11" t="s">
        <v>393</v>
      </c>
    </row>
    <row r="973" spans="1:8" ht="15" customHeight="1" x14ac:dyDescent="0.25">
      <c r="A973" s="11" t="s">
        <v>1864</v>
      </c>
      <c r="B973" s="11">
        <v>999620</v>
      </c>
      <c r="C973" s="11" t="s">
        <v>2017</v>
      </c>
      <c r="D973" s="11" t="s">
        <v>496</v>
      </c>
      <c r="E973" s="12">
        <v>1800</v>
      </c>
      <c r="F973" s="13">
        <v>0</v>
      </c>
      <c r="G973" s="12">
        <v>0</v>
      </c>
      <c r="H973" s="11" t="s">
        <v>2018</v>
      </c>
    </row>
    <row r="974" spans="1:8" ht="15" customHeight="1" x14ac:dyDescent="0.25">
      <c r="A974" s="11" t="s">
        <v>1864</v>
      </c>
      <c r="B974" s="11">
        <v>999742</v>
      </c>
      <c r="C974" s="11" t="s">
        <v>2019</v>
      </c>
      <c r="D974" s="11" t="s">
        <v>499</v>
      </c>
      <c r="E974" s="12">
        <v>5030</v>
      </c>
      <c r="F974" s="13">
        <v>0</v>
      </c>
      <c r="G974" s="12">
        <v>0</v>
      </c>
      <c r="H974" s="11" t="s">
        <v>2020</v>
      </c>
    </row>
    <row r="975" spans="1:8" ht="15" customHeight="1" x14ac:dyDescent="0.25">
      <c r="A975" s="11" t="s">
        <v>1864</v>
      </c>
      <c r="B975" s="11">
        <v>999743</v>
      </c>
      <c r="C975" s="11" t="s">
        <v>2021</v>
      </c>
      <c r="D975" s="11" t="s">
        <v>499</v>
      </c>
      <c r="E975" s="12">
        <v>46236</v>
      </c>
      <c r="F975" s="13">
        <v>0</v>
      </c>
      <c r="G975" s="12">
        <v>0</v>
      </c>
      <c r="H975" s="11" t="s">
        <v>2022</v>
      </c>
    </row>
    <row r="976" spans="1:8" ht="15" customHeight="1" x14ac:dyDescent="0.25">
      <c r="A976" s="11" t="s">
        <v>1864</v>
      </c>
      <c r="B976" s="11">
        <v>999428</v>
      </c>
      <c r="C976" s="11" t="s">
        <v>2023</v>
      </c>
      <c r="D976" s="11" t="s">
        <v>496</v>
      </c>
      <c r="E976" s="12">
        <v>5646</v>
      </c>
      <c r="F976" s="13">
        <v>0</v>
      </c>
      <c r="G976" s="12">
        <v>0</v>
      </c>
      <c r="H976" s="11" t="s">
        <v>2024</v>
      </c>
    </row>
    <row r="977" spans="1:8" ht="15" customHeight="1" x14ac:dyDescent="0.25">
      <c r="A977" s="11" t="s">
        <v>1864</v>
      </c>
      <c r="B977" s="11">
        <v>999622</v>
      </c>
      <c r="C977" s="11" t="s">
        <v>2025</v>
      </c>
      <c r="D977" s="11" t="s">
        <v>496</v>
      </c>
      <c r="E977" s="12">
        <v>1148</v>
      </c>
      <c r="F977" s="13">
        <v>0</v>
      </c>
      <c r="G977" s="12">
        <v>0</v>
      </c>
      <c r="H977" s="11" t="s">
        <v>2026</v>
      </c>
    </row>
    <row r="978" spans="1:8" ht="15" customHeight="1" x14ac:dyDescent="0.25">
      <c r="A978" s="11" t="s">
        <v>1864</v>
      </c>
      <c r="B978" s="11">
        <v>999427</v>
      </c>
      <c r="C978" s="11" t="s">
        <v>2027</v>
      </c>
      <c r="D978" s="11" t="s">
        <v>499</v>
      </c>
      <c r="E978" s="12">
        <v>27.234999999999999</v>
      </c>
      <c r="F978" s="13">
        <v>0</v>
      </c>
      <c r="G978" s="12">
        <v>0</v>
      </c>
      <c r="H978" s="11" t="s">
        <v>2028</v>
      </c>
    </row>
    <row r="979" spans="1:8" ht="15" customHeight="1" x14ac:dyDescent="0.25">
      <c r="A979" s="11" t="s">
        <v>1864</v>
      </c>
      <c r="B979" s="11">
        <v>999621</v>
      </c>
      <c r="C979" s="11" t="s">
        <v>2029</v>
      </c>
      <c r="D979" s="11" t="s">
        <v>499</v>
      </c>
      <c r="E979" s="12">
        <v>0</v>
      </c>
      <c r="F979" s="13">
        <v>0</v>
      </c>
      <c r="G979" s="12">
        <v>0</v>
      </c>
      <c r="H979" s="11" t="s">
        <v>2030</v>
      </c>
    </row>
    <row r="980" spans="1:8" ht="15" customHeight="1" x14ac:dyDescent="0.25">
      <c r="A980" s="11" t="s">
        <v>1864</v>
      </c>
      <c r="B980" s="11">
        <v>900106</v>
      </c>
      <c r="C980" s="11" t="s">
        <v>2031</v>
      </c>
      <c r="D980" s="11" t="s">
        <v>496</v>
      </c>
      <c r="E980" s="12">
        <v>950</v>
      </c>
      <c r="F980" s="13">
        <v>0</v>
      </c>
      <c r="G980" s="12">
        <v>0</v>
      </c>
      <c r="H980" s="11" t="s">
        <v>2032</v>
      </c>
    </row>
    <row r="981" spans="1:8" ht="15" customHeight="1" x14ac:dyDescent="0.25">
      <c r="A981" s="11" t="s">
        <v>1864</v>
      </c>
      <c r="B981" s="11">
        <v>999623</v>
      </c>
      <c r="C981" s="11" t="s">
        <v>2033</v>
      </c>
      <c r="D981" s="11" t="s">
        <v>496</v>
      </c>
      <c r="E981" s="12">
        <v>4417</v>
      </c>
      <c r="F981" s="13">
        <v>0</v>
      </c>
      <c r="G981" s="12">
        <v>0</v>
      </c>
      <c r="H981" s="11" t="s">
        <v>2034</v>
      </c>
    </row>
    <row r="982" spans="1:8" ht="15" customHeight="1" x14ac:dyDescent="0.25">
      <c r="A982" s="11" t="s">
        <v>1864</v>
      </c>
      <c r="B982" s="11">
        <v>999744</v>
      </c>
      <c r="C982" s="11" t="s">
        <v>2035</v>
      </c>
      <c r="D982" s="11" t="s">
        <v>496</v>
      </c>
      <c r="E982" s="12">
        <v>13904</v>
      </c>
      <c r="F982" s="13">
        <v>0</v>
      </c>
      <c r="G982" s="12">
        <v>0</v>
      </c>
      <c r="H982" s="11" t="s">
        <v>2036</v>
      </c>
    </row>
    <row r="983" spans="1:8" ht="15" customHeight="1" x14ac:dyDescent="0.25">
      <c r="A983" s="11" t="s">
        <v>1864</v>
      </c>
      <c r="B983" s="11">
        <v>999429</v>
      </c>
      <c r="C983" s="11" t="s">
        <v>2037</v>
      </c>
      <c r="D983" s="11" t="s">
        <v>496</v>
      </c>
      <c r="E983" s="12">
        <v>14659</v>
      </c>
      <c r="F983" s="13">
        <v>0</v>
      </c>
      <c r="G983" s="12">
        <v>0</v>
      </c>
      <c r="H983" s="11" t="s">
        <v>2038</v>
      </c>
    </row>
    <row r="984" spans="1:8" ht="15" customHeight="1" x14ac:dyDescent="0.25">
      <c r="A984" s="11" t="s">
        <v>1864</v>
      </c>
      <c r="B984" s="11">
        <v>999430</v>
      </c>
      <c r="C984" s="11" t="s">
        <v>2039</v>
      </c>
      <c r="D984" s="11" t="s">
        <v>496</v>
      </c>
      <c r="E984" s="12">
        <v>8179</v>
      </c>
      <c r="F984" s="13">
        <v>0</v>
      </c>
      <c r="G984" s="12">
        <v>0</v>
      </c>
      <c r="H984" s="11" t="s">
        <v>2040</v>
      </c>
    </row>
    <row r="985" spans="1:8" ht="15" customHeight="1" x14ac:dyDescent="0.25">
      <c r="A985" s="11" t="s">
        <v>1864</v>
      </c>
      <c r="B985" s="11">
        <v>999746</v>
      </c>
      <c r="C985" s="11" t="s">
        <v>2041</v>
      </c>
      <c r="D985" s="11" t="s">
        <v>496</v>
      </c>
      <c r="E985" s="12">
        <v>15976</v>
      </c>
      <c r="F985" s="13">
        <v>0</v>
      </c>
      <c r="G985" s="12">
        <v>0</v>
      </c>
      <c r="H985" s="11" t="s">
        <v>2042</v>
      </c>
    </row>
    <row r="986" spans="1:8" ht="15" customHeight="1" x14ac:dyDescent="0.25">
      <c r="A986" s="11" t="s">
        <v>1864</v>
      </c>
      <c r="B986" s="11">
        <v>999747</v>
      </c>
      <c r="C986" s="11" t="s">
        <v>2043</v>
      </c>
      <c r="D986" s="11" t="s">
        <v>496</v>
      </c>
      <c r="E986" s="12">
        <v>43026</v>
      </c>
      <c r="F986" s="13">
        <v>0</v>
      </c>
      <c r="G986" s="12">
        <v>0</v>
      </c>
      <c r="H986" s="11" t="s">
        <v>2044</v>
      </c>
    </row>
    <row r="987" spans="1:8" ht="15" customHeight="1" x14ac:dyDescent="0.25">
      <c r="A987" s="11" t="s">
        <v>1864</v>
      </c>
      <c r="B987" s="11">
        <v>999748</v>
      </c>
      <c r="C987" s="11" t="s">
        <v>2045</v>
      </c>
      <c r="D987" s="11" t="s">
        <v>496</v>
      </c>
      <c r="E987" s="12">
        <v>9392</v>
      </c>
      <c r="F987" s="13">
        <v>0</v>
      </c>
      <c r="G987" s="12">
        <v>0</v>
      </c>
      <c r="H987" s="11" t="s">
        <v>2046</v>
      </c>
    </row>
    <row r="988" spans="1:8" ht="15" customHeight="1" x14ac:dyDescent="0.25">
      <c r="A988" s="11" t="s">
        <v>1864</v>
      </c>
      <c r="B988" s="11">
        <v>999749</v>
      </c>
      <c r="C988" s="11" t="s">
        <v>2047</v>
      </c>
      <c r="D988" s="11" t="s">
        <v>496</v>
      </c>
      <c r="E988" s="12">
        <v>7190</v>
      </c>
      <c r="F988" s="13">
        <v>0</v>
      </c>
      <c r="G988" s="12">
        <v>0</v>
      </c>
      <c r="H988" s="11" t="s">
        <v>2048</v>
      </c>
    </row>
    <row r="989" spans="1:8" ht="15" customHeight="1" x14ac:dyDescent="0.25">
      <c r="A989" s="11" t="s">
        <v>1864</v>
      </c>
      <c r="B989" s="11">
        <v>999431</v>
      </c>
      <c r="C989" s="11" t="s">
        <v>2049</v>
      </c>
      <c r="D989" s="11" t="s">
        <v>496</v>
      </c>
      <c r="E989" s="12">
        <v>8179</v>
      </c>
      <c r="F989" s="13">
        <v>0</v>
      </c>
      <c r="G989" s="12">
        <v>0</v>
      </c>
      <c r="H989" s="11" t="s">
        <v>2050</v>
      </c>
    </row>
    <row r="990" spans="1:8" ht="15" customHeight="1" x14ac:dyDescent="0.25">
      <c r="A990" s="11" t="s">
        <v>1864</v>
      </c>
      <c r="B990" s="11">
        <v>999432</v>
      </c>
      <c r="C990" s="11" t="s">
        <v>2051</v>
      </c>
      <c r="D990" s="11" t="s">
        <v>496</v>
      </c>
      <c r="E990" s="12">
        <v>7823</v>
      </c>
      <c r="F990" s="13">
        <v>0</v>
      </c>
      <c r="G990" s="12">
        <v>0</v>
      </c>
      <c r="H990" s="11" t="s">
        <v>2052</v>
      </c>
    </row>
    <row r="991" spans="1:8" ht="15" customHeight="1" x14ac:dyDescent="0.25">
      <c r="A991" s="11" t="s">
        <v>1864</v>
      </c>
      <c r="B991" s="11">
        <v>999624</v>
      </c>
      <c r="C991" s="11" t="s">
        <v>2053</v>
      </c>
      <c r="D991" s="11" t="s">
        <v>496</v>
      </c>
      <c r="E991" s="12">
        <v>7553</v>
      </c>
      <c r="F991" s="13">
        <v>0</v>
      </c>
      <c r="G991" s="12">
        <v>0</v>
      </c>
      <c r="H991" s="11" t="s">
        <v>2054</v>
      </c>
    </row>
    <row r="992" spans="1:8" ht="15" customHeight="1" x14ac:dyDescent="0.25">
      <c r="A992" s="11" t="s">
        <v>1864</v>
      </c>
      <c r="B992" s="11">
        <v>999625</v>
      </c>
      <c r="C992" s="11" t="s">
        <v>2055</v>
      </c>
      <c r="D992" s="11" t="s">
        <v>496</v>
      </c>
      <c r="E992" s="12">
        <v>4416</v>
      </c>
      <c r="F992" s="13">
        <v>0</v>
      </c>
      <c r="G992" s="12">
        <v>0</v>
      </c>
      <c r="H992" s="11" t="s">
        <v>2056</v>
      </c>
    </row>
    <row r="993" spans="1:8" ht="15" customHeight="1" x14ac:dyDescent="0.25">
      <c r="A993" s="11" t="s">
        <v>1864</v>
      </c>
      <c r="B993" s="11">
        <v>999626</v>
      </c>
      <c r="C993" s="11" t="s">
        <v>2057</v>
      </c>
      <c r="D993" s="11" t="s">
        <v>496</v>
      </c>
      <c r="E993" s="12">
        <v>3479</v>
      </c>
      <c r="F993" s="13">
        <v>0</v>
      </c>
      <c r="G993" s="12">
        <v>0</v>
      </c>
      <c r="H993" s="11" t="s">
        <v>2058</v>
      </c>
    </row>
    <row r="994" spans="1:8" ht="15" customHeight="1" x14ac:dyDescent="0.25">
      <c r="A994" s="11" t="s">
        <v>1864</v>
      </c>
      <c r="B994" s="11">
        <v>999627</v>
      </c>
      <c r="C994" s="11" t="s">
        <v>2059</v>
      </c>
      <c r="D994" s="11" t="s">
        <v>496</v>
      </c>
      <c r="E994" s="12">
        <v>4416</v>
      </c>
      <c r="F994" s="13">
        <v>0</v>
      </c>
      <c r="G994" s="12">
        <v>0</v>
      </c>
      <c r="H994" s="11" t="s">
        <v>2060</v>
      </c>
    </row>
    <row r="995" spans="1:8" ht="15" customHeight="1" x14ac:dyDescent="0.25">
      <c r="A995" s="11" t="s">
        <v>1864</v>
      </c>
      <c r="B995" s="11">
        <v>999106</v>
      </c>
      <c r="C995" s="11" t="s">
        <v>2061</v>
      </c>
      <c r="D995" s="11" t="s">
        <v>496</v>
      </c>
      <c r="E995" s="12">
        <v>1020</v>
      </c>
      <c r="F995" s="13">
        <v>0</v>
      </c>
      <c r="G995" s="12">
        <v>0</v>
      </c>
      <c r="H995" s="11" t="s">
        <v>2062</v>
      </c>
    </row>
    <row r="996" spans="1:8" ht="15" customHeight="1" x14ac:dyDescent="0.25">
      <c r="A996" s="11" t="s">
        <v>1864</v>
      </c>
      <c r="B996" s="11">
        <v>999107</v>
      </c>
      <c r="C996" s="11" t="s">
        <v>2063</v>
      </c>
      <c r="D996" s="11" t="s">
        <v>496</v>
      </c>
      <c r="E996" s="12">
        <v>172</v>
      </c>
      <c r="F996" s="13">
        <v>0</v>
      </c>
      <c r="G996" s="12">
        <v>0</v>
      </c>
      <c r="H996" s="11" t="s">
        <v>2064</v>
      </c>
    </row>
    <row r="997" spans="1:8" ht="15" customHeight="1" x14ac:dyDescent="0.25">
      <c r="A997" s="11" t="s">
        <v>1864</v>
      </c>
      <c r="B997" s="11">
        <v>999108</v>
      </c>
      <c r="C997" s="11" t="s">
        <v>2065</v>
      </c>
      <c r="D997" s="11" t="s">
        <v>496</v>
      </c>
      <c r="E997" s="12">
        <v>594</v>
      </c>
      <c r="F997" s="13">
        <v>0</v>
      </c>
      <c r="G997" s="12">
        <v>0</v>
      </c>
      <c r="H997" s="11" t="s">
        <v>2066</v>
      </c>
    </row>
    <row r="998" spans="1:8" ht="15" customHeight="1" x14ac:dyDescent="0.25">
      <c r="A998" s="11" t="s">
        <v>1864</v>
      </c>
      <c r="B998" s="11">
        <v>999109</v>
      </c>
      <c r="C998" s="11" t="s">
        <v>2067</v>
      </c>
      <c r="D998" s="11" t="s">
        <v>496</v>
      </c>
      <c r="E998" s="12">
        <v>512</v>
      </c>
      <c r="F998" s="13">
        <v>0</v>
      </c>
      <c r="G998" s="12">
        <v>0</v>
      </c>
      <c r="H998" s="11" t="s">
        <v>2068</v>
      </c>
    </row>
    <row r="999" spans="1:8" ht="15" customHeight="1" x14ac:dyDescent="0.25">
      <c r="A999" s="11" t="s">
        <v>1864</v>
      </c>
      <c r="B999" s="11">
        <v>130111</v>
      </c>
      <c r="C999" s="11" t="s">
        <v>2069</v>
      </c>
      <c r="D999" s="11" t="s">
        <v>486</v>
      </c>
      <c r="E999" s="12">
        <v>10800</v>
      </c>
      <c r="F999" s="13">
        <v>0</v>
      </c>
      <c r="G999" s="12">
        <v>0</v>
      </c>
      <c r="H999" s="11" t="s">
        <v>2070</v>
      </c>
    </row>
    <row r="1000" spans="1:8" ht="15" customHeight="1" x14ac:dyDescent="0.25">
      <c r="A1000" s="11" t="s">
        <v>1864</v>
      </c>
      <c r="B1000" s="11">
        <v>100311</v>
      </c>
      <c r="C1000" s="11" t="s">
        <v>2071</v>
      </c>
      <c r="D1000" s="11" t="s">
        <v>486</v>
      </c>
      <c r="E1000" s="12">
        <v>195138</v>
      </c>
      <c r="F1000" s="13">
        <v>0</v>
      </c>
      <c r="G1000" s="12">
        <v>0</v>
      </c>
      <c r="H1000" s="11" t="s">
        <v>2072</v>
      </c>
    </row>
    <row r="1001" spans="1:8" ht="15" customHeight="1" x14ac:dyDescent="0.25">
      <c r="A1001" s="11" t="s">
        <v>1864</v>
      </c>
      <c r="B1001" s="11">
        <v>999502</v>
      </c>
      <c r="C1001" s="11" t="s">
        <v>2073</v>
      </c>
      <c r="D1001" s="11" t="s">
        <v>496</v>
      </c>
      <c r="E1001" s="12">
        <v>0</v>
      </c>
      <c r="F1001" s="13">
        <v>0</v>
      </c>
      <c r="G1001" s="12">
        <v>0</v>
      </c>
      <c r="H1001" s="11" t="s">
        <v>2074</v>
      </c>
    </row>
    <row r="1002" spans="1:8" ht="15" customHeight="1" x14ac:dyDescent="0.25">
      <c r="A1002" s="11" t="s">
        <v>1864</v>
      </c>
      <c r="B1002" s="11">
        <v>999745</v>
      </c>
      <c r="C1002" s="11" t="s">
        <v>2075</v>
      </c>
      <c r="D1002" s="11" t="s">
        <v>499</v>
      </c>
      <c r="E1002" s="12">
        <v>27778</v>
      </c>
      <c r="F1002" s="13">
        <v>129</v>
      </c>
      <c r="G1002" s="12">
        <v>3583362</v>
      </c>
      <c r="H1002" s="11" t="s">
        <v>389</v>
      </c>
    </row>
    <row r="1003" spans="1:8" ht="15" customHeight="1" x14ac:dyDescent="0.25">
      <c r="A1003" s="11" t="s">
        <v>1864</v>
      </c>
      <c r="B1003" s="11">
        <v>999433</v>
      </c>
      <c r="C1003" s="11" t="s">
        <v>2076</v>
      </c>
      <c r="D1003" s="11" t="s">
        <v>496</v>
      </c>
      <c r="E1003" s="12">
        <v>5096</v>
      </c>
      <c r="F1003" s="13">
        <v>129</v>
      </c>
      <c r="G1003" s="12">
        <v>657384</v>
      </c>
      <c r="H1003" s="11" t="s">
        <v>373</v>
      </c>
    </row>
    <row r="1004" spans="1:8" ht="15" customHeight="1" x14ac:dyDescent="0.25">
      <c r="A1004" s="11" t="s">
        <v>1864</v>
      </c>
      <c r="B1004" s="11">
        <v>130326</v>
      </c>
      <c r="C1004" s="11" t="s">
        <v>2077</v>
      </c>
      <c r="D1004" s="11" t="s">
        <v>486</v>
      </c>
      <c r="E1004" s="12">
        <v>8880</v>
      </c>
      <c r="F1004" s="13">
        <v>0</v>
      </c>
      <c r="G1004" s="12">
        <v>0</v>
      </c>
      <c r="H1004" s="11" t="s">
        <v>2078</v>
      </c>
    </row>
    <row r="1005" spans="1:8" ht="15" customHeight="1" x14ac:dyDescent="0.25">
      <c r="A1005" s="11" t="s">
        <v>1864</v>
      </c>
      <c r="B1005" s="11">
        <v>999434</v>
      </c>
      <c r="C1005" s="11" t="s">
        <v>2079</v>
      </c>
      <c r="D1005" s="11" t="s">
        <v>496</v>
      </c>
      <c r="E1005" s="12">
        <v>5646</v>
      </c>
      <c r="F1005" s="13">
        <v>0</v>
      </c>
      <c r="G1005" s="12">
        <v>0</v>
      </c>
      <c r="H1005" s="11" t="s">
        <v>2080</v>
      </c>
    </row>
    <row r="1006" spans="1:8" ht="15" customHeight="1" x14ac:dyDescent="0.25">
      <c r="A1006" s="11" t="s">
        <v>1864</v>
      </c>
      <c r="B1006" s="11">
        <v>999628</v>
      </c>
      <c r="C1006" s="11" t="s">
        <v>2081</v>
      </c>
      <c r="D1006" s="11" t="s">
        <v>496</v>
      </c>
      <c r="E1006" s="12">
        <v>1148</v>
      </c>
      <c r="F1006" s="13">
        <v>0</v>
      </c>
      <c r="G1006" s="12">
        <v>0</v>
      </c>
      <c r="H1006" s="11" t="s">
        <v>2082</v>
      </c>
    </row>
    <row r="1007" spans="1:8" ht="15" customHeight="1" x14ac:dyDescent="0.25">
      <c r="A1007" s="11" t="s">
        <v>1864</v>
      </c>
      <c r="B1007" s="11">
        <v>999110</v>
      </c>
      <c r="C1007" s="11" t="s">
        <v>2083</v>
      </c>
      <c r="D1007" s="11" t="s">
        <v>496</v>
      </c>
      <c r="E1007" s="12">
        <v>340</v>
      </c>
      <c r="F1007" s="13">
        <v>0</v>
      </c>
      <c r="G1007" s="12">
        <v>0</v>
      </c>
      <c r="H1007" s="11" t="s">
        <v>2084</v>
      </c>
    </row>
    <row r="1008" spans="1:8" ht="15" customHeight="1" x14ac:dyDescent="0.25">
      <c r="A1008" s="11" t="s">
        <v>1864</v>
      </c>
      <c r="B1008" s="11">
        <v>130327</v>
      </c>
      <c r="C1008" s="11" t="s">
        <v>2085</v>
      </c>
      <c r="D1008" s="11" t="s">
        <v>486</v>
      </c>
      <c r="E1008" s="12">
        <v>7920</v>
      </c>
      <c r="F1008" s="13">
        <v>0</v>
      </c>
      <c r="G1008" s="12">
        <v>0</v>
      </c>
      <c r="H1008" s="11" t="s">
        <v>2086</v>
      </c>
    </row>
    <row r="1009" spans="1:8" ht="15" customHeight="1" x14ac:dyDescent="0.25">
      <c r="A1009" s="11" t="s">
        <v>1864</v>
      </c>
      <c r="B1009" s="11">
        <v>120115</v>
      </c>
      <c r="C1009" s="11" t="s">
        <v>2087</v>
      </c>
      <c r="D1009" s="11" t="s">
        <v>486</v>
      </c>
      <c r="E1009" s="12">
        <v>28890</v>
      </c>
      <c r="F1009" s="13">
        <v>0</v>
      </c>
      <c r="G1009" s="12">
        <v>0</v>
      </c>
      <c r="H1009" s="11" t="s">
        <v>2088</v>
      </c>
    </row>
    <row r="1010" spans="1:8" ht="15" customHeight="1" x14ac:dyDescent="0.25">
      <c r="A1010" s="11" t="s">
        <v>1864</v>
      </c>
      <c r="B1010" s="11">
        <v>999750</v>
      </c>
      <c r="C1010" s="11" t="s">
        <v>2089</v>
      </c>
      <c r="D1010" s="11" t="s">
        <v>496</v>
      </c>
      <c r="E1010" s="12">
        <v>42721</v>
      </c>
      <c r="F1010" s="13">
        <v>30</v>
      </c>
      <c r="G1010" s="12">
        <v>1281630</v>
      </c>
      <c r="H1010" s="11" t="s">
        <v>381</v>
      </c>
    </row>
    <row r="1011" spans="1:8" ht="15" customHeight="1" x14ac:dyDescent="0.25">
      <c r="A1011" s="11" t="s">
        <v>1864</v>
      </c>
      <c r="B1011" s="11">
        <v>999751</v>
      </c>
      <c r="C1011" s="11" t="s">
        <v>2090</v>
      </c>
      <c r="D1011" s="11" t="s">
        <v>496</v>
      </c>
      <c r="E1011" s="12">
        <v>9774</v>
      </c>
      <c r="F1011" s="13">
        <v>30</v>
      </c>
      <c r="G1011" s="12">
        <v>293220</v>
      </c>
      <c r="H1011" s="11" t="s">
        <v>369</v>
      </c>
    </row>
    <row r="1012" spans="1:8" ht="15" customHeight="1" x14ac:dyDescent="0.25">
      <c r="A1012" s="11" t="s">
        <v>1864</v>
      </c>
      <c r="B1012" s="11">
        <v>200129</v>
      </c>
      <c r="C1012" s="11" t="s">
        <v>2091</v>
      </c>
      <c r="D1012" s="11" t="s">
        <v>496</v>
      </c>
      <c r="E1012" s="12">
        <v>26364</v>
      </c>
      <c r="F1012" s="13">
        <v>0</v>
      </c>
      <c r="G1012" s="12">
        <v>0</v>
      </c>
      <c r="H1012" s="11" t="s">
        <v>2092</v>
      </c>
    </row>
    <row r="1013" spans="1:8" ht="15" customHeight="1" x14ac:dyDescent="0.25">
      <c r="A1013" s="11" t="s">
        <v>1864</v>
      </c>
      <c r="B1013" s="11">
        <v>999753</v>
      </c>
      <c r="C1013" s="11" t="s">
        <v>2093</v>
      </c>
      <c r="D1013" s="11" t="s">
        <v>496</v>
      </c>
      <c r="E1013" s="12">
        <v>9726.14</v>
      </c>
      <c r="F1013" s="13">
        <v>0</v>
      </c>
      <c r="G1013" s="12">
        <v>0</v>
      </c>
      <c r="H1013" s="11" t="s">
        <v>2094</v>
      </c>
    </row>
    <row r="1014" spans="1:8" ht="15" customHeight="1" x14ac:dyDescent="0.25">
      <c r="A1014" s="11" t="s">
        <v>1864</v>
      </c>
      <c r="B1014" s="11">
        <v>999754</v>
      </c>
      <c r="C1014" s="11" t="s">
        <v>2095</v>
      </c>
      <c r="D1014" s="11" t="s">
        <v>496</v>
      </c>
      <c r="E1014" s="12">
        <v>15830.14</v>
      </c>
      <c r="F1014" s="13">
        <v>0</v>
      </c>
      <c r="G1014" s="12">
        <v>0</v>
      </c>
      <c r="H1014" s="11" t="s">
        <v>2096</v>
      </c>
    </row>
    <row r="1015" spans="1:8" ht="15" customHeight="1" x14ac:dyDescent="0.25">
      <c r="A1015" s="11" t="s">
        <v>1864</v>
      </c>
      <c r="B1015" s="11">
        <v>999755</v>
      </c>
      <c r="C1015" s="11" t="s">
        <v>2097</v>
      </c>
      <c r="D1015" s="11" t="s">
        <v>496</v>
      </c>
      <c r="E1015" s="12">
        <v>30790.14</v>
      </c>
      <c r="F1015" s="13">
        <v>0</v>
      </c>
      <c r="G1015" s="12">
        <v>0</v>
      </c>
      <c r="H1015" s="11" t="s">
        <v>2098</v>
      </c>
    </row>
    <row r="1016" spans="1:8" ht="15" customHeight="1" x14ac:dyDescent="0.25">
      <c r="A1016" s="11" t="s">
        <v>1864</v>
      </c>
      <c r="B1016" s="11">
        <v>999756</v>
      </c>
      <c r="C1016" s="11" t="s">
        <v>2099</v>
      </c>
      <c r="D1016" s="11" t="s">
        <v>499</v>
      </c>
      <c r="E1016" s="12">
        <v>19830.14</v>
      </c>
      <c r="F1016" s="13">
        <v>0</v>
      </c>
      <c r="G1016" s="12">
        <v>0</v>
      </c>
      <c r="H1016" s="11" t="s">
        <v>2100</v>
      </c>
    </row>
    <row r="1017" spans="1:8" ht="15" customHeight="1" x14ac:dyDescent="0.25">
      <c r="A1017" s="11" t="s">
        <v>1864</v>
      </c>
      <c r="B1017" s="11">
        <v>140528</v>
      </c>
      <c r="C1017" s="11" t="s">
        <v>2101</v>
      </c>
      <c r="D1017" s="11" t="s">
        <v>486</v>
      </c>
      <c r="E1017" s="12">
        <v>25495</v>
      </c>
      <c r="F1017" s="13">
        <v>19.95</v>
      </c>
      <c r="G1017" s="12">
        <v>508625.25</v>
      </c>
      <c r="H1017" s="11" t="s">
        <v>366</v>
      </c>
    </row>
    <row r="1018" spans="1:8" ht="15" customHeight="1" x14ac:dyDescent="0.25">
      <c r="A1018" s="11" t="s">
        <v>1864</v>
      </c>
      <c r="B1018" s="11">
        <v>140529</v>
      </c>
      <c r="C1018" s="11" t="s">
        <v>2102</v>
      </c>
      <c r="D1018" s="11" t="s">
        <v>486</v>
      </c>
      <c r="E1018" s="12">
        <v>94812.5</v>
      </c>
      <c r="F1018" s="13">
        <v>0</v>
      </c>
      <c r="G1018" s="12">
        <v>0</v>
      </c>
      <c r="H1018" s="11" t="s">
        <v>2103</v>
      </c>
    </row>
    <row r="1019" spans="1:8" ht="15" customHeight="1" x14ac:dyDescent="0.25">
      <c r="A1019" s="11" t="s">
        <v>1864</v>
      </c>
      <c r="B1019" s="11">
        <v>999757</v>
      </c>
      <c r="C1019" s="11" t="s">
        <v>2104</v>
      </c>
      <c r="D1019" s="11" t="s">
        <v>496</v>
      </c>
      <c r="E1019" s="12">
        <v>35818</v>
      </c>
      <c r="F1019" s="13">
        <v>15</v>
      </c>
      <c r="G1019" s="12">
        <v>537270</v>
      </c>
      <c r="H1019" s="11" t="s">
        <v>365</v>
      </c>
    </row>
    <row r="1020" spans="1:8" ht="15" customHeight="1" x14ac:dyDescent="0.25">
      <c r="A1020" s="11" t="s">
        <v>1864</v>
      </c>
      <c r="B1020" s="11">
        <v>999208</v>
      </c>
      <c r="C1020" s="11" t="s">
        <v>2105</v>
      </c>
      <c r="D1020" s="11" t="s">
        <v>496</v>
      </c>
      <c r="E1020" s="12">
        <v>38728.666666666701</v>
      </c>
      <c r="F1020" s="13">
        <v>15</v>
      </c>
      <c r="G1020" s="12">
        <v>580930</v>
      </c>
      <c r="H1020" s="11" t="s">
        <v>175</v>
      </c>
    </row>
    <row r="1021" spans="1:8" ht="15" customHeight="1" x14ac:dyDescent="0.25">
      <c r="A1021" s="11" t="s">
        <v>1864</v>
      </c>
      <c r="B1021" s="11">
        <v>999209</v>
      </c>
      <c r="C1021" s="11" t="s">
        <v>2106</v>
      </c>
      <c r="D1021" s="11" t="s">
        <v>496</v>
      </c>
      <c r="E1021" s="12">
        <v>35856.533333333296</v>
      </c>
      <c r="F1021" s="13">
        <v>0</v>
      </c>
      <c r="G1021" s="12">
        <v>0</v>
      </c>
      <c r="H1021" s="11" t="s">
        <v>2107</v>
      </c>
    </row>
    <row r="1022" spans="1:8" ht="15" customHeight="1" x14ac:dyDescent="0.25">
      <c r="A1022" s="11" t="s">
        <v>1864</v>
      </c>
      <c r="B1022" s="11">
        <v>999210</v>
      </c>
      <c r="C1022" s="11" t="s">
        <v>2108</v>
      </c>
      <c r="D1022" s="11" t="s">
        <v>496</v>
      </c>
      <c r="E1022" s="12">
        <v>375.33333333333297</v>
      </c>
      <c r="F1022" s="13">
        <v>0</v>
      </c>
      <c r="G1022" s="12">
        <v>0</v>
      </c>
      <c r="H1022" s="11" t="s">
        <v>2109</v>
      </c>
    </row>
    <row r="1023" spans="1:8" ht="15" customHeight="1" x14ac:dyDescent="0.25">
      <c r="A1023" s="11" t="s">
        <v>2110</v>
      </c>
      <c r="B1023" s="11">
        <v>200101</v>
      </c>
      <c r="C1023" s="11" t="s">
        <v>2111</v>
      </c>
      <c r="D1023" s="11" t="s">
        <v>2112</v>
      </c>
      <c r="E1023" s="12">
        <v>659100</v>
      </c>
      <c r="F1023" s="13">
        <v>1</v>
      </c>
      <c r="G1023" s="12">
        <v>659100</v>
      </c>
      <c r="H1023" s="11" t="s">
        <v>78</v>
      </c>
    </row>
    <row r="1024" spans="1:8" ht="15" customHeight="1" x14ac:dyDescent="0.25">
      <c r="A1024" s="11" t="s">
        <v>2110</v>
      </c>
      <c r="B1024" s="11">
        <v>130107</v>
      </c>
      <c r="C1024" s="11" t="s">
        <v>2113</v>
      </c>
      <c r="D1024" s="11" t="s">
        <v>2114</v>
      </c>
      <c r="E1024" s="12">
        <v>800000</v>
      </c>
      <c r="F1024" s="13">
        <v>0</v>
      </c>
      <c r="G1024" s="12">
        <v>0</v>
      </c>
      <c r="H1024" s="11" t="s">
        <v>536</v>
      </c>
    </row>
    <row r="1025" spans="1:8" ht="15" customHeight="1" x14ac:dyDescent="0.25">
      <c r="A1025" s="11" t="s">
        <v>2110</v>
      </c>
      <c r="B1025" s="11">
        <v>200102</v>
      </c>
      <c r="C1025" s="11" t="s">
        <v>2115</v>
      </c>
      <c r="D1025" s="11" t="s">
        <v>2112</v>
      </c>
      <c r="E1025" s="12">
        <v>1600000</v>
      </c>
      <c r="F1025" s="13">
        <v>0</v>
      </c>
      <c r="G1025" s="12">
        <v>0</v>
      </c>
      <c r="H1025" s="11" t="s">
        <v>39</v>
      </c>
    </row>
    <row r="1026" spans="1:8" ht="15" customHeight="1" x14ac:dyDescent="0.25">
      <c r="A1026" s="11" t="s">
        <v>2110</v>
      </c>
      <c r="B1026" s="11">
        <v>100307</v>
      </c>
      <c r="C1026" s="11" t="s">
        <v>2116</v>
      </c>
      <c r="D1026" s="11" t="s">
        <v>1912</v>
      </c>
      <c r="E1026" s="12">
        <v>2958150</v>
      </c>
      <c r="F1026" s="13">
        <v>0</v>
      </c>
      <c r="G1026" s="12">
        <v>0</v>
      </c>
      <c r="H1026" s="11" t="s">
        <v>210</v>
      </c>
    </row>
    <row r="1027" spans="1:8" ht="15" customHeight="1" x14ac:dyDescent="0.25">
      <c r="A1027" s="11" t="s">
        <v>2110</v>
      </c>
      <c r="B1027" s="11">
        <v>444101</v>
      </c>
      <c r="C1027" s="11" t="s">
        <v>2117</v>
      </c>
      <c r="D1027" s="11" t="s">
        <v>2118</v>
      </c>
      <c r="E1027" s="12">
        <v>51000</v>
      </c>
      <c r="F1027" s="13">
        <v>0</v>
      </c>
      <c r="G1027" s="12">
        <v>0</v>
      </c>
      <c r="H1027" s="11" t="s">
        <v>223</v>
      </c>
    </row>
    <row r="1028" spans="1:8" ht="15" customHeight="1" x14ac:dyDescent="0.25">
      <c r="A1028" s="11" t="s">
        <v>2110</v>
      </c>
      <c r="B1028" s="11">
        <v>110300</v>
      </c>
      <c r="C1028" s="11" t="s">
        <v>2119</v>
      </c>
      <c r="D1028" s="11" t="s">
        <v>499</v>
      </c>
      <c r="E1028" s="12">
        <v>55000</v>
      </c>
      <c r="F1028" s="13">
        <v>0</v>
      </c>
      <c r="G1028" s="12">
        <v>0</v>
      </c>
      <c r="H1028" s="11" t="s">
        <v>713</v>
      </c>
    </row>
    <row r="1029" spans="1:8" ht="15" customHeight="1" x14ac:dyDescent="0.25">
      <c r="A1029" s="11" t="s">
        <v>2110</v>
      </c>
      <c r="B1029" s="11">
        <v>600104</v>
      </c>
      <c r="C1029" s="11" t="s">
        <v>728</v>
      </c>
      <c r="D1029" s="11" t="s">
        <v>2112</v>
      </c>
      <c r="E1029" s="12">
        <v>845000</v>
      </c>
      <c r="F1029" s="13">
        <v>0</v>
      </c>
      <c r="G1029" s="12">
        <v>0</v>
      </c>
      <c r="H1029" s="11" t="s">
        <v>729</v>
      </c>
    </row>
    <row r="1030" spans="1:8" ht="15" customHeight="1" x14ac:dyDescent="0.25">
      <c r="A1030" s="11" t="s">
        <v>2110</v>
      </c>
      <c r="B1030" s="11">
        <v>444503</v>
      </c>
      <c r="C1030" s="11" t="s">
        <v>2120</v>
      </c>
      <c r="D1030" s="11" t="s">
        <v>2121</v>
      </c>
      <c r="E1030" s="12">
        <v>80000</v>
      </c>
      <c r="F1030" s="13">
        <v>0</v>
      </c>
      <c r="G1030" s="12">
        <v>0</v>
      </c>
      <c r="H1030" s="11" t="s">
        <v>2122</v>
      </c>
    </row>
    <row r="1031" spans="1:8" ht="15" customHeight="1" x14ac:dyDescent="0.25">
      <c r="A1031" s="11" t="s">
        <v>2110</v>
      </c>
      <c r="B1031" s="11">
        <v>444703</v>
      </c>
      <c r="C1031" s="11" t="s">
        <v>2123</v>
      </c>
      <c r="D1031" s="11" t="s">
        <v>1912</v>
      </c>
      <c r="E1031" s="12">
        <v>370000</v>
      </c>
      <c r="F1031" s="13">
        <v>0</v>
      </c>
      <c r="G1031" s="12">
        <v>0</v>
      </c>
      <c r="H1031" s="11" t="s">
        <v>766</v>
      </c>
    </row>
    <row r="1032" spans="1:8" ht="15" customHeight="1" x14ac:dyDescent="0.25">
      <c r="A1032" s="11" t="s">
        <v>2110</v>
      </c>
      <c r="B1032" s="11">
        <v>900102</v>
      </c>
      <c r="C1032" s="11" t="s">
        <v>2124</v>
      </c>
      <c r="D1032" s="11" t="s">
        <v>2118</v>
      </c>
      <c r="E1032" s="12">
        <v>220000</v>
      </c>
      <c r="F1032" s="13">
        <v>0</v>
      </c>
      <c r="G1032" s="12">
        <v>0</v>
      </c>
      <c r="H1032" s="11" t="s">
        <v>258</v>
      </c>
    </row>
    <row r="1033" spans="1:8" ht="15" customHeight="1" x14ac:dyDescent="0.25">
      <c r="A1033" s="11" t="s">
        <v>2110</v>
      </c>
      <c r="B1033" s="11">
        <v>130106</v>
      </c>
      <c r="C1033" s="11" t="s">
        <v>2125</v>
      </c>
      <c r="D1033" s="11" t="s">
        <v>2112</v>
      </c>
      <c r="E1033" s="12">
        <v>375000</v>
      </c>
      <c r="F1033" s="13">
        <v>0</v>
      </c>
      <c r="G1033" s="12">
        <v>0</v>
      </c>
      <c r="H1033" s="11" t="s">
        <v>831</v>
      </c>
    </row>
    <row r="1034" spans="1:8" ht="15" customHeight="1" x14ac:dyDescent="0.25">
      <c r="A1034" s="11" t="s">
        <v>2110</v>
      </c>
      <c r="B1034" s="11">
        <v>800502</v>
      </c>
      <c r="C1034" s="11" t="s">
        <v>2126</v>
      </c>
      <c r="D1034" s="11" t="s">
        <v>1912</v>
      </c>
      <c r="E1034" s="12">
        <v>599049</v>
      </c>
      <c r="F1034" s="13">
        <v>0</v>
      </c>
      <c r="G1034" s="12">
        <v>0</v>
      </c>
      <c r="H1034" s="11" t="s">
        <v>162</v>
      </c>
    </row>
    <row r="1035" spans="1:8" ht="15" customHeight="1" x14ac:dyDescent="0.25">
      <c r="A1035" s="11" t="s">
        <v>2110</v>
      </c>
      <c r="B1035" s="11">
        <v>800506</v>
      </c>
      <c r="C1035" s="11" t="s">
        <v>2127</v>
      </c>
      <c r="D1035" s="11" t="s">
        <v>1912</v>
      </c>
      <c r="E1035" s="12">
        <v>345905</v>
      </c>
      <c r="F1035" s="13">
        <v>0</v>
      </c>
      <c r="G1035" s="12">
        <v>0</v>
      </c>
      <c r="H1035" s="11" t="s">
        <v>394</v>
      </c>
    </row>
    <row r="1036" spans="1:8" ht="15" customHeight="1" x14ac:dyDescent="0.25">
      <c r="A1036" s="11" t="s">
        <v>2110</v>
      </c>
      <c r="B1036" s="11">
        <v>777405</v>
      </c>
      <c r="C1036" s="11" t="s">
        <v>2128</v>
      </c>
      <c r="D1036" s="11" t="s">
        <v>736</v>
      </c>
      <c r="E1036" s="12">
        <v>28700</v>
      </c>
      <c r="F1036" s="13">
        <v>0</v>
      </c>
      <c r="G1036" s="12">
        <v>0</v>
      </c>
      <c r="H1036" s="11" t="s">
        <v>413</v>
      </c>
    </row>
    <row r="1037" spans="1:8" ht="15" customHeight="1" x14ac:dyDescent="0.25">
      <c r="A1037" s="11" t="s">
        <v>2110</v>
      </c>
      <c r="B1037" s="11">
        <v>777406</v>
      </c>
      <c r="C1037" s="11" t="s">
        <v>2129</v>
      </c>
      <c r="D1037" s="11" t="s">
        <v>736</v>
      </c>
      <c r="E1037" s="12">
        <v>28700</v>
      </c>
      <c r="F1037" s="13">
        <v>0</v>
      </c>
      <c r="G1037" s="12">
        <v>0</v>
      </c>
      <c r="H1037" s="11" t="s">
        <v>414</v>
      </c>
    </row>
    <row r="1038" spans="1:8" ht="15" customHeight="1" x14ac:dyDescent="0.25">
      <c r="A1038" s="11" t="s">
        <v>2110</v>
      </c>
      <c r="B1038" s="11">
        <v>777407</v>
      </c>
      <c r="C1038" s="11" t="s">
        <v>2130</v>
      </c>
      <c r="D1038" s="11" t="s">
        <v>736</v>
      </c>
      <c r="E1038" s="12">
        <v>28700</v>
      </c>
      <c r="F1038" s="13">
        <v>0</v>
      </c>
      <c r="G1038" s="12">
        <v>0</v>
      </c>
      <c r="H1038" s="11" t="s">
        <v>415</v>
      </c>
    </row>
    <row r="1039" spans="1:8" ht="15" customHeight="1" x14ac:dyDescent="0.25">
      <c r="A1039" s="11" t="s">
        <v>2110</v>
      </c>
      <c r="B1039" s="11">
        <v>777408</v>
      </c>
      <c r="C1039" s="11" t="s">
        <v>2131</v>
      </c>
      <c r="D1039" s="11" t="s">
        <v>736</v>
      </c>
      <c r="E1039" s="12">
        <v>27500</v>
      </c>
      <c r="F1039" s="13">
        <v>0</v>
      </c>
      <c r="G1039" s="12">
        <v>0</v>
      </c>
      <c r="H1039" s="11" t="s">
        <v>416</v>
      </c>
    </row>
    <row r="1040" spans="1:8" ht="15" customHeight="1" x14ac:dyDescent="0.25">
      <c r="A1040" s="11" t="s">
        <v>2110</v>
      </c>
      <c r="B1040" s="11">
        <v>777409</v>
      </c>
      <c r="C1040" s="11" t="s">
        <v>2132</v>
      </c>
      <c r="D1040" s="11" t="s">
        <v>736</v>
      </c>
      <c r="E1040" s="12">
        <v>25500</v>
      </c>
      <c r="F1040" s="13">
        <v>6</v>
      </c>
      <c r="G1040" s="12">
        <v>153000</v>
      </c>
      <c r="H1040" s="11" t="s">
        <v>101</v>
      </c>
    </row>
    <row r="1041" spans="1:8" ht="15" customHeight="1" x14ac:dyDescent="0.25">
      <c r="A1041" s="11" t="s">
        <v>2110</v>
      </c>
      <c r="B1041" s="11">
        <v>444901</v>
      </c>
      <c r="C1041" s="11" t="s">
        <v>2133</v>
      </c>
      <c r="D1041" s="11" t="s">
        <v>736</v>
      </c>
      <c r="E1041" s="12">
        <v>16000</v>
      </c>
      <c r="F1041" s="13">
        <v>0</v>
      </c>
      <c r="G1041" s="12">
        <v>0</v>
      </c>
      <c r="H1041" s="11" t="s">
        <v>1010</v>
      </c>
    </row>
    <row r="1042" spans="1:8" ht="15" customHeight="1" x14ac:dyDescent="0.25">
      <c r="A1042" s="11" t="s">
        <v>2110</v>
      </c>
      <c r="B1042" s="11">
        <v>200106</v>
      </c>
      <c r="C1042" s="11" t="s">
        <v>2134</v>
      </c>
      <c r="D1042" s="11" t="s">
        <v>1912</v>
      </c>
      <c r="E1042" s="12">
        <v>1700000</v>
      </c>
      <c r="F1042" s="13">
        <v>0</v>
      </c>
      <c r="G1042" s="12">
        <v>0</v>
      </c>
      <c r="H1042" s="11" t="s">
        <v>419</v>
      </c>
    </row>
    <row r="1043" spans="1:8" ht="15" customHeight="1" x14ac:dyDescent="0.25">
      <c r="A1043" s="11" t="s">
        <v>2110</v>
      </c>
      <c r="B1043" s="11">
        <v>444902</v>
      </c>
      <c r="C1043" s="11" t="s">
        <v>2135</v>
      </c>
      <c r="D1043" s="11" t="s">
        <v>2118</v>
      </c>
      <c r="E1043" s="12">
        <v>51000</v>
      </c>
      <c r="F1043" s="13">
        <v>0</v>
      </c>
      <c r="G1043" s="12">
        <v>0</v>
      </c>
      <c r="H1043" s="11" t="s">
        <v>67</v>
      </c>
    </row>
    <row r="1044" spans="1:8" ht="15" customHeight="1" x14ac:dyDescent="0.25">
      <c r="A1044" s="11" t="s">
        <v>2110</v>
      </c>
      <c r="B1044" s="11">
        <v>400301</v>
      </c>
      <c r="C1044" s="11" t="s">
        <v>2136</v>
      </c>
      <c r="D1044" s="11" t="s">
        <v>1912</v>
      </c>
      <c r="E1044" s="12">
        <v>213000</v>
      </c>
      <c r="F1044" s="13">
        <v>0</v>
      </c>
      <c r="G1044" s="12">
        <v>0</v>
      </c>
      <c r="H1044" s="11" t="s">
        <v>2137</v>
      </c>
    </row>
    <row r="1045" spans="1:8" ht="15" customHeight="1" x14ac:dyDescent="0.25">
      <c r="A1045" s="11" t="s">
        <v>2110</v>
      </c>
      <c r="B1045" s="11">
        <v>200119</v>
      </c>
      <c r="C1045" s="11" t="s">
        <v>2138</v>
      </c>
      <c r="D1045" s="11" t="s">
        <v>2112</v>
      </c>
      <c r="E1045" s="12">
        <v>270000</v>
      </c>
      <c r="F1045" s="13">
        <v>0</v>
      </c>
      <c r="G1045" s="12">
        <v>0</v>
      </c>
      <c r="H1045" s="11" t="s">
        <v>442</v>
      </c>
    </row>
    <row r="1046" spans="1:8" ht="15" customHeight="1" x14ac:dyDescent="0.25">
      <c r="A1046" s="11" t="s">
        <v>2110</v>
      </c>
      <c r="B1046" s="11">
        <v>200109</v>
      </c>
      <c r="C1046" s="11" t="s">
        <v>2139</v>
      </c>
      <c r="D1046" s="11" t="s">
        <v>2140</v>
      </c>
      <c r="E1046" s="12">
        <v>836000</v>
      </c>
      <c r="F1046" s="13">
        <v>0</v>
      </c>
      <c r="G1046" s="12">
        <v>0</v>
      </c>
      <c r="H1046" s="11" t="s">
        <v>1060</v>
      </c>
    </row>
    <row r="1047" spans="1:8" ht="15" customHeight="1" x14ac:dyDescent="0.25">
      <c r="A1047" s="11" t="s">
        <v>2110</v>
      </c>
      <c r="B1047" s="11">
        <v>120101</v>
      </c>
      <c r="C1047" s="11" t="s">
        <v>2141</v>
      </c>
      <c r="D1047" s="11" t="s">
        <v>2112</v>
      </c>
      <c r="E1047" s="12">
        <v>820000</v>
      </c>
      <c r="F1047" s="13">
        <v>0</v>
      </c>
      <c r="G1047" s="12">
        <v>0</v>
      </c>
      <c r="H1047" s="11" t="s">
        <v>447</v>
      </c>
    </row>
    <row r="1048" spans="1:8" ht="15" customHeight="1" x14ac:dyDescent="0.25">
      <c r="A1048" s="11" t="s">
        <v>2110</v>
      </c>
      <c r="B1048" s="11">
        <v>130317</v>
      </c>
      <c r="C1048" s="11" t="s">
        <v>1107</v>
      </c>
      <c r="D1048" s="11" t="s">
        <v>2112</v>
      </c>
      <c r="E1048" s="12">
        <v>255000</v>
      </c>
      <c r="F1048" s="13">
        <v>0</v>
      </c>
      <c r="G1048" s="12">
        <v>0</v>
      </c>
      <c r="H1048" s="11" t="s">
        <v>1108</v>
      </c>
    </row>
    <row r="1049" spans="1:8" ht="15" customHeight="1" x14ac:dyDescent="0.25">
      <c r="A1049" s="11" t="s">
        <v>2110</v>
      </c>
      <c r="B1049" s="11">
        <v>130308</v>
      </c>
      <c r="C1049" s="11" t="s">
        <v>2142</v>
      </c>
      <c r="D1049" s="11" t="s">
        <v>2112</v>
      </c>
      <c r="E1049" s="12">
        <v>416250</v>
      </c>
      <c r="F1049" s="13">
        <v>0</v>
      </c>
      <c r="G1049" s="12">
        <v>0</v>
      </c>
      <c r="H1049" s="11" t="s">
        <v>1104</v>
      </c>
    </row>
    <row r="1050" spans="1:8" ht="15" customHeight="1" x14ac:dyDescent="0.25">
      <c r="A1050" s="11" t="s">
        <v>2110</v>
      </c>
      <c r="B1050" s="11">
        <v>130314</v>
      </c>
      <c r="C1050" s="11" t="s">
        <v>2143</v>
      </c>
      <c r="D1050" s="11" t="s">
        <v>2112</v>
      </c>
      <c r="E1050" s="12">
        <v>235000</v>
      </c>
      <c r="F1050" s="13">
        <v>0</v>
      </c>
      <c r="G1050" s="12">
        <v>0</v>
      </c>
      <c r="H1050" s="11" t="s">
        <v>1106</v>
      </c>
    </row>
    <row r="1051" spans="1:8" ht="15" customHeight="1" x14ac:dyDescent="0.25">
      <c r="A1051" s="11" t="s">
        <v>2110</v>
      </c>
      <c r="B1051" s="11">
        <v>130312</v>
      </c>
      <c r="C1051" s="11" t="s">
        <v>2144</v>
      </c>
      <c r="D1051" s="11" t="s">
        <v>2114</v>
      </c>
      <c r="E1051" s="12">
        <v>313000</v>
      </c>
      <c r="F1051" s="13">
        <v>0</v>
      </c>
      <c r="G1051" s="12">
        <v>0</v>
      </c>
      <c r="H1051" s="11" t="s">
        <v>460</v>
      </c>
    </row>
    <row r="1052" spans="1:8" ht="15" customHeight="1" x14ac:dyDescent="0.25">
      <c r="A1052" s="11" t="s">
        <v>2110</v>
      </c>
      <c r="B1052" s="11">
        <v>130304</v>
      </c>
      <c r="C1052" s="11" t="s">
        <v>2145</v>
      </c>
      <c r="D1052" s="11" t="s">
        <v>1912</v>
      </c>
      <c r="E1052" s="12">
        <v>200000</v>
      </c>
      <c r="F1052" s="13">
        <v>0</v>
      </c>
      <c r="G1052" s="12">
        <v>0</v>
      </c>
      <c r="H1052" s="11" t="s">
        <v>1098</v>
      </c>
    </row>
    <row r="1053" spans="1:8" ht="15" customHeight="1" x14ac:dyDescent="0.25">
      <c r="A1053" s="11" t="s">
        <v>2110</v>
      </c>
      <c r="B1053" s="11">
        <v>130316</v>
      </c>
      <c r="C1053" s="11" t="s">
        <v>2146</v>
      </c>
      <c r="D1053" s="11" t="s">
        <v>1912</v>
      </c>
      <c r="E1053" s="12">
        <v>170000</v>
      </c>
      <c r="F1053" s="13">
        <v>0</v>
      </c>
      <c r="G1053" s="12">
        <v>0</v>
      </c>
      <c r="H1053" s="11" t="s">
        <v>1096</v>
      </c>
    </row>
    <row r="1054" spans="1:8" ht="15" customHeight="1" x14ac:dyDescent="0.25">
      <c r="A1054" s="11" t="s">
        <v>2110</v>
      </c>
      <c r="B1054" s="11">
        <v>130310</v>
      </c>
      <c r="C1054" s="11" t="s">
        <v>2147</v>
      </c>
      <c r="D1054" s="11" t="s">
        <v>2112</v>
      </c>
      <c r="E1054" s="12">
        <v>239760</v>
      </c>
      <c r="F1054" s="13">
        <v>0</v>
      </c>
      <c r="G1054" s="12">
        <v>0</v>
      </c>
      <c r="H1054" s="11" t="s">
        <v>1110</v>
      </c>
    </row>
    <row r="1055" spans="1:8" ht="15" customHeight="1" x14ac:dyDescent="0.25">
      <c r="A1055" s="11" t="s">
        <v>2110</v>
      </c>
      <c r="B1055" s="11">
        <v>130311</v>
      </c>
      <c r="C1055" s="11" t="s">
        <v>2148</v>
      </c>
      <c r="D1055" s="11" t="s">
        <v>2112</v>
      </c>
      <c r="E1055" s="12">
        <v>229770</v>
      </c>
      <c r="F1055" s="13">
        <v>0</v>
      </c>
      <c r="G1055" s="12">
        <v>0</v>
      </c>
      <c r="H1055" s="11" t="s">
        <v>1112</v>
      </c>
    </row>
    <row r="1056" spans="1:8" ht="15" customHeight="1" x14ac:dyDescent="0.25">
      <c r="A1056" s="11" t="s">
        <v>2110</v>
      </c>
      <c r="B1056" s="11">
        <v>200111</v>
      </c>
      <c r="C1056" s="11" t="s">
        <v>2149</v>
      </c>
      <c r="D1056" s="11" t="s">
        <v>1912</v>
      </c>
      <c r="E1056" s="12">
        <v>918455.625</v>
      </c>
      <c r="F1056" s="13">
        <v>0</v>
      </c>
      <c r="G1056" s="12">
        <v>0</v>
      </c>
      <c r="H1056" s="11" t="s">
        <v>171</v>
      </c>
    </row>
    <row r="1057" spans="1:8" ht="15" customHeight="1" x14ac:dyDescent="0.25">
      <c r="A1057" s="11" t="s">
        <v>2110</v>
      </c>
      <c r="B1057" s="11">
        <v>200120</v>
      </c>
      <c r="C1057" s="11" t="s">
        <v>1127</v>
      </c>
      <c r="D1057" s="11" t="s">
        <v>736</v>
      </c>
      <c r="E1057" s="12">
        <v>188000</v>
      </c>
      <c r="F1057" s="13">
        <v>0</v>
      </c>
      <c r="G1057" s="12">
        <v>0</v>
      </c>
      <c r="H1057" s="11" t="s">
        <v>473</v>
      </c>
    </row>
    <row r="1058" spans="1:8" ht="15" customHeight="1" x14ac:dyDescent="0.25">
      <c r="A1058" s="11" t="s">
        <v>2110</v>
      </c>
      <c r="B1058" s="11">
        <v>444501</v>
      </c>
      <c r="C1058" s="11" t="s">
        <v>2150</v>
      </c>
      <c r="D1058" s="11" t="s">
        <v>736</v>
      </c>
      <c r="E1058" s="12">
        <v>70000</v>
      </c>
      <c r="F1058" s="13">
        <v>0</v>
      </c>
      <c r="G1058" s="12">
        <v>0</v>
      </c>
      <c r="H1058" s="11" t="s">
        <v>737</v>
      </c>
    </row>
    <row r="1059" spans="1:8" ht="15" customHeight="1" x14ac:dyDescent="0.25">
      <c r="A1059" s="11" t="s">
        <v>2110</v>
      </c>
      <c r="B1059" s="11">
        <v>200121</v>
      </c>
      <c r="C1059" s="11" t="s">
        <v>1240</v>
      </c>
      <c r="D1059" s="11" t="s">
        <v>2140</v>
      </c>
      <c r="E1059" s="12">
        <v>833408</v>
      </c>
      <c r="F1059" s="13">
        <v>0</v>
      </c>
      <c r="G1059" s="12">
        <v>0</v>
      </c>
      <c r="H1059" s="11" t="s">
        <v>1241</v>
      </c>
    </row>
    <row r="1060" spans="1:8" ht="15" customHeight="1" x14ac:dyDescent="0.25">
      <c r="A1060" s="11" t="s">
        <v>2110</v>
      </c>
      <c r="B1060" s="11">
        <v>600302</v>
      </c>
      <c r="C1060" s="11" t="s">
        <v>726</v>
      </c>
      <c r="D1060" s="11" t="s">
        <v>1912</v>
      </c>
      <c r="E1060" s="12">
        <v>205000</v>
      </c>
      <c r="F1060" s="13">
        <v>0</v>
      </c>
      <c r="G1060" s="12">
        <v>0</v>
      </c>
      <c r="H1060" s="11" t="s">
        <v>727</v>
      </c>
    </row>
    <row r="1061" spans="1:8" ht="15" customHeight="1" x14ac:dyDescent="0.25">
      <c r="A1061" s="11" t="s">
        <v>2110</v>
      </c>
      <c r="B1061" s="11">
        <v>100308</v>
      </c>
      <c r="C1061" s="11" t="s">
        <v>1275</v>
      </c>
      <c r="D1061" s="11" t="s">
        <v>1912</v>
      </c>
      <c r="E1061" s="12">
        <v>864801</v>
      </c>
      <c r="F1061" s="13">
        <v>0</v>
      </c>
      <c r="G1061" s="12">
        <v>0</v>
      </c>
      <c r="H1061" s="11" t="s">
        <v>1276</v>
      </c>
    </row>
    <row r="1062" spans="1:8" ht="15" customHeight="1" x14ac:dyDescent="0.25">
      <c r="A1062" s="11" t="s">
        <v>2110</v>
      </c>
      <c r="B1062" s="11">
        <v>100310</v>
      </c>
      <c r="C1062" s="11" t="s">
        <v>1291</v>
      </c>
      <c r="D1062" s="11" t="s">
        <v>1912</v>
      </c>
      <c r="E1062" s="12">
        <v>4200000</v>
      </c>
      <c r="F1062" s="13">
        <v>0</v>
      </c>
      <c r="G1062" s="12">
        <v>0</v>
      </c>
      <c r="H1062" s="11" t="s">
        <v>1292</v>
      </c>
    </row>
    <row r="1063" spans="1:8" ht="15" customHeight="1" x14ac:dyDescent="0.25">
      <c r="A1063" s="11" t="s">
        <v>2110</v>
      </c>
      <c r="B1063" s="11">
        <v>130319</v>
      </c>
      <c r="C1063" s="11" t="s">
        <v>1293</v>
      </c>
      <c r="D1063" s="11" t="s">
        <v>2114</v>
      </c>
      <c r="E1063" s="12">
        <v>217000</v>
      </c>
      <c r="F1063" s="13">
        <v>0</v>
      </c>
      <c r="G1063" s="12">
        <v>0</v>
      </c>
      <c r="H1063" s="11" t="s">
        <v>56</v>
      </c>
    </row>
    <row r="1064" spans="1:8" ht="15" customHeight="1" x14ac:dyDescent="0.25">
      <c r="A1064" s="11" t="s">
        <v>2110</v>
      </c>
      <c r="B1064" s="11">
        <v>130309</v>
      </c>
      <c r="C1064" s="11" t="s">
        <v>1294</v>
      </c>
      <c r="D1064" s="11" t="s">
        <v>2112</v>
      </c>
      <c r="E1064" s="12">
        <v>232000</v>
      </c>
      <c r="F1064" s="13">
        <v>0</v>
      </c>
      <c r="G1064" s="12">
        <v>0</v>
      </c>
      <c r="H1064" s="11" t="s">
        <v>1295</v>
      </c>
    </row>
    <row r="1065" spans="1:8" ht="15" customHeight="1" x14ac:dyDescent="0.25">
      <c r="A1065" s="11" t="s">
        <v>2110</v>
      </c>
      <c r="B1065" s="11">
        <v>800508</v>
      </c>
      <c r="C1065" s="11" t="s">
        <v>1308</v>
      </c>
      <c r="D1065" s="11" t="s">
        <v>1912</v>
      </c>
      <c r="E1065" s="12">
        <v>322200</v>
      </c>
      <c r="F1065" s="13">
        <v>0</v>
      </c>
      <c r="G1065" s="12">
        <v>0</v>
      </c>
      <c r="H1065" s="11" t="s">
        <v>1309</v>
      </c>
    </row>
    <row r="1066" spans="1:8" ht="15" customHeight="1" x14ac:dyDescent="0.25">
      <c r="A1066" s="11" t="s">
        <v>2110</v>
      </c>
      <c r="B1066" s="11">
        <v>200122</v>
      </c>
      <c r="C1066" s="11" t="s">
        <v>1301</v>
      </c>
      <c r="D1066" s="11" t="s">
        <v>2140</v>
      </c>
      <c r="E1066" s="12">
        <v>790000</v>
      </c>
      <c r="F1066" s="13">
        <v>0</v>
      </c>
      <c r="G1066" s="12">
        <v>0</v>
      </c>
      <c r="H1066" s="11" t="s">
        <v>1302</v>
      </c>
    </row>
    <row r="1067" spans="1:8" ht="15" customHeight="1" x14ac:dyDescent="0.25">
      <c r="A1067" s="11" t="s">
        <v>2110</v>
      </c>
      <c r="B1067" s="11">
        <v>130109</v>
      </c>
      <c r="C1067" s="11" t="s">
        <v>1192</v>
      </c>
      <c r="D1067" s="11" t="s">
        <v>2112</v>
      </c>
      <c r="E1067" s="12">
        <v>280000</v>
      </c>
      <c r="F1067" s="13">
        <v>0</v>
      </c>
      <c r="G1067" s="12">
        <v>0</v>
      </c>
      <c r="H1067" s="11" t="s">
        <v>1193</v>
      </c>
    </row>
    <row r="1068" spans="1:8" ht="15" customHeight="1" x14ac:dyDescent="0.25">
      <c r="A1068" s="11" t="s">
        <v>2110</v>
      </c>
      <c r="B1068" s="11">
        <v>130322</v>
      </c>
      <c r="C1068" s="11" t="s">
        <v>1310</v>
      </c>
      <c r="D1068" s="11" t="s">
        <v>2114</v>
      </c>
      <c r="E1068" s="12">
        <v>198000</v>
      </c>
      <c r="F1068" s="13">
        <v>0</v>
      </c>
      <c r="G1068" s="12">
        <v>0</v>
      </c>
      <c r="H1068" s="11" t="s">
        <v>35</v>
      </c>
    </row>
    <row r="1069" spans="1:8" ht="15" customHeight="1" x14ac:dyDescent="0.25">
      <c r="A1069" s="11" t="s">
        <v>2110</v>
      </c>
      <c r="B1069" s="11">
        <v>130323</v>
      </c>
      <c r="C1069" s="11" t="s">
        <v>1314</v>
      </c>
      <c r="D1069" s="11" t="s">
        <v>2114</v>
      </c>
      <c r="E1069" s="12">
        <v>222000</v>
      </c>
      <c r="F1069" s="13">
        <v>15</v>
      </c>
      <c r="G1069" s="12">
        <v>3330000</v>
      </c>
      <c r="H1069" s="11" t="s">
        <v>46</v>
      </c>
    </row>
    <row r="1070" spans="1:8" ht="15" customHeight="1" x14ac:dyDescent="0.25">
      <c r="A1070" s="11" t="s">
        <v>2110</v>
      </c>
      <c r="B1070" s="11">
        <v>130108</v>
      </c>
      <c r="C1070" s="11" t="s">
        <v>829</v>
      </c>
      <c r="D1070" s="11" t="s">
        <v>2112</v>
      </c>
      <c r="E1070" s="12">
        <v>375000</v>
      </c>
      <c r="F1070" s="13">
        <v>1</v>
      </c>
      <c r="G1070" s="12">
        <v>375000</v>
      </c>
      <c r="H1070" s="11" t="s">
        <v>105</v>
      </c>
    </row>
    <row r="1071" spans="1:8" ht="15" customHeight="1" x14ac:dyDescent="0.25">
      <c r="A1071" s="11" t="s">
        <v>2110</v>
      </c>
      <c r="B1071" s="11">
        <v>120111</v>
      </c>
      <c r="C1071" s="11" t="s">
        <v>1298</v>
      </c>
      <c r="D1071" s="11" t="s">
        <v>486</v>
      </c>
      <c r="E1071" s="12">
        <v>112428</v>
      </c>
      <c r="F1071" s="13">
        <v>0</v>
      </c>
      <c r="G1071" s="12">
        <v>0</v>
      </c>
      <c r="H1071" s="11" t="s">
        <v>1299</v>
      </c>
    </row>
    <row r="1072" spans="1:8" ht="15" customHeight="1" x14ac:dyDescent="0.25">
      <c r="A1072" s="11" t="s">
        <v>2110</v>
      </c>
      <c r="B1072" s="11">
        <v>555404</v>
      </c>
      <c r="C1072" s="11" t="s">
        <v>2151</v>
      </c>
      <c r="D1072" s="11" t="s">
        <v>736</v>
      </c>
      <c r="E1072" s="12">
        <v>60000</v>
      </c>
      <c r="F1072" s="13">
        <v>0</v>
      </c>
      <c r="G1072" s="12">
        <v>0</v>
      </c>
      <c r="H1072" s="11" t="s">
        <v>734</v>
      </c>
    </row>
    <row r="1073" spans="1:8" ht="15" customHeight="1" x14ac:dyDescent="0.25">
      <c r="A1073" s="11" t="s">
        <v>2110</v>
      </c>
      <c r="B1073" s="11">
        <v>200123</v>
      </c>
      <c r="C1073" s="11" t="s">
        <v>1321</v>
      </c>
      <c r="D1073" s="11" t="s">
        <v>496</v>
      </c>
      <c r="E1073" s="12">
        <v>6250</v>
      </c>
      <c r="F1073" s="13">
        <v>0</v>
      </c>
      <c r="G1073" s="12">
        <v>0</v>
      </c>
      <c r="H1073" s="11" t="s">
        <v>1322</v>
      </c>
    </row>
    <row r="1074" spans="1:8" ht="15" customHeight="1" x14ac:dyDescent="0.25">
      <c r="A1074" s="11" t="s">
        <v>2110</v>
      </c>
      <c r="B1074" s="11">
        <v>600107</v>
      </c>
      <c r="C1074" s="11" t="s">
        <v>1325</v>
      </c>
      <c r="D1074" s="11" t="s">
        <v>2114</v>
      </c>
      <c r="E1074" s="12">
        <v>870000</v>
      </c>
      <c r="F1074" s="13">
        <v>5.5</v>
      </c>
      <c r="G1074" s="12">
        <v>4785000</v>
      </c>
      <c r="H1074" s="11" t="s">
        <v>40</v>
      </c>
    </row>
    <row r="1075" spans="1:8" ht="15" customHeight="1" x14ac:dyDescent="0.25">
      <c r="A1075" s="11" t="s">
        <v>2110</v>
      </c>
      <c r="B1075" s="11">
        <v>120113</v>
      </c>
      <c r="C1075" s="11" t="s">
        <v>1447</v>
      </c>
      <c r="D1075" s="11" t="s">
        <v>2112</v>
      </c>
      <c r="E1075" s="12">
        <v>1258950</v>
      </c>
      <c r="F1075" s="13">
        <v>0</v>
      </c>
      <c r="G1075" s="12">
        <v>0</v>
      </c>
      <c r="H1075" s="11" t="s">
        <v>1448</v>
      </c>
    </row>
    <row r="1076" spans="1:8" ht="15" customHeight="1" x14ac:dyDescent="0.25">
      <c r="A1076" s="11" t="s">
        <v>2110</v>
      </c>
      <c r="B1076" s="11">
        <v>130325</v>
      </c>
      <c r="C1076" s="11" t="s">
        <v>1475</v>
      </c>
      <c r="D1076" s="11" t="s">
        <v>2114</v>
      </c>
      <c r="E1076" s="12">
        <v>209800</v>
      </c>
      <c r="F1076" s="13">
        <v>0</v>
      </c>
      <c r="G1076" s="12">
        <v>0</v>
      </c>
      <c r="H1076" s="11" t="s">
        <v>1476</v>
      </c>
    </row>
    <row r="1077" spans="1:8" ht="15" customHeight="1" x14ac:dyDescent="0.25">
      <c r="A1077" s="11" t="s">
        <v>2110</v>
      </c>
      <c r="B1077" s="11">
        <v>130319</v>
      </c>
      <c r="C1077" s="11" t="s">
        <v>1293</v>
      </c>
      <c r="D1077" s="11" t="s">
        <v>2114</v>
      </c>
      <c r="E1077" s="12">
        <v>213000</v>
      </c>
      <c r="F1077" s="13">
        <v>8</v>
      </c>
      <c r="G1077" s="12">
        <v>1704000</v>
      </c>
      <c r="H1077" s="11" t="s">
        <v>56</v>
      </c>
    </row>
    <row r="1078" spans="1:8" ht="15" customHeight="1" x14ac:dyDescent="0.25">
      <c r="A1078" s="11" t="s">
        <v>2110</v>
      </c>
      <c r="B1078" s="11">
        <v>800508</v>
      </c>
      <c r="C1078" s="11" t="s">
        <v>1308</v>
      </c>
      <c r="D1078" s="11" t="s">
        <v>1912</v>
      </c>
      <c r="E1078" s="12">
        <v>322200</v>
      </c>
      <c r="F1078" s="13">
        <v>0</v>
      </c>
      <c r="G1078" s="12">
        <v>0</v>
      </c>
      <c r="H1078" s="11" t="s">
        <v>1309</v>
      </c>
    </row>
    <row r="1079" spans="1:8" ht="15" customHeight="1" x14ac:dyDescent="0.25">
      <c r="A1079" s="11" t="s">
        <v>2110</v>
      </c>
      <c r="B1079" s="11">
        <v>444106</v>
      </c>
      <c r="C1079" s="11" t="s">
        <v>1205</v>
      </c>
      <c r="D1079" s="11" t="s">
        <v>2118</v>
      </c>
      <c r="E1079" s="12">
        <v>65000</v>
      </c>
      <c r="F1079" s="13">
        <v>0</v>
      </c>
      <c r="G1079" s="12">
        <v>0</v>
      </c>
      <c r="H1079" s="11" t="s">
        <v>1206</v>
      </c>
    </row>
    <row r="1080" spans="1:8" ht="15" customHeight="1" x14ac:dyDescent="0.25">
      <c r="A1080" s="11" t="s">
        <v>2110</v>
      </c>
      <c r="B1080" s="11">
        <v>444105</v>
      </c>
      <c r="C1080" s="11" t="s">
        <v>1207</v>
      </c>
      <c r="D1080" s="11" t="s">
        <v>2118</v>
      </c>
      <c r="E1080" s="12">
        <v>53000</v>
      </c>
      <c r="F1080" s="13">
        <v>0</v>
      </c>
      <c r="G1080" s="12">
        <v>0</v>
      </c>
      <c r="H1080" s="11" t="s">
        <v>1208</v>
      </c>
    </row>
    <row r="1081" spans="1:8" ht="15" customHeight="1" x14ac:dyDescent="0.25">
      <c r="A1081" s="11" t="s">
        <v>2110</v>
      </c>
      <c r="B1081" s="11">
        <v>444104</v>
      </c>
      <c r="C1081" s="11" t="s">
        <v>1209</v>
      </c>
      <c r="D1081" s="11" t="s">
        <v>2118</v>
      </c>
      <c r="E1081" s="12">
        <v>53000</v>
      </c>
      <c r="F1081" s="13">
        <v>0</v>
      </c>
      <c r="G1081" s="12">
        <v>0</v>
      </c>
      <c r="H1081" s="11" t="s">
        <v>1210</v>
      </c>
    </row>
    <row r="1082" spans="1:8" ht="15" customHeight="1" x14ac:dyDescent="0.25">
      <c r="A1082" s="11" t="s">
        <v>2110</v>
      </c>
      <c r="B1082" s="11">
        <v>120116</v>
      </c>
      <c r="C1082" s="11" t="s">
        <v>1527</v>
      </c>
      <c r="D1082" s="11" t="s">
        <v>2112</v>
      </c>
      <c r="E1082" s="12">
        <v>722249</v>
      </c>
      <c r="F1082" s="13">
        <v>0</v>
      </c>
      <c r="G1082" s="12">
        <v>0</v>
      </c>
      <c r="H1082" s="11" t="s">
        <v>439</v>
      </c>
    </row>
    <row r="1083" spans="1:8" ht="15" customHeight="1" x14ac:dyDescent="0.25">
      <c r="A1083" s="11" t="s">
        <v>2110</v>
      </c>
      <c r="B1083" s="11">
        <v>200124</v>
      </c>
      <c r="C1083" s="11" t="s">
        <v>1329</v>
      </c>
      <c r="D1083" s="11" t="s">
        <v>2140</v>
      </c>
      <c r="E1083" s="12">
        <v>716800</v>
      </c>
      <c r="F1083" s="13">
        <v>0</v>
      </c>
      <c r="G1083" s="12">
        <v>0</v>
      </c>
      <c r="H1083" s="11" t="s">
        <v>1330</v>
      </c>
    </row>
    <row r="1084" spans="1:8" ht="15" customHeight="1" x14ac:dyDescent="0.25">
      <c r="A1084" s="11" t="s">
        <v>2110</v>
      </c>
      <c r="B1084" s="11">
        <v>777420</v>
      </c>
      <c r="C1084" s="11" t="s">
        <v>1678</v>
      </c>
      <c r="D1084" s="11" t="s">
        <v>538</v>
      </c>
      <c r="E1084" s="12">
        <v>34000</v>
      </c>
      <c r="F1084" s="13">
        <v>2</v>
      </c>
      <c r="G1084" s="12">
        <v>68000</v>
      </c>
      <c r="H1084" s="11" t="s">
        <v>140</v>
      </c>
    </row>
    <row r="1085" spans="1:8" ht="15" customHeight="1" x14ac:dyDescent="0.25">
      <c r="A1085" s="11" t="s">
        <v>2110</v>
      </c>
      <c r="B1085" s="11">
        <v>200115</v>
      </c>
      <c r="C1085" s="11" t="s">
        <v>834</v>
      </c>
      <c r="D1085" s="11" t="s">
        <v>2140</v>
      </c>
      <c r="E1085" s="12">
        <v>790000</v>
      </c>
      <c r="F1085" s="13">
        <v>7</v>
      </c>
      <c r="G1085" s="12">
        <v>5530000</v>
      </c>
      <c r="H1085" s="11" t="s">
        <v>36</v>
      </c>
    </row>
  </sheetData>
  <autoFilter ref="A1:H1085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8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 x14ac:dyDescent="0.25"/>
  <cols>
    <col min="1" max="1" width="22" style="10" customWidth="1"/>
    <col min="2" max="2" width="44" style="10" customWidth="1"/>
    <col min="3" max="3" width="20" style="10" customWidth="1"/>
    <col min="4" max="4" width="9" style="10" customWidth="1"/>
    <col min="5" max="6" width="14" style="10" customWidth="1"/>
    <col min="7" max="7" width="12" style="10" customWidth="1"/>
    <col min="8" max="8" width="18" style="10" customWidth="1"/>
    <col min="9" max="9" width="40" style="10" customWidth="1"/>
  </cols>
  <sheetData>
    <row r="1" spans="1:9" ht="31.5" customHeight="1" x14ac:dyDescent="0.25">
      <c r="A1" s="8" t="s">
        <v>2152</v>
      </c>
      <c r="B1" s="8" t="s">
        <v>2153</v>
      </c>
      <c r="C1" s="8" t="s">
        <v>2154</v>
      </c>
      <c r="D1" s="8" t="s">
        <v>17</v>
      </c>
      <c r="E1" s="8" t="s">
        <v>2155</v>
      </c>
      <c r="F1" s="8" t="s">
        <v>2156</v>
      </c>
      <c r="G1" s="8" t="s">
        <v>2157</v>
      </c>
      <c r="H1" s="8" t="s">
        <v>2158</v>
      </c>
      <c r="I1" s="8" t="s">
        <v>23</v>
      </c>
    </row>
    <row r="2" spans="1:9" ht="15" customHeight="1" x14ac:dyDescent="0.25">
      <c r="A2" s="14" t="s">
        <v>2159</v>
      </c>
      <c r="B2" s="11" t="s">
        <v>490</v>
      </c>
      <c r="C2" s="11" t="s">
        <v>2160</v>
      </c>
      <c r="D2" s="11" t="s">
        <v>922</v>
      </c>
      <c r="E2" s="13">
        <v>197</v>
      </c>
      <c r="F2" s="13">
        <v>9</v>
      </c>
      <c r="G2" s="11" t="s">
        <v>2161</v>
      </c>
      <c r="H2" s="12">
        <v>28864440</v>
      </c>
      <c r="I2" s="11" t="s">
        <v>185</v>
      </c>
    </row>
    <row r="3" spans="1:9" ht="15" customHeight="1" x14ac:dyDescent="0.25">
      <c r="A3" s="14" t="s">
        <v>2162</v>
      </c>
      <c r="B3" s="11" t="s">
        <v>2163</v>
      </c>
      <c r="C3" s="11" t="s">
        <v>2160</v>
      </c>
      <c r="D3" s="11" t="s">
        <v>922</v>
      </c>
      <c r="E3" s="13">
        <v>71</v>
      </c>
      <c r="F3" s="13">
        <v>5</v>
      </c>
      <c r="G3" s="11" t="s">
        <v>2161</v>
      </c>
      <c r="H3" s="12">
        <v>10796970</v>
      </c>
      <c r="I3" s="11" t="s">
        <v>179</v>
      </c>
    </row>
    <row r="4" spans="1:9" ht="15" customHeight="1" x14ac:dyDescent="0.25">
      <c r="A4" s="14" t="s">
        <v>2164</v>
      </c>
      <c r="B4" s="11" t="s">
        <v>2165</v>
      </c>
      <c r="C4" s="11" t="s">
        <v>2160</v>
      </c>
      <c r="D4" s="11" t="s">
        <v>922</v>
      </c>
      <c r="E4" s="13">
        <v>44</v>
      </c>
      <c r="F4" s="13">
        <v>50</v>
      </c>
      <c r="G4" s="11" t="s">
        <v>2166</v>
      </c>
      <c r="H4" s="12">
        <v>4713060</v>
      </c>
      <c r="I4" s="11" t="s">
        <v>186</v>
      </c>
    </row>
    <row r="5" spans="1:9" ht="15" customHeight="1" x14ac:dyDescent="0.25">
      <c r="A5" s="14" t="s">
        <v>2167</v>
      </c>
      <c r="B5" s="11" t="s">
        <v>2168</v>
      </c>
      <c r="C5" s="11" t="s">
        <v>2160</v>
      </c>
      <c r="D5" s="11" t="s">
        <v>922</v>
      </c>
      <c r="E5" s="13">
        <v>0</v>
      </c>
      <c r="F5" s="13">
        <v>1</v>
      </c>
      <c r="G5" s="11" t="s">
        <v>2169</v>
      </c>
      <c r="H5" s="12">
        <v>0</v>
      </c>
      <c r="I5" s="11" t="s">
        <v>1332</v>
      </c>
    </row>
    <row r="6" spans="1:9" ht="15" customHeight="1" x14ac:dyDescent="0.25">
      <c r="A6" s="14" t="s">
        <v>2170</v>
      </c>
      <c r="B6" s="11" t="s">
        <v>2171</v>
      </c>
      <c r="C6" s="11" t="s">
        <v>2172</v>
      </c>
      <c r="D6" s="11" t="s">
        <v>1005</v>
      </c>
      <c r="E6" s="13">
        <v>17</v>
      </c>
      <c r="F6" s="13">
        <v>4</v>
      </c>
      <c r="G6" s="11" t="s">
        <v>2161</v>
      </c>
      <c r="H6" s="12">
        <v>5950</v>
      </c>
      <c r="I6" s="11" t="s">
        <v>180</v>
      </c>
    </row>
    <row r="7" spans="1:9" ht="15" customHeight="1" x14ac:dyDescent="0.25">
      <c r="A7" s="14" t="s">
        <v>2173</v>
      </c>
      <c r="B7" s="11" t="s">
        <v>2174</v>
      </c>
      <c r="C7" s="11" t="s">
        <v>2175</v>
      </c>
      <c r="D7" s="11" t="s">
        <v>1222</v>
      </c>
      <c r="E7" s="13">
        <v>0</v>
      </c>
      <c r="F7" s="13">
        <v>0</v>
      </c>
      <c r="G7" s="11" t="s">
        <v>2169</v>
      </c>
      <c r="H7" s="12">
        <v>0</v>
      </c>
      <c r="I7" s="11" t="s">
        <v>1686</v>
      </c>
    </row>
    <row r="8" spans="1:9" ht="15" customHeight="1" x14ac:dyDescent="0.25">
      <c r="A8" s="14" t="s">
        <v>2176</v>
      </c>
      <c r="B8" s="11" t="s">
        <v>2177</v>
      </c>
      <c r="C8" s="11" t="s">
        <v>2175</v>
      </c>
      <c r="D8" s="11" t="s">
        <v>1005</v>
      </c>
      <c r="E8" s="13">
        <v>3</v>
      </c>
      <c r="F8" s="13">
        <v>68000</v>
      </c>
      <c r="G8" s="11" t="s">
        <v>2166</v>
      </c>
      <c r="H8" s="12">
        <v>2750.0001000000002</v>
      </c>
      <c r="I8" s="11" t="s">
        <v>177</v>
      </c>
    </row>
    <row r="9" spans="1:9" ht="15" customHeight="1" x14ac:dyDescent="0.25">
      <c r="A9" s="14" t="s">
        <v>2178</v>
      </c>
      <c r="B9" s="11" t="s">
        <v>2179</v>
      </c>
      <c r="C9" s="11" t="s">
        <v>2175</v>
      </c>
      <c r="D9" s="11" t="s">
        <v>1222</v>
      </c>
      <c r="E9" s="13">
        <v>0</v>
      </c>
      <c r="F9" s="13">
        <v>0</v>
      </c>
      <c r="G9" s="11" t="s">
        <v>2169</v>
      </c>
      <c r="H9" s="12">
        <v>0</v>
      </c>
      <c r="I9" s="11" t="s">
        <v>1742</v>
      </c>
    </row>
    <row r="10" spans="1:9" ht="15" customHeight="1" x14ac:dyDescent="0.25">
      <c r="A10" s="14" t="s">
        <v>2180</v>
      </c>
      <c r="B10" s="11" t="s">
        <v>498</v>
      </c>
      <c r="C10" s="11" t="s">
        <v>2181</v>
      </c>
      <c r="D10" s="11" t="s">
        <v>1005</v>
      </c>
      <c r="E10" s="13">
        <v>600</v>
      </c>
      <c r="F10" s="13">
        <v>55</v>
      </c>
      <c r="G10" s="11" t="s">
        <v>2161</v>
      </c>
      <c r="H10" s="12">
        <v>144000</v>
      </c>
      <c r="I10" s="11" t="s">
        <v>187</v>
      </c>
    </row>
    <row r="11" spans="1:9" ht="15" customHeight="1" x14ac:dyDescent="0.25">
      <c r="A11" s="14" t="s">
        <v>2182</v>
      </c>
      <c r="B11" s="11" t="s">
        <v>2183</v>
      </c>
      <c r="C11" s="11" t="s">
        <v>2181</v>
      </c>
      <c r="D11" s="11" t="s">
        <v>1005</v>
      </c>
      <c r="E11" s="13">
        <v>400</v>
      </c>
      <c r="F11" s="13">
        <v>51</v>
      </c>
      <c r="G11" s="11" t="s">
        <v>2161</v>
      </c>
      <c r="H11" s="12">
        <v>240000</v>
      </c>
      <c r="I11" s="11" t="s">
        <v>181</v>
      </c>
    </row>
    <row r="12" spans="1:9" ht="15" customHeight="1" x14ac:dyDescent="0.25">
      <c r="A12" s="14" t="s">
        <v>2184</v>
      </c>
      <c r="B12" s="11" t="s">
        <v>2185</v>
      </c>
      <c r="C12" s="11" t="s">
        <v>2181</v>
      </c>
      <c r="D12" s="11" t="s">
        <v>1005</v>
      </c>
      <c r="E12" s="13">
        <v>1250</v>
      </c>
      <c r="F12" s="13">
        <v>216</v>
      </c>
      <c r="G12" s="11" t="s">
        <v>2161</v>
      </c>
      <c r="H12" s="12">
        <v>710000</v>
      </c>
      <c r="I12" s="11" t="s">
        <v>182</v>
      </c>
    </row>
    <row r="13" spans="1:9" ht="15" customHeight="1" x14ac:dyDescent="0.25">
      <c r="A13" s="14" t="s">
        <v>2186</v>
      </c>
      <c r="B13" s="11" t="s">
        <v>500</v>
      </c>
      <c r="C13" s="11" t="s">
        <v>2187</v>
      </c>
      <c r="D13" s="11" t="s">
        <v>1005</v>
      </c>
      <c r="E13" s="13">
        <v>700</v>
      </c>
      <c r="F13" s="13">
        <v>400</v>
      </c>
      <c r="G13" s="11" t="s">
        <v>2161</v>
      </c>
      <c r="H13" s="12">
        <v>311500</v>
      </c>
      <c r="I13" s="11" t="s">
        <v>188</v>
      </c>
    </row>
    <row r="14" spans="1:9" ht="15" customHeight="1" x14ac:dyDescent="0.25">
      <c r="A14" s="14" t="s">
        <v>2188</v>
      </c>
      <c r="B14" s="11" t="s">
        <v>503</v>
      </c>
      <c r="C14" s="11" t="s">
        <v>2160</v>
      </c>
      <c r="D14" s="11" t="s">
        <v>922</v>
      </c>
      <c r="E14" s="13">
        <v>76.34</v>
      </c>
      <c r="F14" s="13">
        <v>65</v>
      </c>
      <c r="G14" s="11" t="s">
        <v>2161</v>
      </c>
      <c r="H14" s="12">
        <v>14137037.0382</v>
      </c>
      <c r="I14" s="11" t="s">
        <v>174</v>
      </c>
    </row>
    <row r="15" spans="1:9" ht="15" customHeight="1" x14ac:dyDescent="0.25">
      <c r="A15" s="14" t="s">
        <v>2189</v>
      </c>
      <c r="B15" s="11" t="s">
        <v>510</v>
      </c>
      <c r="C15" s="11" t="s">
        <v>2190</v>
      </c>
      <c r="D15" s="11" t="s">
        <v>2191</v>
      </c>
      <c r="E15" s="13">
        <v>0</v>
      </c>
      <c r="F15" s="13">
        <v>5</v>
      </c>
      <c r="G15" s="11" t="s">
        <v>2169</v>
      </c>
      <c r="H15" s="12">
        <v>0</v>
      </c>
      <c r="I15" s="11" t="s">
        <v>512</v>
      </c>
    </row>
    <row r="16" spans="1:9" ht="15" customHeight="1" x14ac:dyDescent="0.25">
      <c r="A16" s="14" t="s">
        <v>2192</v>
      </c>
      <c r="B16" s="11" t="s">
        <v>506</v>
      </c>
      <c r="C16" s="11" t="s">
        <v>2193</v>
      </c>
      <c r="D16" s="11" t="s">
        <v>922</v>
      </c>
      <c r="E16" s="13">
        <v>150</v>
      </c>
      <c r="F16" s="13">
        <v>15</v>
      </c>
      <c r="G16" s="11" t="s">
        <v>2161</v>
      </c>
      <c r="H16" s="12">
        <v>2743000.0049999999</v>
      </c>
      <c r="I16" s="11" t="s">
        <v>169</v>
      </c>
    </row>
    <row r="17" spans="1:9" ht="15" customHeight="1" x14ac:dyDescent="0.25">
      <c r="A17" s="14" t="s">
        <v>2194</v>
      </c>
      <c r="B17" s="11" t="s">
        <v>509</v>
      </c>
      <c r="C17" s="11" t="s">
        <v>2195</v>
      </c>
      <c r="D17" s="11" t="s">
        <v>922</v>
      </c>
      <c r="E17" s="13">
        <v>1</v>
      </c>
      <c r="F17" s="13">
        <v>0</v>
      </c>
      <c r="G17" s="11" t="s">
        <v>2161</v>
      </c>
      <c r="H17" s="12">
        <v>180000</v>
      </c>
      <c r="I17" s="11" t="s">
        <v>189</v>
      </c>
    </row>
    <row r="18" spans="1:9" ht="15" customHeight="1" x14ac:dyDescent="0.25">
      <c r="A18" s="14" t="s">
        <v>2196</v>
      </c>
      <c r="B18" s="11" t="s">
        <v>2197</v>
      </c>
      <c r="C18" s="11" t="s">
        <v>2160</v>
      </c>
      <c r="D18" s="11" t="s">
        <v>922</v>
      </c>
      <c r="E18" s="13">
        <v>14</v>
      </c>
      <c r="F18" s="13">
        <v>141</v>
      </c>
      <c r="G18" s="11" t="s">
        <v>2166</v>
      </c>
      <c r="H18" s="12">
        <v>1750000</v>
      </c>
      <c r="I18" s="11" t="s">
        <v>183</v>
      </c>
    </row>
    <row r="19" spans="1:9" ht="15" customHeight="1" x14ac:dyDescent="0.25">
      <c r="A19" s="14" t="s">
        <v>2198</v>
      </c>
      <c r="B19" s="11" t="s">
        <v>2199</v>
      </c>
      <c r="C19" s="11" t="s">
        <v>2160</v>
      </c>
      <c r="D19" s="11" t="s">
        <v>2200</v>
      </c>
      <c r="E19" s="13">
        <v>20000</v>
      </c>
      <c r="F19" s="13">
        <v>151998</v>
      </c>
      <c r="G19" s="11" t="s">
        <v>2166</v>
      </c>
      <c r="H19" s="12">
        <v>1220000</v>
      </c>
      <c r="I19" s="11" t="s">
        <v>184</v>
      </c>
    </row>
    <row r="20" spans="1:9" ht="15" customHeight="1" x14ac:dyDescent="0.25">
      <c r="A20" s="14" t="s">
        <v>2201</v>
      </c>
      <c r="B20" s="11" t="s">
        <v>513</v>
      </c>
      <c r="C20" s="11" t="s">
        <v>2187</v>
      </c>
      <c r="D20" s="11" t="s">
        <v>1005</v>
      </c>
      <c r="E20" s="13">
        <v>0</v>
      </c>
      <c r="F20" s="13">
        <v>0</v>
      </c>
      <c r="G20" s="11" t="s">
        <v>2169</v>
      </c>
      <c r="H20" s="12">
        <v>0</v>
      </c>
      <c r="I20" s="11" t="s">
        <v>111</v>
      </c>
    </row>
    <row r="21" spans="1:9" ht="15" customHeight="1" x14ac:dyDescent="0.25">
      <c r="A21" s="14" t="s">
        <v>2202</v>
      </c>
      <c r="B21" s="11" t="s">
        <v>514</v>
      </c>
      <c r="C21" s="11" t="s">
        <v>2187</v>
      </c>
      <c r="D21" s="11" t="s">
        <v>1005</v>
      </c>
      <c r="E21" s="13">
        <v>0</v>
      </c>
      <c r="F21" s="13">
        <v>0</v>
      </c>
      <c r="G21" s="11" t="s">
        <v>2169</v>
      </c>
      <c r="H21" s="12">
        <v>0</v>
      </c>
      <c r="I21" s="11" t="s">
        <v>108</v>
      </c>
    </row>
    <row r="22" spans="1:9" ht="15" customHeight="1" x14ac:dyDescent="0.25">
      <c r="A22" s="14" t="s">
        <v>2203</v>
      </c>
      <c r="B22" s="11" t="s">
        <v>515</v>
      </c>
      <c r="C22" s="11" t="s">
        <v>2187</v>
      </c>
      <c r="D22" s="11" t="s">
        <v>1005</v>
      </c>
      <c r="E22" s="13">
        <v>0</v>
      </c>
      <c r="F22" s="13">
        <v>0</v>
      </c>
      <c r="G22" s="11" t="s">
        <v>2169</v>
      </c>
      <c r="H22" s="12">
        <v>0</v>
      </c>
      <c r="I22" s="11" t="s">
        <v>65</v>
      </c>
    </row>
    <row r="23" spans="1:9" ht="15" customHeight="1" x14ac:dyDescent="0.25">
      <c r="A23" s="14" t="s">
        <v>2204</v>
      </c>
      <c r="B23" s="11" t="s">
        <v>516</v>
      </c>
      <c r="C23" s="11" t="s">
        <v>2187</v>
      </c>
      <c r="D23" s="11" t="s">
        <v>1005</v>
      </c>
      <c r="E23" s="13">
        <v>0</v>
      </c>
      <c r="F23" s="13">
        <v>0</v>
      </c>
      <c r="G23" s="11" t="s">
        <v>2169</v>
      </c>
      <c r="H23" s="12">
        <v>0</v>
      </c>
      <c r="I23" s="11" t="s">
        <v>132</v>
      </c>
    </row>
    <row r="24" spans="1:9" ht="15" customHeight="1" x14ac:dyDescent="0.25">
      <c r="A24" s="14" t="s">
        <v>2205</v>
      </c>
      <c r="B24" s="11" t="s">
        <v>517</v>
      </c>
      <c r="C24" s="11" t="s">
        <v>2187</v>
      </c>
      <c r="D24" s="11" t="s">
        <v>1005</v>
      </c>
      <c r="E24" s="13">
        <v>0</v>
      </c>
      <c r="F24" s="13">
        <v>0</v>
      </c>
      <c r="G24" s="11" t="s">
        <v>2169</v>
      </c>
      <c r="H24" s="12">
        <v>0</v>
      </c>
      <c r="I24" s="11" t="s">
        <v>91</v>
      </c>
    </row>
    <row r="25" spans="1:9" ht="15" customHeight="1" x14ac:dyDescent="0.25">
      <c r="A25" s="14" t="s">
        <v>2206</v>
      </c>
      <c r="B25" s="11" t="s">
        <v>518</v>
      </c>
      <c r="C25" s="11" t="s">
        <v>2187</v>
      </c>
      <c r="D25" s="11" t="s">
        <v>1005</v>
      </c>
      <c r="E25" s="13">
        <v>0</v>
      </c>
      <c r="F25" s="13">
        <v>0</v>
      </c>
      <c r="G25" s="11" t="s">
        <v>2169</v>
      </c>
      <c r="H25" s="12">
        <v>0</v>
      </c>
      <c r="I25" s="11" t="s">
        <v>148</v>
      </c>
    </row>
    <row r="26" spans="1:9" ht="15" customHeight="1" x14ac:dyDescent="0.25">
      <c r="A26" s="14" t="s">
        <v>2207</v>
      </c>
      <c r="B26" s="11" t="s">
        <v>519</v>
      </c>
      <c r="C26" s="11" t="s">
        <v>2187</v>
      </c>
      <c r="D26" s="11" t="s">
        <v>1005</v>
      </c>
      <c r="E26" s="13">
        <v>0</v>
      </c>
      <c r="F26" s="13">
        <v>0</v>
      </c>
      <c r="G26" s="11" t="s">
        <v>2169</v>
      </c>
      <c r="H26" s="12">
        <v>0</v>
      </c>
      <c r="I26" s="11" t="s">
        <v>124</v>
      </c>
    </row>
    <row r="27" spans="1:9" ht="15" customHeight="1" x14ac:dyDescent="0.25">
      <c r="A27" s="14" t="s">
        <v>2208</v>
      </c>
      <c r="B27" s="11" t="s">
        <v>520</v>
      </c>
      <c r="C27" s="11" t="s">
        <v>2187</v>
      </c>
      <c r="D27" s="11" t="s">
        <v>1005</v>
      </c>
      <c r="E27" s="13">
        <v>0</v>
      </c>
      <c r="F27" s="13">
        <v>0</v>
      </c>
      <c r="G27" s="11" t="s">
        <v>2169</v>
      </c>
      <c r="H27" s="12">
        <v>0</v>
      </c>
      <c r="I27" s="11" t="s">
        <v>125</v>
      </c>
    </row>
    <row r="28" spans="1:9" ht="15" customHeight="1" x14ac:dyDescent="0.25">
      <c r="A28" s="14" t="s">
        <v>2209</v>
      </c>
      <c r="B28" s="11" t="s">
        <v>521</v>
      </c>
      <c r="C28" s="11" t="s">
        <v>2187</v>
      </c>
      <c r="D28" s="11" t="s">
        <v>1005</v>
      </c>
      <c r="E28" s="13">
        <v>0</v>
      </c>
      <c r="F28" s="13">
        <v>0</v>
      </c>
      <c r="G28" s="11" t="s">
        <v>2169</v>
      </c>
      <c r="H28" s="12">
        <v>0</v>
      </c>
      <c r="I28" s="11" t="s">
        <v>522</v>
      </c>
    </row>
    <row r="29" spans="1:9" ht="15" customHeight="1" x14ac:dyDescent="0.25">
      <c r="A29" s="14" t="s">
        <v>2210</v>
      </c>
      <c r="B29" s="11" t="s">
        <v>525</v>
      </c>
      <c r="C29" s="11" t="s">
        <v>2187</v>
      </c>
      <c r="D29" s="11" t="s">
        <v>1005</v>
      </c>
      <c r="E29" s="13">
        <v>0</v>
      </c>
      <c r="F29" s="13">
        <v>0</v>
      </c>
      <c r="G29" s="11" t="s">
        <v>2169</v>
      </c>
      <c r="H29" s="12">
        <v>0</v>
      </c>
      <c r="I29" s="11" t="s">
        <v>526</v>
      </c>
    </row>
    <row r="30" spans="1:9" ht="15" customHeight="1" x14ac:dyDescent="0.25">
      <c r="A30" s="14" t="s">
        <v>2211</v>
      </c>
      <c r="B30" s="11" t="s">
        <v>527</v>
      </c>
      <c r="C30" s="11" t="s">
        <v>2187</v>
      </c>
      <c r="D30" s="11" t="s">
        <v>1005</v>
      </c>
      <c r="E30" s="13">
        <v>0</v>
      </c>
      <c r="F30" s="13">
        <v>0</v>
      </c>
      <c r="G30" s="11" t="s">
        <v>2169</v>
      </c>
      <c r="H30" s="12">
        <v>0</v>
      </c>
      <c r="I30" s="11" t="s">
        <v>136</v>
      </c>
    </row>
    <row r="31" spans="1:9" ht="15" customHeight="1" x14ac:dyDescent="0.25">
      <c r="A31" s="14" t="s">
        <v>2212</v>
      </c>
      <c r="B31" s="11" t="s">
        <v>528</v>
      </c>
      <c r="C31" s="11" t="s">
        <v>2187</v>
      </c>
      <c r="D31" s="11" t="s">
        <v>1005</v>
      </c>
      <c r="E31" s="13">
        <v>0</v>
      </c>
      <c r="F31" s="13">
        <v>0</v>
      </c>
      <c r="G31" s="11" t="s">
        <v>2169</v>
      </c>
      <c r="H31" s="12">
        <v>0</v>
      </c>
      <c r="I31" s="11" t="s">
        <v>110</v>
      </c>
    </row>
    <row r="32" spans="1:9" ht="15" customHeight="1" x14ac:dyDescent="0.25">
      <c r="A32" s="14" t="s">
        <v>2213</v>
      </c>
      <c r="B32" s="11" t="s">
        <v>529</v>
      </c>
      <c r="C32" s="11" t="s">
        <v>2187</v>
      </c>
      <c r="D32" s="11" t="s">
        <v>1005</v>
      </c>
      <c r="E32" s="13">
        <v>0</v>
      </c>
      <c r="F32" s="13">
        <v>0</v>
      </c>
      <c r="G32" s="11" t="s">
        <v>2169</v>
      </c>
      <c r="H32" s="12">
        <v>0</v>
      </c>
      <c r="I32" s="11" t="s">
        <v>72</v>
      </c>
    </row>
    <row r="33" spans="1:9" ht="15" customHeight="1" x14ac:dyDescent="0.25">
      <c r="A33" s="14" t="s">
        <v>2214</v>
      </c>
      <c r="B33" s="11" t="s">
        <v>530</v>
      </c>
      <c r="C33" s="11" t="s">
        <v>2187</v>
      </c>
      <c r="D33" s="11" t="s">
        <v>1005</v>
      </c>
      <c r="E33" s="13">
        <v>0</v>
      </c>
      <c r="F33" s="13">
        <v>0</v>
      </c>
      <c r="G33" s="11" t="s">
        <v>2169</v>
      </c>
      <c r="H33" s="12">
        <v>0</v>
      </c>
      <c r="I33" s="11" t="s">
        <v>130</v>
      </c>
    </row>
    <row r="34" spans="1:9" ht="15" customHeight="1" x14ac:dyDescent="0.25">
      <c r="A34" s="14" t="s">
        <v>2215</v>
      </c>
      <c r="B34" s="11" t="s">
        <v>2216</v>
      </c>
      <c r="C34" s="11" t="s">
        <v>2187</v>
      </c>
      <c r="D34" s="11" t="s">
        <v>1005</v>
      </c>
      <c r="E34" s="13">
        <v>0</v>
      </c>
      <c r="F34" s="13">
        <v>0</v>
      </c>
      <c r="G34" s="11" t="s">
        <v>2169</v>
      </c>
      <c r="H34" s="12">
        <v>0</v>
      </c>
      <c r="I34" s="11" t="s">
        <v>2217</v>
      </c>
    </row>
    <row r="35" spans="1:9" ht="15" customHeight="1" x14ac:dyDescent="0.25">
      <c r="A35" s="14" t="s">
        <v>2218</v>
      </c>
      <c r="B35" s="11" t="s">
        <v>2219</v>
      </c>
      <c r="C35" s="11" t="s">
        <v>2187</v>
      </c>
      <c r="D35" s="11" t="s">
        <v>1005</v>
      </c>
      <c r="E35" s="13">
        <v>0</v>
      </c>
      <c r="F35" s="13">
        <v>0</v>
      </c>
      <c r="G35" s="11" t="s">
        <v>2169</v>
      </c>
      <c r="H35" s="12">
        <v>0</v>
      </c>
      <c r="I35" s="11" t="s">
        <v>1334</v>
      </c>
    </row>
    <row r="36" spans="1:9" ht="15" customHeight="1" x14ac:dyDescent="0.25">
      <c r="A36" s="14" t="s">
        <v>2220</v>
      </c>
      <c r="B36" s="11" t="s">
        <v>2221</v>
      </c>
      <c r="C36" s="11" t="s">
        <v>2187</v>
      </c>
      <c r="D36" s="11" t="s">
        <v>1005</v>
      </c>
      <c r="E36" s="13">
        <v>0</v>
      </c>
      <c r="F36" s="13">
        <v>0</v>
      </c>
      <c r="G36" s="11" t="s">
        <v>2169</v>
      </c>
      <c r="H36" s="12">
        <v>0</v>
      </c>
      <c r="I36" s="11" t="s">
        <v>2222</v>
      </c>
    </row>
    <row r="37" spans="1:9" ht="15" customHeight="1" x14ac:dyDescent="0.25">
      <c r="A37" s="14" t="s">
        <v>2223</v>
      </c>
      <c r="B37" s="11" t="s">
        <v>2224</v>
      </c>
      <c r="C37" s="11" t="s">
        <v>2187</v>
      </c>
      <c r="D37" s="11" t="s">
        <v>1005</v>
      </c>
      <c r="E37" s="13">
        <v>0</v>
      </c>
      <c r="F37" s="13">
        <v>0</v>
      </c>
      <c r="G37" s="11" t="s">
        <v>2169</v>
      </c>
      <c r="H37" s="12">
        <v>0</v>
      </c>
      <c r="I37" s="11" t="s">
        <v>1336</v>
      </c>
    </row>
    <row r="38" spans="1:9" ht="15" customHeight="1" x14ac:dyDescent="0.25">
      <c r="A38" s="14" t="s">
        <v>2225</v>
      </c>
      <c r="B38" s="11" t="s">
        <v>2226</v>
      </c>
      <c r="C38" s="11" t="s">
        <v>2187</v>
      </c>
      <c r="D38" s="11" t="s">
        <v>1005</v>
      </c>
      <c r="E38" s="13">
        <v>0</v>
      </c>
      <c r="F38" s="13">
        <v>0</v>
      </c>
      <c r="G38" s="11" t="s">
        <v>2169</v>
      </c>
      <c r="H38" s="12">
        <v>0</v>
      </c>
      <c r="I38" s="11" t="s">
        <v>2227</v>
      </c>
    </row>
    <row r="39" spans="1:9" ht="15" customHeight="1" x14ac:dyDescent="0.25">
      <c r="A39" s="14" t="s">
        <v>2228</v>
      </c>
      <c r="B39" s="11" t="s">
        <v>2229</v>
      </c>
      <c r="C39" s="11" t="s">
        <v>2187</v>
      </c>
      <c r="D39" s="11" t="s">
        <v>1005</v>
      </c>
      <c r="E39" s="13">
        <v>0</v>
      </c>
      <c r="F39" s="13">
        <v>0</v>
      </c>
      <c r="G39" s="11" t="s">
        <v>2169</v>
      </c>
      <c r="H39" s="12">
        <v>0</v>
      </c>
      <c r="I39" s="11" t="s">
        <v>2230</v>
      </c>
    </row>
    <row r="40" spans="1:9" ht="15" customHeight="1" x14ac:dyDescent="0.25">
      <c r="A40" s="14" t="s">
        <v>2231</v>
      </c>
      <c r="B40" s="11" t="s">
        <v>2232</v>
      </c>
      <c r="C40" s="11" t="s">
        <v>2187</v>
      </c>
      <c r="D40" s="11" t="s">
        <v>1005</v>
      </c>
      <c r="E40" s="13">
        <v>0</v>
      </c>
      <c r="F40" s="13">
        <v>0</v>
      </c>
      <c r="G40" s="11" t="s">
        <v>2169</v>
      </c>
      <c r="H40" s="12">
        <v>0</v>
      </c>
      <c r="I40" s="11" t="s">
        <v>1338</v>
      </c>
    </row>
    <row r="41" spans="1:9" ht="15" customHeight="1" x14ac:dyDescent="0.25">
      <c r="A41" s="14" t="s">
        <v>2233</v>
      </c>
      <c r="B41" s="11" t="s">
        <v>2234</v>
      </c>
      <c r="C41" s="11" t="s">
        <v>2187</v>
      </c>
      <c r="D41" s="11" t="s">
        <v>1005</v>
      </c>
      <c r="E41" s="13">
        <v>0</v>
      </c>
      <c r="F41" s="13">
        <v>0</v>
      </c>
      <c r="G41" s="11" t="s">
        <v>2169</v>
      </c>
      <c r="H41" s="12">
        <v>0</v>
      </c>
      <c r="I41" s="11" t="s">
        <v>2235</v>
      </c>
    </row>
    <row r="42" spans="1:9" ht="15" customHeight="1" x14ac:dyDescent="0.25">
      <c r="A42" s="14" t="s">
        <v>2236</v>
      </c>
      <c r="B42" s="11" t="s">
        <v>531</v>
      </c>
      <c r="C42" s="11" t="s">
        <v>2187</v>
      </c>
      <c r="D42" s="11" t="s">
        <v>1005</v>
      </c>
      <c r="E42" s="13">
        <v>0</v>
      </c>
      <c r="F42" s="13">
        <v>0</v>
      </c>
      <c r="G42" s="11" t="s">
        <v>2169</v>
      </c>
      <c r="H42" s="12">
        <v>0</v>
      </c>
      <c r="I42" s="11" t="s">
        <v>93</v>
      </c>
    </row>
    <row r="43" spans="1:9" ht="15" customHeight="1" x14ac:dyDescent="0.25">
      <c r="A43" s="14" t="s">
        <v>2237</v>
      </c>
      <c r="B43" s="11" t="s">
        <v>532</v>
      </c>
      <c r="C43" s="11" t="s">
        <v>2187</v>
      </c>
      <c r="D43" s="11" t="s">
        <v>1005</v>
      </c>
      <c r="E43" s="13">
        <v>0</v>
      </c>
      <c r="F43" s="13">
        <v>0</v>
      </c>
      <c r="G43" s="11" t="s">
        <v>2169</v>
      </c>
      <c r="H43" s="12">
        <v>0</v>
      </c>
      <c r="I43" s="11" t="s">
        <v>123</v>
      </c>
    </row>
    <row r="44" spans="1:9" ht="15" customHeight="1" x14ac:dyDescent="0.25">
      <c r="A44" s="14" t="s">
        <v>2238</v>
      </c>
      <c r="B44" s="11" t="s">
        <v>534</v>
      </c>
      <c r="C44" s="11" t="s">
        <v>2187</v>
      </c>
      <c r="D44" s="11" t="s">
        <v>1005</v>
      </c>
      <c r="E44" s="13">
        <v>0</v>
      </c>
      <c r="F44" s="13">
        <v>0</v>
      </c>
      <c r="G44" s="11" t="s">
        <v>2169</v>
      </c>
      <c r="H44" s="12">
        <v>0</v>
      </c>
      <c r="I44" s="11" t="s">
        <v>139</v>
      </c>
    </row>
    <row r="45" spans="1:9" ht="15" customHeight="1" x14ac:dyDescent="0.25">
      <c r="A45" s="14" t="s">
        <v>2239</v>
      </c>
      <c r="B45" s="11" t="s">
        <v>2031</v>
      </c>
      <c r="C45" s="11" t="s">
        <v>2175</v>
      </c>
      <c r="D45" s="11" t="s">
        <v>1005</v>
      </c>
      <c r="E45" s="13">
        <v>0</v>
      </c>
      <c r="F45" s="13">
        <v>0</v>
      </c>
      <c r="G45" s="11" t="s">
        <v>2169</v>
      </c>
      <c r="H45" s="12">
        <v>0</v>
      </c>
      <c r="I45" s="11" t="s">
        <v>2032</v>
      </c>
    </row>
    <row r="46" spans="1:9" ht="15" customHeight="1" x14ac:dyDescent="0.25">
      <c r="A46" s="14" t="s">
        <v>2240</v>
      </c>
      <c r="B46" s="11" t="s">
        <v>2241</v>
      </c>
      <c r="C46" s="11" t="s">
        <v>2175</v>
      </c>
      <c r="D46" s="11" t="s">
        <v>1005</v>
      </c>
      <c r="E46" s="13">
        <v>0</v>
      </c>
      <c r="F46" s="13">
        <v>0</v>
      </c>
      <c r="G46" s="11" t="s">
        <v>2169</v>
      </c>
      <c r="H46" s="12">
        <v>0</v>
      </c>
      <c r="I46" s="11" t="s">
        <v>1866</v>
      </c>
    </row>
    <row r="47" spans="1:9" ht="15" customHeight="1" x14ac:dyDescent="0.25">
      <c r="A47" s="14" t="s">
        <v>2242</v>
      </c>
      <c r="B47" s="11" t="s">
        <v>2243</v>
      </c>
      <c r="C47" s="11" t="s">
        <v>2175</v>
      </c>
      <c r="D47" s="11" t="s">
        <v>1005</v>
      </c>
      <c r="E47" s="13">
        <v>0</v>
      </c>
      <c r="F47" s="13">
        <v>0</v>
      </c>
      <c r="G47" s="11" t="s">
        <v>2169</v>
      </c>
      <c r="H47" s="12">
        <v>0</v>
      </c>
      <c r="I47" s="11" t="s">
        <v>1868</v>
      </c>
    </row>
    <row r="48" spans="1:9" ht="15" customHeight="1" x14ac:dyDescent="0.25">
      <c r="A48" s="14" t="s">
        <v>2244</v>
      </c>
      <c r="B48" s="11" t="s">
        <v>2083</v>
      </c>
      <c r="C48" s="11" t="s">
        <v>2175</v>
      </c>
      <c r="D48" s="11" t="s">
        <v>1005</v>
      </c>
      <c r="E48" s="13">
        <v>0</v>
      </c>
      <c r="F48" s="13">
        <v>0</v>
      </c>
      <c r="G48" s="11" t="s">
        <v>2169</v>
      </c>
      <c r="H48" s="12">
        <v>0</v>
      </c>
      <c r="I48" s="11" t="s">
        <v>2084</v>
      </c>
    </row>
    <row r="49" spans="1:9" ht="15" customHeight="1" x14ac:dyDescent="0.25">
      <c r="A49" s="14" t="s">
        <v>2245</v>
      </c>
      <c r="B49" s="11" t="s">
        <v>2246</v>
      </c>
      <c r="C49" s="11" t="s">
        <v>2175</v>
      </c>
      <c r="D49" s="11" t="s">
        <v>1005</v>
      </c>
      <c r="E49" s="13">
        <v>0</v>
      </c>
      <c r="F49" s="13">
        <v>0</v>
      </c>
      <c r="G49" s="11" t="s">
        <v>2169</v>
      </c>
      <c r="H49" s="12">
        <v>0</v>
      </c>
      <c r="I49" s="11" t="s">
        <v>1870</v>
      </c>
    </row>
    <row r="50" spans="1:9" ht="15" customHeight="1" x14ac:dyDescent="0.25">
      <c r="A50" s="14" t="s">
        <v>2247</v>
      </c>
      <c r="B50" s="11" t="s">
        <v>2248</v>
      </c>
      <c r="C50" s="11" t="s">
        <v>2195</v>
      </c>
      <c r="D50" s="11" t="s">
        <v>1005</v>
      </c>
      <c r="E50" s="13">
        <v>0</v>
      </c>
      <c r="F50" s="13">
        <v>0</v>
      </c>
      <c r="G50" s="11" t="s">
        <v>2169</v>
      </c>
      <c r="H50" s="12">
        <v>0</v>
      </c>
      <c r="I50" s="11" t="s">
        <v>1748</v>
      </c>
    </row>
    <row r="51" spans="1:9" ht="15" customHeight="1" x14ac:dyDescent="0.25">
      <c r="A51" s="14" t="s">
        <v>2249</v>
      </c>
      <c r="B51" s="11" t="s">
        <v>2250</v>
      </c>
      <c r="C51" s="11" t="s">
        <v>2251</v>
      </c>
      <c r="D51" s="11" t="s">
        <v>922</v>
      </c>
      <c r="E51" s="13">
        <v>2</v>
      </c>
      <c r="F51" s="13">
        <v>50</v>
      </c>
      <c r="G51" s="11" t="s">
        <v>2166</v>
      </c>
      <c r="H51" s="12">
        <v>191400</v>
      </c>
      <c r="I51" s="11" t="s">
        <v>190</v>
      </c>
    </row>
    <row r="52" spans="1:9" ht="15" customHeight="1" x14ac:dyDescent="0.25">
      <c r="A52" s="14" t="s">
        <v>2252</v>
      </c>
      <c r="B52" s="11" t="s">
        <v>2253</v>
      </c>
      <c r="C52" s="11" t="s">
        <v>2254</v>
      </c>
      <c r="D52" s="11" t="s">
        <v>1005</v>
      </c>
      <c r="E52" s="13">
        <v>0</v>
      </c>
      <c r="F52" s="13">
        <v>440</v>
      </c>
      <c r="G52" s="11" t="s">
        <v>2169</v>
      </c>
      <c r="H52" s="12">
        <v>0</v>
      </c>
      <c r="I52" s="11" t="s">
        <v>1707</v>
      </c>
    </row>
    <row r="53" spans="1:9" ht="15" customHeight="1" x14ac:dyDescent="0.25">
      <c r="A53" s="14" t="s">
        <v>2255</v>
      </c>
      <c r="B53" s="11" t="s">
        <v>533</v>
      </c>
      <c r="C53" s="11" t="s">
        <v>2251</v>
      </c>
      <c r="D53" s="11" t="s">
        <v>922</v>
      </c>
      <c r="E53" s="13">
        <v>25</v>
      </c>
      <c r="F53" s="13">
        <v>9</v>
      </c>
      <c r="G53" s="11" t="s">
        <v>2161</v>
      </c>
      <c r="H53" s="12">
        <v>659100</v>
      </c>
      <c r="I53" s="11" t="s">
        <v>78</v>
      </c>
    </row>
    <row r="54" spans="1:9" ht="15" customHeight="1" x14ac:dyDescent="0.25">
      <c r="A54" s="14" t="s">
        <v>2256</v>
      </c>
      <c r="B54" s="11" t="s">
        <v>2257</v>
      </c>
      <c r="C54" s="11" t="s">
        <v>2187</v>
      </c>
      <c r="D54" s="11" t="s">
        <v>1005</v>
      </c>
      <c r="E54" s="13">
        <v>0</v>
      </c>
      <c r="F54" s="13">
        <v>26</v>
      </c>
      <c r="G54" s="11" t="s">
        <v>2169</v>
      </c>
      <c r="H54" s="12">
        <v>0</v>
      </c>
      <c r="I54" s="11" t="s">
        <v>149</v>
      </c>
    </row>
    <row r="55" spans="1:9" ht="15" customHeight="1" x14ac:dyDescent="0.25">
      <c r="A55" s="14" t="s">
        <v>2258</v>
      </c>
      <c r="B55" s="11" t="s">
        <v>2259</v>
      </c>
      <c r="C55" s="11" t="s">
        <v>2187</v>
      </c>
      <c r="D55" s="11" t="s">
        <v>1005</v>
      </c>
      <c r="E55" s="13">
        <v>0</v>
      </c>
      <c r="F55" s="13">
        <v>70</v>
      </c>
      <c r="G55" s="11" t="s">
        <v>2169</v>
      </c>
      <c r="H55" s="12">
        <v>0</v>
      </c>
      <c r="I55" s="11" t="s">
        <v>90</v>
      </c>
    </row>
    <row r="56" spans="1:9" ht="15" customHeight="1" x14ac:dyDescent="0.25">
      <c r="A56" s="14" t="s">
        <v>2260</v>
      </c>
      <c r="B56" s="11" t="s">
        <v>539</v>
      </c>
      <c r="C56" s="11" t="s">
        <v>2187</v>
      </c>
      <c r="D56" s="11" t="s">
        <v>1005</v>
      </c>
      <c r="E56" s="13">
        <v>121</v>
      </c>
      <c r="F56" s="13">
        <v>10</v>
      </c>
      <c r="G56" s="11" t="s">
        <v>2161</v>
      </c>
      <c r="H56" s="12">
        <v>703312.5</v>
      </c>
      <c r="I56" s="11" t="s">
        <v>197</v>
      </c>
    </row>
    <row r="57" spans="1:9" ht="15" customHeight="1" x14ac:dyDescent="0.25">
      <c r="A57" s="14" t="s">
        <v>2261</v>
      </c>
      <c r="B57" s="11" t="s">
        <v>1514</v>
      </c>
      <c r="C57" s="11" t="s">
        <v>2262</v>
      </c>
      <c r="D57" s="11" t="s">
        <v>922</v>
      </c>
      <c r="E57" s="13">
        <v>1.85</v>
      </c>
      <c r="F57" s="13">
        <v>5</v>
      </c>
      <c r="G57" s="11" t="s">
        <v>2166</v>
      </c>
      <c r="H57" s="12">
        <v>74000</v>
      </c>
      <c r="I57" s="11" t="s">
        <v>198</v>
      </c>
    </row>
    <row r="58" spans="1:9" ht="15" customHeight="1" x14ac:dyDescent="0.25">
      <c r="A58" s="14" t="s">
        <v>2263</v>
      </c>
      <c r="B58" s="11" t="s">
        <v>1513</v>
      </c>
      <c r="C58" s="11" t="s">
        <v>2262</v>
      </c>
      <c r="D58" s="11" t="s">
        <v>922</v>
      </c>
      <c r="E58" s="13">
        <v>1.9</v>
      </c>
      <c r="F58" s="13">
        <v>2</v>
      </c>
      <c r="G58" s="11" t="s">
        <v>2166</v>
      </c>
      <c r="H58" s="12">
        <v>34200</v>
      </c>
      <c r="I58" s="11" t="s">
        <v>199</v>
      </c>
    </row>
    <row r="59" spans="1:9" ht="15" customHeight="1" x14ac:dyDescent="0.25">
      <c r="A59" s="14" t="s">
        <v>2264</v>
      </c>
      <c r="B59" s="11" t="s">
        <v>2265</v>
      </c>
      <c r="C59" s="11" t="s">
        <v>2262</v>
      </c>
      <c r="D59" s="11" t="s">
        <v>2200</v>
      </c>
      <c r="E59" s="13">
        <v>4200</v>
      </c>
      <c r="F59" s="13">
        <v>144</v>
      </c>
      <c r="G59" s="11" t="s">
        <v>2161</v>
      </c>
      <c r="H59" s="12">
        <v>189000</v>
      </c>
      <c r="I59" s="11" t="s">
        <v>191</v>
      </c>
    </row>
    <row r="60" spans="1:9" ht="15" customHeight="1" x14ac:dyDescent="0.25">
      <c r="A60" s="14" t="s">
        <v>2266</v>
      </c>
      <c r="B60" s="11" t="s">
        <v>2267</v>
      </c>
      <c r="C60" s="11" t="s">
        <v>2262</v>
      </c>
      <c r="D60" s="11" t="s">
        <v>2200</v>
      </c>
      <c r="E60" s="13">
        <v>4300</v>
      </c>
      <c r="F60" s="13">
        <v>144</v>
      </c>
      <c r="G60" s="11" t="s">
        <v>2161</v>
      </c>
      <c r="H60" s="12">
        <v>172000</v>
      </c>
      <c r="I60" s="11" t="s">
        <v>192</v>
      </c>
    </row>
    <row r="61" spans="1:9" ht="15" customHeight="1" x14ac:dyDescent="0.25">
      <c r="A61" s="14" t="s">
        <v>2268</v>
      </c>
      <c r="B61" s="11" t="s">
        <v>2269</v>
      </c>
      <c r="C61" s="11" t="s">
        <v>2160</v>
      </c>
      <c r="D61" s="11" t="s">
        <v>922</v>
      </c>
      <c r="E61" s="13">
        <v>0</v>
      </c>
      <c r="F61" s="13">
        <v>0</v>
      </c>
      <c r="G61" s="11" t="s">
        <v>2169</v>
      </c>
      <c r="H61" s="12">
        <v>0</v>
      </c>
      <c r="I61" s="11" t="s">
        <v>1826</v>
      </c>
    </row>
    <row r="62" spans="1:9" ht="15" customHeight="1" x14ac:dyDescent="0.25">
      <c r="A62" s="14" t="s">
        <v>2270</v>
      </c>
      <c r="B62" s="11" t="s">
        <v>2271</v>
      </c>
      <c r="C62" s="11" t="s">
        <v>2262</v>
      </c>
      <c r="D62" s="11" t="s">
        <v>2200</v>
      </c>
      <c r="E62" s="13">
        <v>4160</v>
      </c>
      <c r="F62" s="13">
        <v>0</v>
      </c>
      <c r="G62" s="11" t="s">
        <v>2161</v>
      </c>
      <c r="H62" s="12">
        <v>110500</v>
      </c>
      <c r="I62" s="11" t="s">
        <v>193</v>
      </c>
    </row>
    <row r="63" spans="1:9" ht="15" customHeight="1" x14ac:dyDescent="0.25">
      <c r="A63" s="14" t="s">
        <v>2272</v>
      </c>
      <c r="B63" s="11" t="s">
        <v>2273</v>
      </c>
      <c r="C63" s="11" t="s">
        <v>2172</v>
      </c>
      <c r="D63" s="11" t="s">
        <v>2274</v>
      </c>
      <c r="E63" s="13">
        <v>20</v>
      </c>
      <c r="F63" s="13">
        <v>56</v>
      </c>
      <c r="G63" s="11" t="s">
        <v>2166</v>
      </c>
      <c r="H63" s="12">
        <v>147200</v>
      </c>
      <c r="I63" s="11" t="s">
        <v>194</v>
      </c>
    </row>
    <row r="64" spans="1:9" ht="15" customHeight="1" x14ac:dyDescent="0.25">
      <c r="A64" s="14" t="s">
        <v>2275</v>
      </c>
      <c r="B64" s="11" t="s">
        <v>2276</v>
      </c>
      <c r="C64" s="11" t="s">
        <v>2172</v>
      </c>
      <c r="D64" s="11" t="s">
        <v>922</v>
      </c>
      <c r="E64" s="13">
        <v>35</v>
      </c>
      <c r="F64" s="13">
        <v>12</v>
      </c>
      <c r="G64" s="11" t="s">
        <v>2161</v>
      </c>
      <c r="H64" s="12">
        <v>1631700</v>
      </c>
      <c r="I64" s="11" t="s">
        <v>195</v>
      </c>
    </row>
    <row r="65" spans="1:9" ht="15" customHeight="1" x14ac:dyDescent="0.25">
      <c r="A65" s="14" t="s">
        <v>2277</v>
      </c>
      <c r="B65" s="11" t="s">
        <v>537</v>
      </c>
      <c r="C65" s="11" t="s">
        <v>2278</v>
      </c>
      <c r="D65" s="11" t="s">
        <v>922</v>
      </c>
      <c r="E65" s="13">
        <v>18</v>
      </c>
      <c r="F65" s="13">
        <v>10</v>
      </c>
      <c r="G65" s="11" t="s">
        <v>2161</v>
      </c>
      <c r="H65" s="12">
        <v>1198800</v>
      </c>
      <c r="I65" s="11" t="s">
        <v>200</v>
      </c>
    </row>
    <row r="66" spans="1:9" ht="15" customHeight="1" x14ac:dyDescent="0.25">
      <c r="A66" s="14" t="s">
        <v>2279</v>
      </c>
      <c r="B66" s="11" t="s">
        <v>2280</v>
      </c>
      <c r="C66" s="11" t="s">
        <v>2160</v>
      </c>
      <c r="D66" s="11" t="s">
        <v>2200</v>
      </c>
      <c r="E66" s="13">
        <v>1350</v>
      </c>
      <c r="F66" s="13">
        <v>910</v>
      </c>
      <c r="G66" s="11" t="s">
        <v>2161</v>
      </c>
      <c r="H66" s="12">
        <v>270000</v>
      </c>
      <c r="I66" s="11" t="s">
        <v>196</v>
      </c>
    </row>
    <row r="67" spans="1:9" ht="15" customHeight="1" x14ac:dyDescent="0.25">
      <c r="A67" s="14" t="s">
        <v>2281</v>
      </c>
      <c r="B67" s="11" t="s">
        <v>1158</v>
      </c>
      <c r="C67" s="11" t="s">
        <v>2172</v>
      </c>
      <c r="D67" s="11" t="s">
        <v>1005</v>
      </c>
      <c r="E67" s="13">
        <v>74</v>
      </c>
      <c r="F67" s="13">
        <v>1</v>
      </c>
      <c r="G67" s="11" t="s">
        <v>2161</v>
      </c>
      <c r="H67" s="12">
        <v>5002400</v>
      </c>
      <c r="I67" s="11" t="s">
        <v>201</v>
      </c>
    </row>
    <row r="68" spans="1:9" ht="15" customHeight="1" x14ac:dyDescent="0.25">
      <c r="A68" s="14" t="s">
        <v>2282</v>
      </c>
      <c r="B68" s="11" t="s">
        <v>1157</v>
      </c>
      <c r="C68" s="11" t="s">
        <v>2172</v>
      </c>
      <c r="D68" s="11" t="s">
        <v>1005</v>
      </c>
      <c r="E68" s="13">
        <v>19</v>
      </c>
      <c r="F68" s="13">
        <v>6</v>
      </c>
      <c r="G68" s="11" t="s">
        <v>2161</v>
      </c>
      <c r="H68" s="12">
        <v>937650</v>
      </c>
      <c r="I68" s="11" t="s">
        <v>202</v>
      </c>
    </row>
    <row r="69" spans="1:9" ht="15" customHeight="1" x14ac:dyDescent="0.25">
      <c r="A69" s="14" t="s">
        <v>2283</v>
      </c>
      <c r="B69" s="11" t="s">
        <v>2284</v>
      </c>
      <c r="C69" s="11" t="s">
        <v>2187</v>
      </c>
      <c r="D69" s="11" t="s">
        <v>1005</v>
      </c>
      <c r="E69" s="13">
        <v>0</v>
      </c>
      <c r="F69" s="13">
        <v>0</v>
      </c>
      <c r="G69" s="11" t="s">
        <v>2169</v>
      </c>
      <c r="H69" s="12">
        <v>0</v>
      </c>
      <c r="I69" s="11" t="s">
        <v>1806</v>
      </c>
    </row>
    <row r="70" spans="1:9" ht="15" customHeight="1" x14ac:dyDescent="0.25">
      <c r="A70" s="14" t="s">
        <v>2285</v>
      </c>
      <c r="B70" s="11" t="s">
        <v>2286</v>
      </c>
      <c r="C70" s="11" t="s">
        <v>2175</v>
      </c>
      <c r="D70" s="11" t="s">
        <v>922</v>
      </c>
      <c r="E70" s="13">
        <v>0</v>
      </c>
      <c r="F70" s="13">
        <v>0</v>
      </c>
      <c r="G70" s="11" t="s">
        <v>2169</v>
      </c>
      <c r="H70" s="12">
        <v>0</v>
      </c>
      <c r="I70" s="11" t="s">
        <v>2287</v>
      </c>
    </row>
    <row r="71" spans="1:9" ht="15" customHeight="1" x14ac:dyDescent="0.25">
      <c r="A71" s="14" t="s">
        <v>2288</v>
      </c>
      <c r="B71" s="11" t="s">
        <v>2289</v>
      </c>
      <c r="C71" s="11" t="s">
        <v>2193</v>
      </c>
      <c r="D71" s="11" t="s">
        <v>2200</v>
      </c>
      <c r="E71" s="13">
        <v>0</v>
      </c>
      <c r="F71" s="13">
        <v>0</v>
      </c>
      <c r="G71" s="11" t="s">
        <v>2169</v>
      </c>
      <c r="H71" s="12">
        <v>0</v>
      </c>
      <c r="I71" s="11" t="s">
        <v>1731</v>
      </c>
    </row>
    <row r="72" spans="1:9" ht="15" customHeight="1" x14ac:dyDescent="0.25">
      <c r="A72" s="14" t="s">
        <v>2290</v>
      </c>
      <c r="B72" s="11" t="s">
        <v>2291</v>
      </c>
      <c r="C72" s="11" t="s">
        <v>2262</v>
      </c>
      <c r="D72" s="11" t="s">
        <v>2200</v>
      </c>
      <c r="E72" s="13">
        <v>247.20500000000001</v>
      </c>
      <c r="F72" s="13">
        <v>0</v>
      </c>
      <c r="G72" s="11" t="s">
        <v>2161</v>
      </c>
      <c r="H72" s="12">
        <v>11865.84</v>
      </c>
      <c r="I72" s="11" t="s">
        <v>151</v>
      </c>
    </row>
    <row r="73" spans="1:9" ht="15" customHeight="1" x14ac:dyDescent="0.25">
      <c r="A73" s="14" t="s">
        <v>2292</v>
      </c>
      <c r="B73" s="11" t="s">
        <v>2293</v>
      </c>
      <c r="C73" s="11" t="s">
        <v>2175</v>
      </c>
      <c r="D73" s="11" t="s">
        <v>1005</v>
      </c>
      <c r="E73" s="13">
        <v>0</v>
      </c>
      <c r="F73" s="13">
        <v>6</v>
      </c>
      <c r="G73" s="11" t="s">
        <v>2169</v>
      </c>
      <c r="H73" s="12">
        <v>0</v>
      </c>
      <c r="I73" s="11" t="s">
        <v>1908</v>
      </c>
    </row>
    <row r="74" spans="1:9" ht="15" customHeight="1" x14ac:dyDescent="0.25">
      <c r="A74" s="14" t="s">
        <v>2294</v>
      </c>
      <c r="B74" s="11" t="s">
        <v>2295</v>
      </c>
      <c r="C74" s="11" t="s">
        <v>2254</v>
      </c>
      <c r="D74" s="11" t="s">
        <v>1005</v>
      </c>
      <c r="E74" s="13">
        <v>9000</v>
      </c>
      <c r="F74" s="13">
        <v>8847</v>
      </c>
      <c r="G74" s="11" t="s">
        <v>2161</v>
      </c>
      <c r="H74" s="12">
        <v>234000</v>
      </c>
      <c r="I74" s="11" t="s">
        <v>203</v>
      </c>
    </row>
    <row r="75" spans="1:9" ht="15" customHeight="1" x14ac:dyDescent="0.25">
      <c r="A75" s="14" t="s">
        <v>2296</v>
      </c>
      <c r="B75" s="11" t="s">
        <v>554</v>
      </c>
      <c r="C75" s="11" t="s">
        <v>2251</v>
      </c>
      <c r="D75" s="11" t="s">
        <v>922</v>
      </c>
      <c r="E75" s="13">
        <v>80</v>
      </c>
      <c r="F75" s="13">
        <v>0</v>
      </c>
      <c r="G75" s="11" t="s">
        <v>2161</v>
      </c>
      <c r="H75" s="12">
        <v>6600000</v>
      </c>
      <c r="I75" s="11" t="s">
        <v>39</v>
      </c>
    </row>
    <row r="76" spans="1:9" ht="15" customHeight="1" x14ac:dyDescent="0.25">
      <c r="A76" s="14" t="s">
        <v>2297</v>
      </c>
      <c r="B76" s="11" t="s">
        <v>2298</v>
      </c>
      <c r="C76" s="11" t="s">
        <v>2251</v>
      </c>
      <c r="D76" s="11" t="s">
        <v>922</v>
      </c>
      <c r="E76" s="13">
        <v>100</v>
      </c>
      <c r="F76" s="13">
        <v>11</v>
      </c>
      <c r="G76" s="11" t="s">
        <v>2161</v>
      </c>
      <c r="H76" s="12">
        <v>3200000</v>
      </c>
      <c r="I76" s="11" t="s">
        <v>204</v>
      </c>
    </row>
    <row r="77" spans="1:9" ht="15" customHeight="1" x14ac:dyDescent="0.25">
      <c r="A77" s="14" t="s">
        <v>2299</v>
      </c>
      <c r="B77" s="11" t="s">
        <v>611</v>
      </c>
      <c r="C77" s="11" t="s">
        <v>2300</v>
      </c>
      <c r="D77" s="11" t="s">
        <v>1005</v>
      </c>
      <c r="E77" s="13">
        <v>2900</v>
      </c>
      <c r="F77" s="13">
        <v>0</v>
      </c>
      <c r="G77" s="11" t="s">
        <v>2161</v>
      </c>
      <c r="H77" s="12">
        <v>997890</v>
      </c>
      <c r="I77" s="11" t="s">
        <v>178</v>
      </c>
    </row>
    <row r="78" spans="1:9" ht="15" customHeight="1" x14ac:dyDescent="0.25">
      <c r="A78" s="14" t="s">
        <v>2301</v>
      </c>
      <c r="B78" s="11" t="s">
        <v>563</v>
      </c>
      <c r="C78" s="11" t="s">
        <v>2302</v>
      </c>
      <c r="D78" s="11" t="s">
        <v>922</v>
      </c>
      <c r="E78" s="13">
        <v>55.2</v>
      </c>
      <c r="F78" s="13">
        <v>19</v>
      </c>
      <c r="G78" s="11" t="s">
        <v>2161</v>
      </c>
      <c r="H78" s="12">
        <v>7590000</v>
      </c>
      <c r="I78" s="11" t="s">
        <v>58</v>
      </c>
    </row>
    <row r="79" spans="1:9" ht="15" customHeight="1" x14ac:dyDescent="0.25">
      <c r="A79" s="14" t="s">
        <v>2303</v>
      </c>
      <c r="B79" s="11" t="s">
        <v>564</v>
      </c>
      <c r="C79" s="11" t="s">
        <v>2278</v>
      </c>
      <c r="D79" s="11" t="s">
        <v>922</v>
      </c>
      <c r="E79" s="13">
        <v>170</v>
      </c>
      <c r="F79" s="13">
        <v>48</v>
      </c>
      <c r="G79" s="11" t="s">
        <v>2161</v>
      </c>
      <c r="H79" s="12">
        <v>49062000</v>
      </c>
      <c r="I79" s="11" t="s">
        <v>210</v>
      </c>
    </row>
    <row r="80" spans="1:9" ht="15" customHeight="1" x14ac:dyDescent="0.25">
      <c r="A80" s="14" t="s">
        <v>2304</v>
      </c>
      <c r="B80" s="11" t="s">
        <v>593</v>
      </c>
      <c r="C80" s="11" t="s">
        <v>2172</v>
      </c>
      <c r="D80" s="11" t="s">
        <v>922</v>
      </c>
      <c r="E80" s="13">
        <v>0</v>
      </c>
      <c r="F80" s="13">
        <v>0</v>
      </c>
      <c r="G80" s="11" t="s">
        <v>2169</v>
      </c>
      <c r="H80" s="12">
        <v>0</v>
      </c>
      <c r="I80" s="11" t="s">
        <v>594</v>
      </c>
    </row>
    <row r="81" spans="1:9" ht="15" customHeight="1" x14ac:dyDescent="0.25">
      <c r="A81" s="14" t="s">
        <v>2305</v>
      </c>
      <c r="B81" s="11" t="s">
        <v>599</v>
      </c>
      <c r="C81" s="11" t="s">
        <v>2172</v>
      </c>
      <c r="D81" s="11" t="s">
        <v>922</v>
      </c>
      <c r="E81" s="13">
        <v>0</v>
      </c>
      <c r="F81" s="13">
        <v>0</v>
      </c>
      <c r="G81" s="11" t="s">
        <v>2169</v>
      </c>
      <c r="H81" s="12">
        <v>0</v>
      </c>
      <c r="I81" s="11" t="s">
        <v>600</v>
      </c>
    </row>
    <row r="82" spans="1:9" ht="15" customHeight="1" x14ac:dyDescent="0.25">
      <c r="A82" s="14" t="s">
        <v>2306</v>
      </c>
      <c r="B82" s="11" t="s">
        <v>601</v>
      </c>
      <c r="C82" s="11" t="s">
        <v>2172</v>
      </c>
      <c r="D82" s="11" t="s">
        <v>922</v>
      </c>
      <c r="E82" s="13">
        <v>0</v>
      </c>
      <c r="F82" s="13">
        <v>0</v>
      </c>
      <c r="G82" s="11" t="s">
        <v>2169</v>
      </c>
      <c r="H82" s="12">
        <v>0</v>
      </c>
      <c r="I82" s="11" t="s">
        <v>602</v>
      </c>
    </row>
    <row r="83" spans="1:9" ht="15" customHeight="1" x14ac:dyDescent="0.25">
      <c r="A83" s="14" t="s">
        <v>2307</v>
      </c>
      <c r="B83" s="11" t="s">
        <v>603</v>
      </c>
      <c r="C83" s="11" t="s">
        <v>2278</v>
      </c>
      <c r="D83" s="11" t="s">
        <v>922</v>
      </c>
      <c r="E83" s="13">
        <v>0</v>
      </c>
      <c r="F83" s="13">
        <v>0</v>
      </c>
      <c r="G83" s="11" t="s">
        <v>2169</v>
      </c>
      <c r="H83" s="12">
        <v>0</v>
      </c>
      <c r="I83" s="11" t="s">
        <v>604</v>
      </c>
    </row>
    <row r="84" spans="1:9" ht="15" customHeight="1" x14ac:dyDescent="0.25">
      <c r="A84" s="14" t="s">
        <v>2308</v>
      </c>
      <c r="B84" s="11" t="s">
        <v>605</v>
      </c>
      <c r="C84" s="11" t="s">
        <v>2278</v>
      </c>
      <c r="D84" s="11" t="s">
        <v>922</v>
      </c>
      <c r="E84" s="13">
        <v>0</v>
      </c>
      <c r="F84" s="13">
        <v>0</v>
      </c>
      <c r="G84" s="11" t="s">
        <v>2169</v>
      </c>
      <c r="H84" s="12">
        <v>0</v>
      </c>
      <c r="I84" s="11" t="s">
        <v>606</v>
      </c>
    </row>
    <row r="85" spans="1:9" ht="15" customHeight="1" x14ac:dyDescent="0.25">
      <c r="A85" s="14" t="s">
        <v>2309</v>
      </c>
      <c r="B85" s="11" t="s">
        <v>2310</v>
      </c>
      <c r="C85" s="11" t="s">
        <v>2172</v>
      </c>
      <c r="D85" s="11" t="s">
        <v>922</v>
      </c>
      <c r="E85" s="13">
        <v>920</v>
      </c>
      <c r="F85" s="13">
        <v>40</v>
      </c>
      <c r="G85" s="11" t="s">
        <v>2161</v>
      </c>
      <c r="H85" s="12">
        <v>64642650</v>
      </c>
      <c r="I85" s="11" t="s">
        <v>205</v>
      </c>
    </row>
    <row r="86" spans="1:9" ht="15" customHeight="1" x14ac:dyDescent="0.25">
      <c r="A86" s="14" t="s">
        <v>2311</v>
      </c>
      <c r="B86" s="11" t="s">
        <v>614</v>
      </c>
      <c r="C86" s="11" t="s">
        <v>2278</v>
      </c>
      <c r="D86" s="11" t="s">
        <v>922</v>
      </c>
      <c r="E86" s="13">
        <v>304</v>
      </c>
      <c r="F86" s="13">
        <v>0</v>
      </c>
      <c r="G86" s="11" t="s">
        <v>2161</v>
      </c>
      <c r="H86" s="12">
        <v>28823000</v>
      </c>
      <c r="I86" s="11" t="s">
        <v>211</v>
      </c>
    </row>
    <row r="87" spans="1:9" ht="15" customHeight="1" x14ac:dyDescent="0.25">
      <c r="A87" s="14" t="s">
        <v>2312</v>
      </c>
      <c r="B87" s="11" t="s">
        <v>617</v>
      </c>
      <c r="C87" s="11" t="s">
        <v>2278</v>
      </c>
      <c r="D87" s="11" t="s">
        <v>922</v>
      </c>
      <c r="E87" s="13">
        <v>0</v>
      </c>
      <c r="F87" s="13">
        <v>0</v>
      </c>
      <c r="G87" s="11" t="s">
        <v>2169</v>
      </c>
      <c r="H87" s="12">
        <v>0</v>
      </c>
      <c r="I87" s="11" t="s">
        <v>618</v>
      </c>
    </row>
    <row r="88" spans="1:9" ht="15" customHeight="1" x14ac:dyDescent="0.25">
      <c r="A88" s="14" t="s">
        <v>2313</v>
      </c>
      <c r="B88" s="11" t="s">
        <v>2314</v>
      </c>
      <c r="C88" s="11" t="s">
        <v>2160</v>
      </c>
      <c r="D88" s="11" t="s">
        <v>922</v>
      </c>
      <c r="E88" s="13">
        <v>0</v>
      </c>
      <c r="F88" s="13">
        <v>4</v>
      </c>
      <c r="G88" s="11" t="s">
        <v>2169</v>
      </c>
      <c r="H88" s="12">
        <v>0</v>
      </c>
      <c r="I88" s="11" t="s">
        <v>1452</v>
      </c>
    </row>
    <row r="89" spans="1:9" ht="15" customHeight="1" x14ac:dyDescent="0.25">
      <c r="A89" s="14" t="s">
        <v>2315</v>
      </c>
      <c r="B89" s="11" t="s">
        <v>621</v>
      </c>
      <c r="C89" s="11" t="s">
        <v>2195</v>
      </c>
      <c r="D89" s="11" t="s">
        <v>922</v>
      </c>
      <c r="E89" s="13">
        <v>49</v>
      </c>
      <c r="F89" s="13">
        <v>17</v>
      </c>
      <c r="G89" s="11" t="s">
        <v>2161</v>
      </c>
      <c r="H89" s="12">
        <v>4281052.6338999998</v>
      </c>
      <c r="I89" s="11" t="s">
        <v>42</v>
      </c>
    </row>
    <row r="90" spans="1:9" ht="15" customHeight="1" x14ac:dyDescent="0.25">
      <c r="A90" s="14" t="s">
        <v>2316</v>
      </c>
      <c r="B90" s="11" t="s">
        <v>2317</v>
      </c>
      <c r="C90" s="11" t="s">
        <v>2318</v>
      </c>
      <c r="D90" s="11" t="s">
        <v>2200</v>
      </c>
      <c r="E90" s="13">
        <v>2000</v>
      </c>
      <c r="F90" s="13">
        <v>500</v>
      </c>
      <c r="G90" s="11" t="s">
        <v>2161</v>
      </c>
      <c r="H90" s="12">
        <v>190000</v>
      </c>
      <c r="I90" s="11" t="s">
        <v>206</v>
      </c>
    </row>
    <row r="91" spans="1:9" ht="15" customHeight="1" x14ac:dyDescent="0.25">
      <c r="A91" s="14" t="s">
        <v>2319</v>
      </c>
      <c r="B91" s="11" t="s">
        <v>2320</v>
      </c>
      <c r="C91" s="11" t="s">
        <v>2251</v>
      </c>
      <c r="D91" s="11" t="s">
        <v>1005</v>
      </c>
      <c r="E91" s="13">
        <v>0</v>
      </c>
      <c r="F91" s="13">
        <v>1</v>
      </c>
      <c r="G91" s="11" t="s">
        <v>2169</v>
      </c>
      <c r="H91" s="12">
        <v>0</v>
      </c>
      <c r="I91" s="11" t="s">
        <v>1812</v>
      </c>
    </row>
    <row r="92" spans="1:9" ht="15" customHeight="1" x14ac:dyDescent="0.25">
      <c r="A92" s="14" t="s">
        <v>2321</v>
      </c>
      <c r="B92" s="11" t="s">
        <v>2322</v>
      </c>
      <c r="C92" s="11" t="s">
        <v>2278</v>
      </c>
      <c r="D92" s="11" t="s">
        <v>922</v>
      </c>
      <c r="E92" s="13">
        <v>0</v>
      </c>
      <c r="F92" s="13">
        <v>0</v>
      </c>
      <c r="G92" s="11" t="s">
        <v>2169</v>
      </c>
      <c r="H92" s="12">
        <v>0</v>
      </c>
      <c r="I92" s="11" t="s">
        <v>2323</v>
      </c>
    </row>
    <row r="93" spans="1:9" ht="15" customHeight="1" x14ac:dyDescent="0.25">
      <c r="A93" s="14" t="s">
        <v>2324</v>
      </c>
      <c r="B93" s="11" t="s">
        <v>2325</v>
      </c>
      <c r="C93" s="11" t="s">
        <v>2326</v>
      </c>
      <c r="D93" s="11" t="s">
        <v>922</v>
      </c>
      <c r="E93" s="13">
        <v>19.95</v>
      </c>
      <c r="F93" s="13">
        <v>0</v>
      </c>
      <c r="G93" s="11" t="s">
        <v>2161</v>
      </c>
      <c r="H93" s="12">
        <v>5902845.9000000004</v>
      </c>
      <c r="I93" s="11" t="s">
        <v>142</v>
      </c>
    </row>
    <row r="94" spans="1:9" ht="15" customHeight="1" x14ac:dyDescent="0.25">
      <c r="A94" s="14" t="s">
        <v>2327</v>
      </c>
      <c r="B94" s="11" t="s">
        <v>2328</v>
      </c>
      <c r="C94" s="11" t="s">
        <v>2326</v>
      </c>
      <c r="D94" s="11" t="s">
        <v>922</v>
      </c>
      <c r="E94" s="13">
        <v>0</v>
      </c>
      <c r="F94" s="13">
        <v>0</v>
      </c>
      <c r="G94" s="11" t="s">
        <v>2169</v>
      </c>
      <c r="H94" s="12">
        <v>0</v>
      </c>
      <c r="I94" s="11" t="s">
        <v>1849</v>
      </c>
    </row>
    <row r="95" spans="1:9" ht="15" customHeight="1" x14ac:dyDescent="0.25">
      <c r="A95" s="14" t="s">
        <v>2329</v>
      </c>
      <c r="B95" s="11" t="s">
        <v>2330</v>
      </c>
      <c r="C95" s="11" t="s">
        <v>2172</v>
      </c>
      <c r="D95" s="11" t="s">
        <v>922</v>
      </c>
      <c r="E95" s="13">
        <v>0</v>
      </c>
      <c r="F95" s="13">
        <v>60</v>
      </c>
      <c r="G95" s="11" t="s">
        <v>2169</v>
      </c>
      <c r="H95" s="12">
        <v>0</v>
      </c>
      <c r="I95" s="11" t="s">
        <v>1550</v>
      </c>
    </row>
    <row r="96" spans="1:9" ht="15" customHeight="1" x14ac:dyDescent="0.25">
      <c r="A96" s="14" t="s">
        <v>2331</v>
      </c>
      <c r="B96" s="11" t="s">
        <v>2332</v>
      </c>
      <c r="C96" s="11" t="s">
        <v>2172</v>
      </c>
      <c r="D96" s="11" t="s">
        <v>922</v>
      </c>
      <c r="E96" s="13">
        <v>0</v>
      </c>
      <c r="F96" s="13">
        <v>33</v>
      </c>
      <c r="G96" s="11" t="s">
        <v>2169</v>
      </c>
      <c r="H96" s="12">
        <v>0</v>
      </c>
      <c r="I96" s="11" t="s">
        <v>1584</v>
      </c>
    </row>
    <row r="97" spans="1:9" ht="15" customHeight="1" x14ac:dyDescent="0.25">
      <c r="A97" s="14" t="s">
        <v>2333</v>
      </c>
      <c r="B97" s="11" t="s">
        <v>2334</v>
      </c>
      <c r="C97" s="11" t="s">
        <v>2172</v>
      </c>
      <c r="D97" s="11" t="s">
        <v>2200</v>
      </c>
      <c r="E97" s="13">
        <v>255000</v>
      </c>
      <c r="F97" s="13">
        <v>440000</v>
      </c>
      <c r="G97" s="11" t="s">
        <v>2166</v>
      </c>
      <c r="H97" s="12">
        <v>6566250</v>
      </c>
      <c r="I97" s="11" t="s">
        <v>207</v>
      </c>
    </row>
    <row r="98" spans="1:9" ht="15" customHeight="1" x14ac:dyDescent="0.25">
      <c r="A98" s="14" t="s">
        <v>2335</v>
      </c>
      <c r="B98" s="11" t="s">
        <v>2336</v>
      </c>
      <c r="C98" s="11" t="s">
        <v>2172</v>
      </c>
      <c r="D98" s="11" t="s">
        <v>922</v>
      </c>
      <c r="E98" s="13">
        <v>0</v>
      </c>
      <c r="F98" s="13">
        <v>88</v>
      </c>
      <c r="G98" s="11" t="s">
        <v>2169</v>
      </c>
      <c r="H98" s="12">
        <v>0</v>
      </c>
      <c r="I98" s="11" t="s">
        <v>2103</v>
      </c>
    </row>
    <row r="99" spans="1:9" ht="15" customHeight="1" x14ac:dyDescent="0.25">
      <c r="A99" s="14" t="s">
        <v>2337</v>
      </c>
      <c r="B99" s="11" t="s">
        <v>624</v>
      </c>
      <c r="C99" s="11" t="s">
        <v>2278</v>
      </c>
      <c r="D99" s="11" t="s">
        <v>922</v>
      </c>
      <c r="E99" s="13">
        <v>0</v>
      </c>
      <c r="F99" s="13">
        <v>12</v>
      </c>
      <c r="G99" s="11" t="s">
        <v>2169</v>
      </c>
      <c r="H99" s="12">
        <v>0</v>
      </c>
      <c r="I99" s="11" t="s">
        <v>625</v>
      </c>
    </row>
    <row r="100" spans="1:9" ht="15" customHeight="1" x14ac:dyDescent="0.25">
      <c r="A100" s="14" t="s">
        <v>2338</v>
      </c>
      <c r="B100" s="11" t="s">
        <v>2339</v>
      </c>
      <c r="C100" s="11" t="s">
        <v>2278</v>
      </c>
      <c r="D100" s="11" t="s">
        <v>922</v>
      </c>
      <c r="E100" s="13">
        <v>0</v>
      </c>
      <c r="F100" s="13">
        <v>9</v>
      </c>
      <c r="G100" s="11" t="s">
        <v>2169</v>
      </c>
      <c r="H100" s="12">
        <v>0</v>
      </c>
      <c r="I100" s="11" t="s">
        <v>2340</v>
      </c>
    </row>
    <row r="101" spans="1:9" ht="15" customHeight="1" x14ac:dyDescent="0.25">
      <c r="A101" s="14" t="s">
        <v>2341</v>
      </c>
      <c r="B101" s="11" t="s">
        <v>2342</v>
      </c>
      <c r="C101" s="11" t="s">
        <v>2172</v>
      </c>
      <c r="D101" s="11" t="s">
        <v>922</v>
      </c>
      <c r="E101" s="13">
        <v>85</v>
      </c>
      <c r="F101" s="13">
        <v>4</v>
      </c>
      <c r="G101" s="11" t="s">
        <v>2161</v>
      </c>
      <c r="H101" s="12">
        <v>22550500</v>
      </c>
      <c r="I101" s="11" t="s">
        <v>208</v>
      </c>
    </row>
    <row r="102" spans="1:9" ht="15" customHeight="1" x14ac:dyDescent="0.25">
      <c r="A102" s="14" t="s">
        <v>2343</v>
      </c>
      <c r="B102" s="11" t="s">
        <v>2344</v>
      </c>
      <c r="C102" s="11" t="s">
        <v>2172</v>
      </c>
      <c r="D102" s="11" t="s">
        <v>922</v>
      </c>
      <c r="E102" s="13">
        <v>0</v>
      </c>
      <c r="F102" s="13">
        <v>19</v>
      </c>
      <c r="G102" s="11" t="s">
        <v>2169</v>
      </c>
      <c r="H102" s="12">
        <v>0</v>
      </c>
      <c r="I102" s="11" t="s">
        <v>1777</v>
      </c>
    </row>
    <row r="103" spans="1:9" ht="15" customHeight="1" x14ac:dyDescent="0.25">
      <c r="A103" s="14" t="s">
        <v>2345</v>
      </c>
      <c r="B103" s="11" t="s">
        <v>2346</v>
      </c>
      <c r="C103" s="11" t="s">
        <v>2172</v>
      </c>
      <c r="D103" s="11" t="s">
        <v>922</v>
      </c>
      <c r="E103" s="13">
        <v>0</v>
      </c>
      <c r="F103" s="13">
        <v>0</v>
      </c>
      <c r="G103" s="11" t="s">
        <v>2169</v>
      </c>
      <c r="H103" s="12">
        <v>0</v>
      </c>
      <c r="I103" s="11" t="s">
        <v>1773</v>
      </c>
    </row>
    <row r="104" spans="1:9" ht="15" customHeight="1" x14ac:dyDescent="0.25">
      <c r="A104" s="14" t="s">
        <v>2347</v>
      </c>
      <c r="B104" s="11" t="s">
        <v>2348</v>
      </c>
      <c r="C104" s="11" t="s">
        <v>2172</v>
      </c>
      <c r="D104" s="11" t="s">
        <v>922</v>
      </c>
      <c r="E104" s="13">
        <v>0</v>
      </c>
      <c r="F104" s="13">
        <v>0</v>
      </c>
      <c r="G104" s="11" t="s">
        <v>2169</v>
      </c>
      <c r="H104" s="12">
        <v>0</v>
      </c>
      <c r="I104" s="11" t="s">
        <v>1775</v>
      </c>
    </row>
    <row r="105" spans="1:9" ht="15" customHeight="1" x14ac:dyDescent="0.25">
      <c r="A105" s="14" t="s">
        <v>2349</v>
      </c>
      <c r="B105" s="11" t="s">
        <v>2350</v>
      </c>
      <c r="C105" s="11" t="s">
        <v>2172</v>
      </c>
      <c r="D105" s="11" t="s">
        <v>922</v>
      </c>
      <c r="E105" s="13">
        <v>0</v>
      </c>
      <c r="F105" s="13">
        <v>0</v>
      </c>
      <c r="G105" s="11" t="s">
        <v>2169</v>
      </c>
      <c r="H105" s="12">
        <v>0</v>
      </c>
      <c r="I105" s="11" t="s">
        <v>1771</v>
      </c>
    </row>
    <row r="106" spans="1:9" ht="15" customHeight="1" x14ac:dyDescent="0.25">
      <c r="A106" s="14" t="s">
        <v>2351</v>
      </c>
      <c r="B106" s="11" t="s">
        <v>2352</v>
      </c>
      <c r="C106" s="11" t="s">
        <v>2195</v>
      </c>
      <c r="D106" s="11" t="s">
        <v>1222</v>
      </c>
      <c r="E106" s="13">
        <v>0</v>
      </c>
      <c r="F106" s="13">
        <v>0</v>
      </c>
      <c r="G106" s="11" t="s">
        <v>2169</v>
      </c>
      <c r="H106" s="12">
        <v>0</v>
      </c>
      <c r="I106" s="11" t="s">
        <v>1542</v>
      </c>
    </row>
    <row r="107" spans="1:9" ht="15" customHeight="1" x14ac:dyDescent="0.25">
      <c r="A107" s="14" t="s">
        <v>2353</v>
      </c>
      <c r="B107" s="11" t="s">
        <v>627</v>
      </c>
      <c r="C107" s="11" t="s">
        <v>2254</v>
      </c>
      <c r="D107" s="11" t="s">
        <v>1005</v>
      </c>
      <c r="E107" s="13">
        <v>0</v>
      </c>
      <c r="F107" s="13">
        <v>0</v>
      </c>
      <c r="G107" s="11" t="s">
        <v>2169</v>
      </c>
      <c r="H107" s="12">
        <v>0</v>
      </c>
      <c r="I107" s="11" t="s">
        <v>32</v>
      </c>
    </row>
    <row r="108" spans="1:9" ht="15" customHeight="1" x14ac:dyDescent="0.25">
      <c r="A108" s="14" t="s">
        <v>2354</v>
      </c>
      <c r="B108" s="11" t="s">
        <v>628</v>
      </c>
      <c r="C108" s="11" t="s">
        <v>2254</v>
      </c>
      <c r="D108" s="11" t="s">
        <v>1005</v>
      </c>
      <c r="E108" s="13">
        <v>0</v>
      </c>
      <c r="F108" s="13">
        <v>0</v>
      </c>
      <c r="G108" s="11" t="s">
        <v>2169</v>
      </c>
      <c r="H108" s="12">
        <v>0</v>
      </c>
      <c r="I108" s="11" t="s">
        <v>100</v>
      </c>
    </row>
    <row r="109" spans="1:9" ht="15" customHeight="1" x14ac:dyDescent="0.25">
      <c r="A109" s="14" t="s">
        <v>2355</v>
      </c>
      <c r="B109" s="11" t="s">
        <v>629</v>
      </c>
      <c r="C109" s="11" t="s">
        <v>2254</v>
      </c>
      <c r="D109" s="11" t="s">
        <v>1005</v>
      </c>
      <c r="E109" s="13">
        <v>0</v>
      </c>
      <c r="F109" s="13">
        <v>0</v>
      </c>
      <c r="G109" s="11" t="s">
        <v>2169</v>
      </c>
      <c r="H109" s="12">
        <v>0</v>
      </c>
      <c r="I109" s="11" t="s">
        <v>49</v>
      </c>
    </row>
    <row r="110" spans="1:9" ht="15" customHeight="1" x14ac:dyDescent="0.25">
      <c r="A110" s="14" t="s">
        <v>2356</v>
      </c>
      <c r="B110" s="11" t="s">
        <v>2357</v>
      </c>
      <c r="C110" s="11" t="s">
        <v>2254</v>
      </c>
      <c r="D110" s="11" t="s">
        <v>1005</v>
      </c>
      <c r="E110" s="13">
        <v>0</v>
      </c>
      <c r="F110" s="13">
        <v>0</v>
      </c>
      <c r="G110" s="11" t="s">
        <v>2169</v>
      </c>
      <c r="H110" s="12">
        <v>0</v>
      </c>
      <c r="I110" s="11" t="s">
        <v>1239</v>
      </c>
    </row>
    <row r="111" spans="1:9" ht="15" customHeight="1" x14ac:dyDescent="0.25">
      <c r="A111" s="14" t="s">
        <v>2358</v>
      </c>
      <c r="B111" s="11" t="s">
        <v>2359</v>
      </c>
      <c r="C111" s="11" t="s">
        <v>2254</v>
      </c>
      <c r="D111" s="11" t="s">
        <v>1005</v>
      </c>
      <c r="E111" s="13">
        <v>0</v>
      </c>
      <c r="F111" s="13">
        <v>0</v>
      </c>
      <c r="G111" s="11" t="s">
        <v>2169</v>
      </c>
      <c r="H111" s="12">
        <v>0</v>
      </c>
      <c r="I111" s="11" t="s">
        <v>634</v>
      </c>
    </row>
    <row r="112" spans="1:9" ht="15" customHeight="1" x14ac:dyDescent="0.25">
      <c r="A112" s="14" t="s">
        <v>2360</v>
      </c>
      <c r="B112" s="11" t="s">
        <v>2361</v>
      </c>
      <c r="C112" s="11" t="s">
        <v>2172</v>
      </c>
      <c r="D112" s="11" t="s">
        <v>2200</v>
      </c>
      <c r="E112" s="13">
        <v>0</v>
      </c>
      <c r="F112" s="13">
        <v>250</v>
      </c>
      <c r="G112" s="11" t="s">
        <v>2169</v>
      </c>
      <c r="H112" s="12">
        <v>0</v>
      </c>
      <c r="I112" s="11" t="s">
        <v>1658</v>
      </c>
    </row>
    <row r="113" spans="1:9" ht="15" customHeight="1" x14ac:dyDescent="0.25">
      <c r="A113" s="14" t="s">
        <v>2362</v>
      </c>
      <c r="B113" s="11" t="s">
        <v>2363</v>
      </c>
      <c r="C113" s="11" t="s">
        <v>2172</v>
      </c>
      <c r="D113" s="11" t="s">
        <v>2200</v>
      </c>
      <c r="E113" s="13">
        <v>0</v>
      </c>
      <c r="F113" s="13">
        <v>250</v>
      </c>
      <c r="G113" s="11" t="s">
        <v>2169</v>
      </c>
      <c r="H113" s="12">
        <v>0</v>
      </c>
      <c r="I113" s="11" t="s">
        <v>1654</v>
      </c>
    </row>
    <row r="114" spans="1:9" ht="15" customHeight="1" x14ac:dyDescent="0.25">
      <c r="A114" s="14" t="s">
        <v>2364</v>
      </c>
      <c r="B114" s="11" t="s">
        <v>2365</v>
      </c>
      <c r="C114" s="11" t="s">
        <v>2172</v>
      </c>
      <c r="D114" s="11" t="s">
        <v>2200</v>
      </c>
      <c r="E114" s="13">
        <v>0</v>
      </c>
      <c r="F114" s="13">
        <v>250</v>
      </c>
      <c r="G114" s="11" t="s">
        <v>2169</v>
      </c>
      <c r="H114" s="12">
        <v>0</v>
      </c>
      <c r="I114" s="11" t="s">
        <v>1656</v>
      </c>
    </row>
    <row r="115" spans="1:9" ht="15" customHeight="1" x14ac:dyDescent="0.25">
      <c r="A115" s="14" t="s">
        <v>2366</v>
      </c>
      <c r="B115" s="11" t="s">
        <v>2367</v>
      </c>
      <c r="C115" s="11" t="s">
        <v>2172</v>
      </c>
      <c r="D115" s="11" t="s">
        <v>2200</v>
      </c>
      <c r="E115" s="13">
        <v>0</v>
      </c>
      <c r="F115" s="13">
        <v>250</v>
      </c>
      <c r="G115" s="11" t="s">
        <v>2169</v>
      </c>
      <c r="H115" s="12">
        <v>0</v>
      </c>
      <c r="I115" s="11" t="s">
        <v>1652</v>
      </c>
    </row>
    <row r="116" spans="1:9" ht="15" customHeight="1" x14ac:dyDescent="0.25">
      <c r="A116" s="14" t="s">
        <v>2368</v>
      </c>
      <c r="B116" s="11" t="s">
        <v>2369</v>
      </c>
      <c r="C116" s="11" t="s">
        <v>2172</v>
      </c>
      <c r="D116" s="11" t="s">
        <v>2200</v>
      </c>
      <c r="E116" s="13">
        <v>0</v>
      </c>
      <c r="F116" s="13">
        <v>250</v>
      </c>
      <c r="G116" s="11" t="s">
        <v>2169</v>
      </c>
      <c r="H116" s="12">
        <v>0</v>
      </c>
      <c r="I116" s="11" t="s">
        <v>1591</v>
      </c>
    </row>
    <row r="117" spans="1:9" ht="15" customHeight="1" x14ac:dyDescent="0.25">
      <c r="A117" s="14" t="s">
        <v>2370</v>
      </c>
      <c r="B117" s="11" t="s">
        <v>2371</v>
      </c>
      <c r="C117" s="11" t="s">
        <v>2372</v>
      </c>
      <c r="D117" s="11" t="s">
        <v>922</v>
      </c>
      <c r="E117" s="13">
        <v>5</v>
      </c>
      <c r="F117" s="13">
        <v>0</v>
      </c>
      <c r="G117" s="11" t="s">
        <v>2161</v>
      </c>
      <c r="H117" s="12">
        <v>266400</v>
      </c>
      <c r="I117" s="11" t="s">
        <v>209</v>
      </c>
    </row>
    <row r="118" spans="1:9" ht="15" customHeight="1" x14ac:dyDescent="0.25">
      <c r="A118" s="14" t="s">
        <v>2373</v>
      </c>
      <c r="B118" s="11" t="s">
        <v>2374</v>
      </c>
      <c r="C118" s="11" t="s">
        <v>2172</v>
      </c>
      <c r="D118" s="11" t="s">
        <v>922</v>
      </c>
      <c r="E118" s="13">
        <v>90</v>
      </c>
      <c r="F118" s="13">
        <v>102</v>
      </c>
      <c r="G118" s="11" t="s">
        <v>2166</v>
      </c>
      <c r="H118" s="12">
        <v>4035960</v>
      </c>
      <c r="I118" s="11" t="s">
        <v>212</v>
      </c>
    </row>
    <row r="119" spans="1:9" ht="15" customHeight="1" x14ac:dyDescent="0.25">
      <c r="A119" s="14" t="s">
        <v>2375</v>
      </c>
      <c r="B119" s="11" t="s">
        <v>630</v>
      </c>
      <c r="C119" s="11" t="s">
        <v>2172</v>
      </c>
      <c r="D119" s="11" t="s">
        <v>922</v>
      </c>
      <c r="E119" s="13">
        <v>80</v>
      </c>
      <c r="F119" s="13">
        <v>26</v>
      </c>
      <c r="G119" s="11" t="s">
        <v>2161</v>
      </c>
      <c r="H119" s="12">
        <v>5695408</v>
      </c>
      <c r="I119" s="11" t="s">
        <v>37</v>
      </c>
    </row>
    <row r="120" spans="1:9" ht="15" customHeight="1" x14ac:dyDescent="0.25">
      <c r="A120" s="14" t="s">
        <v>2376</v>
      </c>
      <c r="B120" s="11" t="s">
        <v>2377</v>
      </c>
      <c r="C120" s="11" t="s">
        <v>2254</v>
      </c>
      <c r="D120" s="11" t="s">
        <v>1005</v>
      </c>
      <c r="E120" s="13">
        <v>400</v>
      </c>
      <c r="F120" s="13">
        <v>113</v>
      </c>
      <c r="G120" s="11" t="s">
        <v>2161</v>
      </c>
      <c r="H120" s="12">
        <v>2800000</v>
      </c>
      <c r="I120" s="11" t="s">
        <v>213</v>
      </c>
    </row>
    <row r="121" spans="1:9" ht="15" customHeight="1" x14ac:dyDescent="0.25">
      <c r="A121" s="14" t="s">
        <v>2378</v>
      </c>
      <c r="B121" s="11" t="s">
        <v>2379</v>
      </c>
      <c r="C121" s="11" t="s">
        <v>2380</v>
      </c>
      <c r="D121" s="11" t="s">
        <v>922</v>
      </c>
      <c r="E121" s="13">
        <v>0</v>
      </c>
      <c r="F121" s="13">
        <v>28</v>
      </c>
      <c r="G121" s="11" t="s">
        <v>2169</v>
      </c>
      <c r="H121" s="12">
        <v>0</v>
      </c>
      <c r="I121" s="11" t="s">
        <v>1297</v>
      </c>
    </row>
    <row r="122" spans="1:9" ht="15" customHeight="1" x14ac:dyDescent="0.25">
      <c r="A122" s="14" t="s">
        <v>2381</v>
      </c>
      <c r="B122" s="11" t="s">
        <v>2382</v>
      </c>
      <c r="C122" s="11" t="s">
        <v>2380</v>
      </c>
      <c r="D122" s="11" t="s">
        <v>922</v>
      </c>
      <c r="E122" s="13">
        <v>0</v>
      </c>
      <c r="F122" s="13">
        <v>42</v>
      </c>
      <c r="G122" s="11" t="s">
        <v>2169</v>
      </c>
      <c r="H122" s="12">
        <v>0</v>
      </c>
      <c r="I122" s="11" t="s">
        <v>1299</v>
      </c>
    </row>
    <row r="123" spans="1:9" ht="15" customHeight="1" x14ac:dyDescent="0.25">
      <c r="A123" s="14" t="s">
        <v>2383</v>
      </c>
      <c r="B123" s="11" t="s">
        <v>2384</v>
      </c>
      <c r="C123" s="11" t="s">
        <v>2262</v>
      </c>
      <c r="D123" s="11" t="s">
        <v>2200</v>
      </c>
      <c r="E123" s="13">
        <v>0</v>
      </c>
      <c r="F123" s="13">
        <v>0</v>
      </c>
      <c r="G123" s="11" t="s">
        <v>2169</v>
      </c>
      <c r="H123" s="12">
        <v>0</v>
      </c>
      <c r="I123" s="11" t="s">
        <v>2385</v>
      </c>
    </row>
    <row r="124" spans="1:9" ht="15" customHeight="1" x14ac:dyDescent="0.25">
      <c r="A124" s="14" t="s">
        <v>2386</v>
      </c>
      <c r="B124" s="11" t="s">
        <v>2387</v>
      </c>
      <c r="C124" s="11" t="s">
        <v>2262</v>
      </c>
      <c r="D124" s="11" t="s">
        <v>2200</v>
      </c>
      <c r="E124" s="13">
        <v>0</v>
      </c>
      <c r="F124" s="13">
        <v>0</v>
      </c>
      <c r="G124" s="11" t="s">
        <v>2169</v>
      </c>
      <c r="H124" s="12">
        <v>0</v>
      </c>
      <c r="I124" s="11" t="s">
        <v>1822</v>
      </c>
    </row>
    <row r="125" spans="1:9" ht="15" customHeight="1" x14ac:dyDescent="0.25">
      <c r="A125" s="14" t="s">
        <v>2388</v>
      </c>
      <c r="B125" s="11" t="s">
        <v>2389</v>
      </c>
      <c r="C125" s="11" t="s">
        <v>2262</v>
      </c>
      <c r="D125" s="11" t="s">
        <v>2200</v>
      </c>
      <c r="E125" s="13">
        <v>0</v>
      </c>
      <c r="F125" s="13">
        <v>0</v>
      </c>
      <c r="G125" s="11" t="s">
        <v>2169</v>
      </c>
      <c r="H125" s="12">
        <v>0</v>
      </c>
      <c r="I125" s="11" t="s">
        <v>1698</v>
      </c>
    </row>
    <row r="126" spans="1:9" ht="15" customHeight="1" x14ac:dyDescent="0.25">
      <c r="A126" s="14" t="s">
        <v>2390</v>
      </c>
      <c r="B126" s="11" t="s">
        <v>641</v>
      </c>
      <c r="C126" s="11" t="s">
        <v>2190</v>
      </c>
      <c r="D126" s="11" t="s">
        <v>2391</v>
      </c>
      <c r="E126" s="13">
        <v>240</v>
      </c>
      <c r="F126" s="13">
        <v>196</v>
      </c>
      <c r="G126" s="11" t="s">
        <v>2161</v>
      </c>
      <c r="H126" s="12">
        <v>2640000</v>
      </c>
      <c r="I126" s="11" t="s">
        <v>223</v>
      </c>
    </row>
    <row r="127" spans="1:9" ht="15" customHeight="1" x14ac:dyDescent="0.25">
      <c r="A127" s="14" t="s">
        <v>2392</v>
      </c>
      <c r="B127" s="11" t="s">
        <v>643</v>
      </c>
      <c r="C127" s="11" t="s">
        <v>2190</v>
      </c>
      <c r="D127" s="11" t="s">
        <v>2391</v>
      </c>
      <c r="E127" s="13">
        <v>0</v>
      </c>
      <c r="F127" s="13">
        <v>0</v>
      </c>
      <c r="G127" s="11" t="s">
        <v>2169</v>
      </c>
      <c r="H127" s="12">
        <v>0</v>
      </c>
      <c r="I127" s="11" t="s">
        <v>644</v>
      </c>
    </row>
    <row r="128" spans="1:9" ht="15" customHeight="1" x14ac:dyDescent="0.25">
      <c r="A128" s="14" t="s">
        <v>2393</v>
      </c>
      <c r="B128" s="11" t="s">
        <v>2394</v>
      </c>
      <c r="C128" s="11" t="s">
        <v>2181</v>
      </c>
      <c r="D128" s="11" t="s">
        <v>1005</v>
      </c>
      <c r="E128" s="13">
        <v>1750</v>
      </c>
      <c r="F128" s="13">
        <v>0</v>
      </c>
      <c r="G128" s="11" t="s">
        <v>2161</v>
      </c>
      <c r="H128" s="12">
        <v>87500</v>
      </c>
      <c r="I128" s="11" t="s">
        <v>214</v>
      </c>
    </row>
    <row r="129" spans="1:9" ht="15" customHeight="1" x14ac:dyDescent="0.25">
      <c r="A129" s="14" t="s">
        <v>2395</v>
      </c>
      <c r="B129" s="11" t="s">
        <v>2396</v>
      </c>
      <c r="C129" s="11" t="s">
        <v>2195</v>
      </c>
      <c r="D129" s="11" t="s">
        <v>2200</v>
      </c>
      <c r="E129" s="13">
        <v>0</v>
      </c>
      <c r="F129" s="13">
        <v>0</v>
      </c>
      <c r="G129" s="11" t="s">
        <v>2169</v>
      </c>
      <c r="H129" s="12">
        <v>0</v>
      </c>
      <c r="I129" s="11" t="s">
        <v>2397</v>
      </c>
    </row>
    <row r="130" spans="1:9" ht="15" customHeight="1" x14ac:dyDescent="0.25">
      <c r="A130" s="14" t="s">
        <v>2398</v>
      </c>
      <c r="B130" s="11" t="s">
        <v>2399</v>
      </c>
      <c r="C130" s="11" t="s">
        <v>2400</v>
      </c>
      <c r="D130" s="11" t="s">
        <v>1005</v>
      </c>
      <c r="E130" s="13">
        <v>0</v>
      </c>
      <c r="F130" s="13">
        <v>3</v>
      </c>
      <c r="G130" s="11" t="s">
        <v>2169</v>
      </c>
      <c r="H130" s="12">
        <v>0</v>
      </c>
      <c r="I130" s="11" t="s">
        <v>1768</v>
      </c>
    </row>
    <row r="131" spans="1:9" ht="15" customHeight="1" x14ac:dyDescent="0.25">
      <c r="A131" s="14" t="s">
        <v>2401</v>
      </c>
      <c r="B131" s="11" t="s">
        <v>647</v>
      </c>
      <c r="C131" s="11" t="s">
        <v>2400</v>
      </c>
      <c r="D131" s="11" t="s">
        <v>1005</v>
      </c>
      <c r="E131" s="13">
        <v>46250</v>
      </c>
      <c r="F131" s="13">
        <v>1000</v>
      </c>
      <c r="G131" s="11" t="s">
        <v>2161</v>
      </c>
      <c r="H131" s="12">
        <v>82093750</v>
      </c>
      <c r="I131" s="11" t="s">
        <v>224</v>
      </c>
    </row>
    <row r="132" spans="1:9" ht="15" customHeight="1" x14ac:dyDescent="0.25">
      <c r="A132" s="14" t="s">
        <v>2402</v>
      </c>
      <c r="B132" s="11" t="s">
        <v>648</v>
      </c>
      <c r="C132" s="11" t="s">
        <v>2400</v>
      </c>
      <c r="D132" s="11" t="s">
        <v>1005</v>
      </c>
      <c r="E132" s="13">
        <v>10750</v>
      </c>
      <c r="F132" s="13">
        <v>1000</v>
      </c>
      <c r="G132" s="11" t="s">
        <v>2161</v>
      </c>
      <c r="H132" s="12">
        <v>23650000</v>
      </c>
      <c r="I132" s="11" t="s">
        <v>225</v>
      </c>
    </row>
    <row r="133" spans="1:9" ht="15" customHeight="1" x14ac:dyDescent="0.25">
      <c r="A133" s="14" t="s">
        <v>2403</v>
      </c>
      <c r="B133" s="11" t="s">
        <v>2404</v>
      </c>
      <c r="C133" s="11" t="s">
        <v>2400</v>
      </c>
      <c r="D133" s="11" t="s">
        <v>1005</v>
      </c>
      <c r="E133" s="13">
        <v>0</v>
      </c>
      <c r="F133" s="13">
        <v>0</v>
      </c>
      <c r="G133" s="11" t="s">
        <v>2169</v>
      </c>
      <c r="H133" s="12">
        <v>0</v>
      </c>
      <c r="I133" s="11" t="s">
        <v>2405</v>
      </c>
    </row>
    <row r="134" spans="1:9" ht="15" customHeight="1" x14ac:dyDescent="0.25">
      <c r="A134" s="14" t="s">
        <v>2406</v>
      </c>
      <c r="B134" s="11" t="s">
        <v>2407</v>
      </c>
      <c r="C134" s="11" t="s">
        <v>2400</v>
      </c>
      <c r="D134" s="11" t="s">
        <v>1005</v>
      </c>
      <c r="E134" s="13">
        <v>8807</v>
      </c>
      <c r="F134" s="13">
        <v>4533</v>
      </c>
      <c r="G134" s="11" t="s">
        <v>2161</v>
      </c>
      <c r="H134" s="12">
        <v>32585900</v>
      </c>
      <c r="I134" s="11" t="s">
        <v>215</v>
      </c>
    </row>
    <row r="135" spans="1:9" ht="15" customHeight="1" x14ac:dyDescent="0.25">
      <c r="A135" s="14" t="s">
        <v>2408</v>
      </c>
      <c r="B135" s="11" t="s">
        <v>2409</v>
      </c>
      <c r="C135" s="11" t="s">
        <v>2400</v>
      </c>
      <c r="D135" s="11" t="s">
        <v>1005</v>
      </c>
      <c r="E135" s="13">
        <v>3234</v>
      </c>
      <c r="F135" s="13">
        <v>258</v>
      </c>
      <c r="G135" s="11" t="s">
        <v>2161</v>
      </c>
      <c r="H135" s="12">
        <v>20697600</v>
      </c>
      <c r="I135" s="11" t="s">
        <v>216</v>
      </c>
    </row>
    <row r="136" spans="1:9" ht="15" customHeight="1" x14ac:dyDescent="0.25">
      <c r="A136" s="14" t="s">
        <v>2410</v>
      </c>
      <c r="B136" s="11" t="s">
        <v>652</v>
      </c>
      <c r="C136" s="11" t="s">
        <v>2400</v>
      </c>
      <c r="D136" s="11" t="s">
        <v>1005</v>
      </c>
      <c r="E136" s="13">
        <v>300</v>
      </c>
      <c r="F136" s="13">
        <v>814</v>
      </c>
      <c r="G136" s="11" t="s">
        <v>2166</v>
      </c>
      <c r="H136" s="12">
        <v>555000</v>
      </c>
      <c r="I136" s="11" t="s">
        <v>226</v>
      </c>
    </row>
    <row r="137" spans="1:9" ht="15" customHeight="1" x14ac:dyDescent="0.25">
      <c r="A137" s="14" t="s">
        <v>2411</v>
      </c>
      <c r="B137" s="11" t="s">
        <v>655</v>
      </c>
      <c r="C137" s="11" t="s">
        <v>2400</v>
      </c>
      <c r="D137" s="11" t="s">
        <v>1005</v>
      </c>
      <c r="E137" s="13">
        <v>6000</v>
      </c>
      <c r="F137" s="13">
        <v>1000</v>
      </c>
      <c r="G137" s="11" t="s">
        <v>2161</v>
      </c>
      <c r="H137" s="12">
        <v>10650000</v>
      </c>
      <c r="I137" s="11" t="s">
        <v>227</v>
      </c>
    </row>
    <row r="138" spans="1:9" ht="15" customHeight="1" x14ac:dyDescent="0.25">
      <c r="A138" s="14" t="s">
        <v>2412</v>
      </c>
      <c r="B138" s="11" t="s">
        <v>658</v>
      </c>
      <c r="C138" s="11" t="s">
        <v>2400</v>
      </c>
      <c r="D138" s="11" t="s">
        <v>1005</v>
      </c>
      <c r="E138" s="13">
        <v>0</v>
      </c>
      <c r="F138" s="13">
        <v>0</v>
      </c>
      <c r="G138" s="11" t="s">
        <v>2169</v>
      </c>
      <c r="H138" s="12">
        <v>0</v>
      </c>
      <c r="I138" s="11" t="s">
        <v>41</v>
      </c>
    </row>
    <row r="139" spans="1:9" ht="15" customHeight="1" x14ac:dyDescent="0.25">
      <c r="A139" s="14" t="s">
        <v>2413</v>
      </c>
      <c r="B139" s="11" t="s">
        <v>661</v>
      </c>
      <c r="C139" s="11" t="s">
        <v>2400</v>
      </c>
      <c r="D139" s="11" t="s">
        <v>1005</v>
      </c>
      <c r="E139" s="13">
        <v>4900</v>
      </c>
      <c r="F139" s="13">
        <v>1000</v>
      </c>
      <c r="G139" s="11" t="s">
        <v>2161</v>
      </c>
      <c r="H139" s="12">
        <v>8697500</v>
      </c>
      <c r="I139" s="11" t="s">
        <v>228</v>
      </c>
    </row>
    <row r="140" spans="1:9" ht="15" customHeight="1" x14ac:dyDescent="0.25">
      <c r="A140" s="14" t="s">
        <v>2414</v>
      </c>
      <c r="B140" s="11" t="s">
        <v>1468</v>
      </c>
      <c r="C140" s="11" t="s">
        <v>2400</v>
      </c>
      <c r="D140" s="11" t="s">
        <v>1005</v>
      </c>
      <c r="E140" s="13">
        <v>3300</v>
      </c>
      <c r="F140" s="13">
        <v>1000</v>
      </c>
      <c r="G140" s="11" t="s">
        <v>2161</v>
      </c>
      <c r="H140" s="12">
        <v>6105000</v>
      </c>
      <c r="I140" s="11" t="s">
        <v>229</v>
      </c>
    </row>
    <row r="141" spans="1:9" ht="15" customHeight="1" x14ac:dyDescent="0.25">
      <c r="A141" s="14" t="s">
        <v>2415</v>
      </c>
      <c r="B141" s="11" t="s">
        <v>664</v>
      </c>
      <c r="C141" s="11" t="s">
        <v>2400</v>
      </c>
      <c r="D141" s="11" t="s">
        <v>1005</v>
      </c>
      <c r="E141" s="13">
        <v>6450</v>
      </c>
      <c r="F141" s="13">
        <v>1000</v>
      </c>
      <c r="G141" s="11" t="s">
        <v>2161</v>
      </c>
      <c r="H141" s="12">
        <v>10481250</v>
      </c>
      <c r="I141" s="11" t="s">
        <v>230</v>
      </c>
    </row>
    <row r="142" spans="1:9" ht="15" customHeight="1" x14ac:dyDescent="0.25">
      <c r="A142" s="14" t="s">
        <v>2416</v>
      </c>
      <c r="B142" s="11" t="s">
        <v>665</v>
      </c>
      <c r="C142" s="11" t="s">
        <v>2400</v>
      </c>
      <c r="D142" s="11" t="s">
        <v>1005</v>
      </c>
      <c r="E142" s="13">
        <v>6925</v>
      </c>
      <c r="F142" s="13">
        <v>1000</v>
      </c>
      <c r="G142" s="11" t="s">
        <v>2161</v>
      </c>
      <c r="H142" s="12">
        <v>11253125</v>
      </c>
      <c r="I142" s="11" t="s">
        <v>231</v>
      </c>
    </row>
    <row r="143" spans="1:9" ht="15" customHeight="1" x14ac:dyDescent="0.25">
      <c r="A143" s="14" t="s">
        <v>2417</v>
      </c>
      <c r="B143" s="11" t="s">
        <v>2418</v>
      </c>
      <c r="C143" s="11" t="s">
        <v>2400</v>
      </c>
      <c r="D143" s="11" t="s">
        <v>1005</v>
      </c>
      <c r="E143" s="13">
        <v>6661</v>
      </c>
      <c r="F143" s="13">
        <v>1000</v>
      </c>
      <c r="G143" s="11" t="s">
        <v>2161</v>
      </c>
      <c r="H143" s="12">
        <v>12988950</v>
      </c>
      <c r="I143" s="11" t="s">
        <v>241</v>
      </c>
    </row>
    <row r="144" spans="1:9" ht="15" customHeight="1" x14ac:dyDescent="0.25">
      <c r="A144" s="14" t="s">
        <v>2419</v>
      </c>
      <c r="B144" s="11" t="s">
        <v>670</v>
      </c>
      <c r="C144" s="11" t="s">
        <v>2400</v>
      </c>
      <c r="D144" s="11" t="s">
        <v>1005</v>
      </c>
      <c r="E144" s="13">
        <v>1000</v>
      </c>
      <c r="F144" s="13">
        <v>1286</v>
      </c>
      <c r="G144" s="11" t="s">
        <v>2166</v>
      </c>
      <c r="H144" s="12">
        <v>2850000</v>
      </c>
      <c r="I144" s="11" t="s">
        <v>48</v>
      </c>
    </row>
    <row r="145" spans="1:9" ht="15" customHeight="1" x14ac:dyDescent="0.25">
      <c r="A145" s="14" t="s">
        <v>2420</v>
      </c>
      <c r="B145" s="11" t="s">
        <v>671</v>
      </c>
      <c r="C145" s="11" t="s">
        <v>2400</v>
      </c>
      <c r="D145" s="11" t="s">
        <v>1005</v>
      </c>
      <c r="E145" s="13">
        <v>6400</v>
      </c>
      <c r="F145" s="13">
        <v>1598</v>
      </c>
      <c r="G145" s="11" t="s">
        <v>2161</v>
      </c>
      <c r="H145" s="12">
        <v>16000000</v>
      </c>
      <c r="I145" s="11" t="s">
        <v>232</v>
      </c>
    </row>
    <row r="146" spans="1:9" ht="15" customHeight="1" x14ac:dyDescent="0.25">
      <c r="A146" s="14" t="s">
        <v>2421</v>
      </c>
      <c r="B146" s="11" t="s">
        <v>676</v>
      </c>
      <c r="C146" s="11" t="s">
        <v>2400</v>
      </c>
      <c r="D146" s="11" t="s">
        <v>1005</v>
      </c>
      <c r="E146" s="13">
        <v>0</v>
      </c>
      <c r="F146" s="13">
        <v>1000</v>
      </c>
      <c r="G146" s="11" t="s">
        <v>2169</v>
      </c>
      <c r="H146" s="12">
        <v>0</v>
      </c>
      <c r="I146" s="11" t="s">
        <v>34</v>
      </c>
    </row>
    <row r="147" spans="1:9" ht="15" customHeight="1" x14ac:dyDescent="0.25">
      <c r="A147" s="14" t="s">
        <v>2422</v>
      </c>
      <c r="B147" s="11" t="s">
        <v>677</v>
      </c>
      <c r="C147" s="11" t="s">
        <v>2400</v>
      </c>
      <c r="D147" s="11" t="s">
        <v>1005</v>
      </c>
      <c r="E147" s="13">
        <v>4908</v>
      </c>
      <c r="F147" s="13">
        <v>300</v>
      </c>
      <c r="G147" s="11" t="s">
        <v>2161</v>
      </c>
      <c r="H147" s="12">
        <v>9079800</v>
      </c>
      <c r="I147" s="11" t="s">
        <v>233</v>
      </c>
    </row>
    <row r="148" spans="1:9" ht="15" customHeight="1" x14ac:dyDescent="0.25">
      <c r="A148" s="14" t="s">
        <v>2423</v>
      </c>
      <c r="B148" s="11" t="s">
        <v>678</v>
      </c>
      <c r="C148" s="11" t="s">
        <v>2400</v>
      </c>
      <c r="D148" s="11" t="s">
        <v>1005</v>
      </c>
      <c r="E148" s="13">
        <v>20425</v>
      </c>
      <c r="F148" s="13">
        <v>1000</v>
      </c>
      <c r="G148" s="11" t="s">
        <v>2161</v>
      </c>
      <c r="H148" s="12">
        <v>37786250</v>
      </c>
      <c r="I148" s="11" t="s">
        <v>234</v>
      </c>
    </row>
    <row r="149" spans="1:9" ht="15" customHeight="1" x14ac:dyDescent="0.25">
      <c r="A149" s="14" t="s">
        <v>2424</v>
      </c>
      <c r="B149" s="11" t="s">
        <v>679</v>
      </c>
      <c r="C149" s="11" t="s">
        <v>2400</v>
      </c>
      <c r="D149" s="11" t="s">
        <v>1005</v>
      </c>
      <c r="E149" s="13">
        <v>1750</v>
      </c>
      <c r="F149" s="13">
        <v>1000</v>
      </c>
      <c r="G149" s="11" t="s">
        <v>2161</v>
      </c>
      <c r="H149" s="12">
        <v>3237500</v>
      </c>
      <c r="I149" s="11" t="s">
        <v>235</v>
      </c>
    </row>
    <row r="150" spans="1:9" ht="15" customHeight="1" x14ac:dyDescent="0.25">
      <c r="A150" s="14" t="s">
        <v>2425</v>
      </c>
      <c r="B150" s="11" t="s">
        <v>2426</v>
      </c>
      <c r="C150" s="11" t="s">
        <v>2400</v>
      </c>
      <c r="D150" s="11" t="s">
        <v>1005</v>
      </c>
      <c r="E150" s="13">
        <v>1600</v>
      </c>
      <c r="F150" s="13">
        <v>200</v>
      </c>
      <c r="G150" s="11" t="s">
        <v>2161</v>
      </c>
      <c r="H150" s="12">
        <v>4496000</v>
      </c>
      <c r="I150" s="11" t="s">
        <v>217</v>
      </c>
    </row>
    <row r="151" spans="1:9" ht="15" customHeight="1" x14ac:dyDescent="0.25">
      <c r="A151" s="14" t="s">
        <v>2427</v>
      </c>
      <c r="B151" s="11" t="s">
        <v>680</v>
      </c>
      <c r="C151" s="11" t="s">
        <v>2400</v>
      </c>
      <c r="D151" s="11" t="s">
        <v>1005</v>
      </c>
      <c r="E151" s="13">
        <v>8750</v>
      </c>
      <c r="F151" s="13">
        <v>1000</v>
      </c>
      <c r="G151" s="11" t="s">
        <v>2161</v>
      </c>
      <c r="H151" s="12">
        <v>16187500</v>
      </c>
      <c r="I151" s="11" t="s">
        <v>236</v>
      </c>
    </row>
    <row r="152" spans="1:9" ht="15" customHeight="1" x14ac:dyDescent="0.25">
      <c r="A152" s="14" t="s">
        <v>2428</v>
      </c>
      <c r="B152" s="11" t="s">
        <v>685</v>
      </c>
      <c r="C152" s="11" t="s">
        <v>2400</v>
      </c>
      <c r="D152" s="11" t="s">
        <v>1005</v>
      </c>
      <c r="E152" s="13">
        <v>0</v>
      </c>
      <c r="F152" s="13">
        <v>0</v>
      </c>
      <c r="G152" s="11" t="s">
        <v>2169</v>
      </c>
      <c r="H152" s="12">
        <v>0</v>
      </c>
      <c r="I152" s="11" t="s">
        <v>97</v>
      </c>
    </row>
    <row r="153" spans="1:9" ht="15" customHeight="1" x14ac:dyDescent="0.25">
      <c r="A153" s="14" t="s">
        <v>2429</v>
      </c>
      <c r="B153" s="11" t="s">
        <v>686</v>
      </c>
      <c r="C153" s="11" t="s">
        <v>2400</v>
      </c>
      <c r="D153" s="11" t="s">
        <v>1005</v>
      </c>
      <c r="E153" s="13">
        <v>0</v>
      </c>
      <c r="F153" s="13">
        <v>0</v>
      </c>
      <c r="G153" s="11" t="s">
        <v>2169</v>
      </c>
      <c r="H153" s="12">
        <v>0</v>
      </c>
      <c r="I153" s="11" t="s">
        <v>38</v>
      </c>
    </row>
    <row r="154" spans="1:9" ht="15" customHeight="1" x14ac:dyDescent="0.25">
      <c r="A154" s="14" t="s">
        <v>2430</v>
      </c>
      <c r="B154" s="11" t="s">
        <v>687</v>
      </c>
      <c r="C154" s="11" t="s">
        <v>2400</v>
      </c>
      <c r="D154" s="11" t="s">
        <v>1005</v>
      </c>
      <c r="E154" s="13">
        <v>0</v>
      </c>
      <c r="F154" s="13">
        <v>0</v>
      </c>
      <c r="G154" s="11" t="s">
        <v>2169</v>
      </c>
      <c r="H154" s="12">
        <v>0</v>
      </c>
      <c r="I154" s="11" t="s">
        <v>688</v>
      </c>
    </row>
    <row r="155" spans="1:9" ht="15" customHeight="1" x14ac:dyDescent="0.25">
      <c r="A155" s="14" t="s">
        <v>2431</v>
      </c>
      <c r="B155" s="11" t="s">
        <v>689</v>
      </c>
      <c r="C155" s="11" t="s">
        <v>2400</v>
      </c>
      <c r="D155" s="11" t="s">
        <v>1005</v>
      </c>
      <c r="E155" s="13">
        <v>0</v>
      </c>
      <c r="F155" s="13">
        <v>0</v>
      </c>
      <c r="G155" s="11" t="s">
        <v>2169</v>
      </c>
      <c r="H155" s="12">
        <v>0</v>
      </c>
      <c r="I155" s="11" t="s">
        <v>82</v>
      </c>
    </row>
    <row r="156" spans="1:9" ht="15" customHeight="1" x14ac:dyDescent="0.25">
      <c r="A156" s="14" t="s">
        <v>2432</v>
      </c>
      <c r="B156" s="11" t="s">
        <v>690</v>
      </c>
      <c r="C156" s="11" t="s">
        <v>2400</v>
      </c>
      <c r="D156" s="11" t="s">
        <v>1005</v>
      </c>
      <c r="E156" s="13">
        <v>0</v>
      </c>
      <c r="F156" s="13">
        <v>0</v>
      </c>
      <c r="G156" s="11" t="s">
        <v>2169</v>
      </c>
      <c r="H156" s="12">
        <v>0</v>
      </c>
      <c r="I156" s="11" t="s">
        <v>55</v>
      </c>
    </row>
    <row r="157" spans="1:9" ht="15" customHeight="1" x14ac:dyDescent="0.25">
      <c r="A157" s="14" t="s">
        <v>2433</v>
      </c>
      <c r="B157" s="11" t="s">
        <v>691</v>
      </c>
      <c r="C157" s="11" t="s">
        <v>2400</v>
      </c>
      <c r="D157" s="11" t="s">
        <v>1005</v>
      </c>
      <c r="E157" s="13">
        <v>0</v>
      </c>
      <c r="F157" s="13">
        <v>0</v>
      </c>
      <c r="G157" s="11" t="s">
        <v>2169</v>
      </c>
      <c r="H157" s="12">
        <v>0</v>
      </c>
      <c r="I157" s="11" t="s">
        <v>692</v>
      </c>
    </row>
    <row r="158" spans="1:9" ht="15" customHeight="1" x14ac:dyDescent="0.25">
      <c r="A158" s="14" t="s">
        <v>2434</v>
      </c>
      <c r="B158" s="11" t="s">
        <v>693</v>
      </c>
      <c r="C158" s="11" t="s">
        <v>2400</v>
      </c>
      <c r="D158" s="11" t="s">
        <v>1005</v>
      </c>
      <c r="E158" s="13">
        <v>0</v>
      </c>
      <c r="F158" s="13">
        <v>0</v>
      </c>
      <c r="G158" s="11" t="s">
        <v>2169</v>
      </c>
      <c r="H158" s="12">
        <v>0</v>
      </c>
      <c r="I158" s="11" t="s">
        <v>68</v>
      </c>
    </row>
    <row r="159" spans="1:9" ht="15" customHeight="1" x14ac:dyDescent="0.25">
      <c r="A159" s="14" t="s">
        <v>2435</v>
      </c>
      <c r="B159" s="11" t="s">
        <v>694</v>
      </c>
      <c r="C159" s="11" t="s">
        <v>2400</v>
      </c>
      <c r="D159" s="11" t="s">
        <v>1005</v>
      </c>
      <c r="E159" s="13">
        <v>0</v>
      </c>
      <c r="F159" s="13">
        <v>0</v>
      </c>
      <c r="G159" s="11" t="s">
        <v>2169</v>
      </c>
      <c r="H159" s="12">
        <v>0</v>
      </c>
      <c r="I159" s="11" t="s">
        <v>695</v>
      </c>
    </row>
    <row r="160" spans="1:9" ht="15" customHeight="1" x14ac:dyDescent="0.25">
      <c r="A160" s="14" t="s">
        <v>2436</v>
      </c>
      <c r="B160" s="11" t="s">
        <v>2437</v>
      </c>
      <c r="C160" s="11" t="s">
        <v>2400</v>
      </c>
      <c r="D160" s="11" t="s">
        <v>1005</v>
      </c>
      <c r="E160" s="13">
        <v>8000</v>
      </c>
      <c r="F160" s="13">
        <v>539</v>
      </c>
      <c r="G160" s="11" t="s">
        <v>2161</v>
      </c>
      <c r="H160" s="12">
        <v>10000000</v>
      </c>
      <c r="I160" s="11" t="s">
        <v>218</v>
      </c>
    </row>
    <row r="161" spans="1:9" ht="15" customHeight="1" x14ac:dyDescent="0.25">
      <c r="A161" s="14" t="s">
        <v>2438</v>
      </c>
      <c r="B161" s="11" t="s">
        <v>2439</v>
      </c>
      <c r="C161" s="11" t="s">
        <v>2400</v>
      </c>
      <c r="D161" s="11" t="s">
        <v>1005</v>
      </c>
      <c r="E161" s="13">
        <v>6700</v>
      </c>
      <c r="F161" s="13">
        <v>911</v>
      </c>
      <c r="G161" s="11" t="s">
        <v>2161</v>
      </c>
      <c r="H161" s="12">
        <v>11725000</v>
      </c>
      <c r="I161" s="11" t="s">
        <v>219</v>
      </c>
    </row>
    <row r="162" spans="1:9" ht="15" customHeight="1" x14ac:dyDescent="0.25">
      <c r="A162" s="14" t="s">
        <v>2440</v>
      </c>
      <c r="B162" s="11" t="s">
        <v>2441</v>
      </c>
      <c r="C162" s="11" t="s">
        <v>2400</v>
      </c>
      <c r="D162" s="11" t="s">
        <v>1005</v>
      </c>
      <c r="E162" s="13">
        <v>8800</v>
      </c>
      <c r="F162" s="13">
        <v>310</v>
      </c>
      <c r="G162" s="11" t="s">
        <v>2161</v>
      </c>
      <c r="H162" s="12">
        <v>21120000</v>
      </c>
      <c r="I162" s="11" t="s">
        <v>220</v>
      </c>
    </row>
    <row r="163" spans="1:9" ht="15" customHeight="1" x14ac:dyDescent="0.25">
      <c r="A163" s="14" t="s">
        <v>2442</v>
      </c>
      <c r="B163" s="11" t="s">
        <v>1159</v>
      </c>
      <c r="C163" s="11" t="s">
        <v>2400</v>
      </c>
      <c r="D163" s="11" t="s">
        <v>1005</v>
      </c>
      <c r="E163" s="13">
        <v>21800</v>
      </c>
      <c r="F163" s="13">
        <v>1000</v>
      </c>
      <c r="G163" s="11" t="s">
        <v>2161</v>
      </c>
      <c r="H163" s="12">
        <v>66490000</v>
      </c>
      <c r="I163" s="11" t="s">
        <v>237</v>
      </c>
    </row>
    <row r="164" spans="1:9" ht="15" customHeight="1" x14ac:dyDescent="0.25">
      <c r="A164" s="14" t="s">
        <v>2443</v>
      </c>
      <c r="B164" s="11" t="s">
        <v>696</v>
      </c>
      <c r="C164" s="11" t="s">
        <v>2400</v>
      </c>
      <c r="D164" s="11" t="s">
        <v>1005</v>
      </c>
      <c r="E164" s="13">
        <v>9850</v>
      </c>
      <c r="F164" s="13">
        <v>211</v>
      </c>
      <c r="G164" s="11" t="s">
        <v>2161</v>
      </c>
      <c r="H164" s="12">
        <v>14775000</v>
      </c>
      <c r="I164" s="11" t="s">
        <v>238</v>
      </c>
    </row>
    <row r="165" spans="1:9" ht="15" customHeight="1" x14ac:dyDescent="0.25">
      <c r="A165" s="14" t="s">
        <v>2444</v>
      </c>
      <c r="B165" s="11" t="s">
        <v>2445</v>
      </c>
      <c r="C165" s="11" t="s">
        <v>2400</v>
      </c>
      <c r="D165" s="11" t="s">
        <v>1005</v>
      </c>
      <c r="E165" s="13">
        <v>1300</v>
      </c>
      <c r="F165" s="13">
        <v>0</v>
      </c>
      <c r="G165" s="11" t="s">
        <v>2161</v>
      </c>
      <c r="H165" s="12">
        <v>694200</v>
      </c>
      <c r="I165" s="11" t="s">
        <v>221</v>
      </c>
    </row>
    <row r="166" spans="1:9" ht="15" customHeight="1" x14ac:dyDescent="0.25">
      <c r="A166" s="14" t="s">
        <v>2446</v>
      </c>
      <c r="B166" s="11" t="s">
        <v>2447</v>
      </c>
      <c r="C166" s="11" t="s">
        <v>2400</v>
      </c>
      <c r="D166" s="11" t="s">
        <v>1005</v>
      </c>
      <c r="E166" s="13">
        <v>600</v>
      </c>
      <c r="F166" s="13">
        <v>0</v>
      </c>
      <c r="G166" s="11" t="s">
        <v>2161</v>
      </c>
      <c r="H166" s="12">
        <v>480000</v>
      </c>
      <c r="I166" s="11" t="s">
        <v>222</v>
      </c>
    </row>
    <row r="167" spans="1:9" ht="15" customHeight="1" x14ac:dyDescent="0.25">
      <c r="A167" s="14" t="s">
        <v>2448</v>
      </c>
      <c r="B167" s="11" t="s">
        <v>2449</v>
      </c>
      <c r="C167" s="11" t="s">
        <v>2400</v>
      </c>
      <c r="D167" s="11" t="s">
        <v>1005</v>
      </c>
      <c r="E167" s="13">
        <v>0</v>
      </c>
      <c r="F167" s="13">
        <v>0</v>
      </c>
      <c r="G167" s="11" t="s">
        <v>2169</v>
      </c>
      <c r="H167" s="12">
        <v>0</v>
      </c>
      <c r="I167" s="11" t="s">
        <v>1670</v>
      </c>
    </row>
    <row r="168" spans="1:9" ht="15" customHeight="1" x14ac:dyDescent="0.25">
      <c r="A168" s="14" t="s">
        <v>2450</v>
      </c>
      <c r="B168" s="11" t="s">
        <v>697</v>
      </c>
      <c r="C168" s="11" t="s">
        <v>2400</v>
      </c>
      <c r="D168" s="11" t="s">
        <v>1005</v>
      </c>
      <c r="E168" s="13">
        <v>16650</v>
      </c>
      <c r="F168" s="13">
        <v>1000</v>
      </c>
      <c r="G168" s="11" t="s">
        <v>2161</v>
      </c>
      <c r="H168" s="12">
        <v>19980000</v>
      </c>
      <c r="I168" s="11" t="s">
        <v>239</v>
      </c>
    </row>
    <row r="169" spans="1:9" ht="15" customHeight="1" x14ac:dyDescent="0.25">
      <c r="A169" s="14" t="s">
        <v>2451</v>
      </c>
      <c r="B169" s="11" t="s">
        <v>698</v>
      </c>
      <c r="C169" s="11" t="s">
        <v>2400</v>
      </c>
      <c r="D169" s="11" t="s">
        <v>1005</v>
      </c>
      <c r="E169" s="13">
        <v>1500</v>
      </c>
      <c r="F169" s="13">
        <v>1000</v>
      </c>
      <c r="G169" s="11" t="s">
        <v>2161</v>
      </c>
      <c r="H169" s="12">
        <v>1800000</v>
      </c>
      <c r="I169" s="11" t="s">
        <v>240</v>
      </c>
    </row>
    <row r="170" spans="1:9" ht="15" customHeight="1" x14ac:dyDescent="0.25">
      <c r="A170" s="14" t="s">
        <v>2452</v>
      </c>
      <c r="B170" s="11" t="s">
        <v>700</v>
      </c>
      <c r="C170" s="11" t="s">
        <v>2453</v>
      </c>
      <c r="D170" s="11" t="s">
        <v>922</v>
      </c>
      <c r="E170" s="13">
        <v>0</v>
      </c>
      <c r="F170" s="13">
        <v>0</v>
      </c>
      <c r="G170" s="11" t="s">
        <v>2169</v>
      </c>
      <c r="H170" s="12">
        <v>0</v>
      </c>
      <c r="I170" s="11" t="s">
        <v>701</v>
      </c>
    </row>
    <row r="171" spans="1:9" ht="15" customHeight="1" x14ac:dyDescent="0.25">
      <c r="A171" s="14" t="s">
        <v>2454</v>
      </c>
      <c r="B171" s="11" t="s">
        <v>2455</v>
      </c>
      <c r="C171" s="11" t="s">
        <v>2160</v>
      </c>
      <c r="D171" s="11" t="s">
        <v>2200</v>
      </c>
      <c r="E171" s="13">
        <v>0</v>
      </c>
      <c r="F171" s="13">
        <v>0</v>
      </c>
      <c r="G171" s="11" t="s">
        <v>2169</v>
      </c>
      <c r="H171" s="12">
        <v>0</v>
      </c>
      <c r="I171" s="11" t="s">
        <v>1727</v>
      </c>
    </row>
    <row r="172" spans="1:9" ht="15" customHeight="1" x14ac:dyDescent="0.25">
      <c r="A172" s="14" t="s">
        <v>2456</v>
      </c>
      <c r="B172" s="11" t="s">
        <v>2457</v>
      </c>
      <c r="C172" s="11" t="s">
        <v>2326</v>
      </c>
      <c r="D172" s="11" t="s">
        <v>922</v>
      </c>
      <c r="E172" s="13">
        <v>35</v>
      </c>
      <c r="F172" s="13">
        <v>0</v>
      </c>
      <c r="G172" s="11" t="s">
        <v>2161</v>
      </c>
      <c r="H172" s="12">
        <v>2380000</v>
      </c>
      <c r="I172" s="11" t="s">
        <v>242</v>
      </c>
    </row>
    <row r="173" spans="1:9" ht="15" customHeight="1" x14ac:dyDescent="0.25">
      <c r="A173" s="14" t="s">
        <v>2458</v>
      </c>
      <c r="B173" s="11" t="s">
        <v>2459</v>
      </c>
      <c r="C173" s="11" t="s">
        <v>2460</v>
      </c>
      <c r="D173" s="11" t="s">
        <v>1005</v>
      </c>
      <c r="E173" s="13">
        <v>0</v>
      </c>
      <c r="F173" s="13">
        <v>0</v>
      </c>
      <c r="G173" s="11" t="s">
        <v>2169</v>
      </c>
      <c r="H173" s="12">
        <v>0</v>
      </c>
      <c r="I173" s="11" t="s">
        <v>2461</v>
      </c>
    </row>
    <row r="174" spans="1:9" ht="15" customHeight="1" x14ac:dyDescent="0.25">
      <c r="A174" s="14" t="s">
        <v>2462</v>
      </c>
      <c r="B174" s="11" t="s">
        <v>702</v>
      </c>
      <c r="C174" s="11" t="s">
        <v>2172</v>
      </c>
      <c r="D174" s="11" t="s">
        <v>922</v>
      </c>
      <c r="E174" s="13">
        <v>25</v>
      </c>
      <c r="F174" s="13">
        <v>0</v>
      </c>
      <c r="G174" s="11" t="s">
        <v>2161</v>
      </c>
      <c r="H174" s="12">
        <v>1400000</v>
      </c>
      <c r="I174" s="11" t="s">
        <v>247</v>
      </c>
    </row>
    <row r="175" spans="1:9" ht="15" customHeight="1" x14ac:dyDescent="0.25">
      <c r="A175" s="14" t="s">
        <v>2463</v>
      </c>
      <c r="B175" s="11" t="s">
        <v>2464</v>
      </c>
      <c r="C175" s="11" t="s">
        <v>2172</v>
      </c>
      <c r="D175" s="11" t="s">
        <v>2200</v>
      </c>
      <c r="E175" s="13">
        <v>150000</v>
      </c>
      <c r="F175" s="13">
        <v>0</v>
      </c>
      <c r="G175" s="11" t="s">
        <v>2161</v>
      </c>
      <c r="H175" s="12">
        <v>9240000</v>
      </c>
      <c r="I175" s="11" t="s">
        <v>243</v>
      </c>
    </row>
    <row r="176" spans="1:9" ht="15" customHeight="1" x14ac:dyDescent="0.25">
      <c r="A176" s="14" t="s">
        <v>2465</v>
      </c>
      <c r="B176" s="11" t="s">
        <v>2466</v>
      </c>
      <c r="C176" s="11" t="s">
        <v>2172</v>
      </c>
      <c r="D176" s="11" t="s">
        <v>2200</v>
      </c>
      <c r="E176" s="13">
        <v>5000</v>
      </c>
      <c r="F176" s="13">
        <v>0</v>
      </c>
      <c r="G176" s="11" t="s">
        <v>2161</v>
      </c>
      <c r="H176" s="12">
        <v>253000</v>
      </c>
      <c r="I176" s="11" t="s">
        <v>244</v>
      </c>
    </row>
    <row r="177" spans="1:9" ht="15" customHeight="1" x14ac:dyDescent="0.25">
      <c r="A177" s="14" t="s">
        <v>2467</v>
      </c>
      <c r="B177" s="11" t="s">
        <v>2468</v>
      </c>
      <c r="C177" s="11" t="s">
        <v>2172</v>
      </c>
      <c r="D177" s="11" t="s">
        <v>2200</v>
      </c>
      <c r="E177" s="13">
        <v>0</v>
      </c>
      <c r="F177" s="13">
        <v>0</v>
      </c>
      <c r="G177" s="11" t="s">
        <v>2169</v>
      </c>
      <c r="H177" s="12">
        <v>0</v>
      </c>
      <c r="I177" s="11" t="s">
        <v>1270</v>
      </c>
    </row>
    <row r="178" spans="1:9" ht="15" customHeight="1" x14ac:dyDescent="0.25">
      <c r="A178" s="14" t="s">
        <v>2469</v>
      </c>
      <c r="B178" s="11" t="s">
        <v>703</v>
      </c>
      <c r="C178" s="11" t="s">
        <v>2172</v>
      </c>
      <c r="D178" s="11" t="s">
        <v>922</v>
      </c>
      <c r="E178" s="13">
        <v>5</v>
      </c>
      <c r="F178" s="13">
        <v>0</v>
      </c>
      <c r="G178" s="11" t="s">
        <v>2161</v>
      </c>
      <c r="H178" s="12">
        <v>275000</v>
      </c>
      <c r="I178" s="11" t="s">
        <v>248</v>
      </c>
    </row>
    <row r="179" spans="1:9" ht="15" customHeight="1" x14ac:dyDescent="0.25">
      <c r="A179" s="14" t="s">
        <v>2470</v>
      </c>
      <c r="B179" s="11" t="s">
        <v>2471</v>
      </c>
      <c r="C179" s="11" t="s">
        <v>2172</v>
      </c>
      <c r="D179" s="11" t="s">
        <v>922</v>
      </c>
      <c r="E179" s="13">
        <v>15</v>
      </c>
      <c r="F179" s="13">
        <v>0</v>
      </c>
      <c r="G179" s="11" t="s">
        <v>2161</v>
      </c>
      <c r="H179" s="12">
        <v>877500</v>
      </c>
      <c r="I179" s="11" t="s">
        <v>245</v>
      </c>
    </row>
    <row r="180" spans="1:9" ht="15" customHeight="1" x14ac:dyDescent="0.25">
      <c r="A180" s="14" t="s">
        <v>2472</v>
      </c>
      <c r="B180" s="11" t="s">
        <v>2473</v>
      </c>
      <c r="C180" s="11" t="s">
        <v>2172</v>
      </c>
      <c r="D180" s="11" t="s">
        <v>922</v>
      </c>
      <c r="E180" s="13">
        <v>40</v>
      </c>
      <c r="F180" s="13">
        <v>0</v>
      </c>
      <c r="G180" s="11" t="s">
        <v>2161</v>
      </c>
      <c r="H180" s="12">
        <v>1920000</v>
      </c>
      <c r="I180" s="11" t="s">
        <v>246</v>
      </c>
    </row>
    <row r="181" spans="1:9" ht="15" customHeight="1" x14ac:dyDescent="0.25">
      <c r="A181" s="14" t="s">
        <v>2474</v>
      </c>
      <c r="B181" s="11" t="s">
        <v>2475</v>
      </c>
      <c r="C181" s="11" t="s">
        <v>2175</v>
      </c>
      <c r="D181" s="11" t="s">
        <v>1005</v>
      </c>
      <c r="E181" s="13">
        <v>0</v>
      </c>
      <c r="F181" s="13">
        <v>52</v>
      </c>
      <c r="G181" s="11" t="s">
        <v>2169</v>
      </c>
      <c r="H181" s="12">
        <v>0</v>
      </c>
      <c r="I181" s="11" t="s">
        <v>1644</v>
      </c>
    </row>
    <row r="182" spans="1:9" ht="15" customHeight="1" x14ac:dyDescent="0.25">
      <c r="A182" s="14" t="s">
        <v>2476</v>
      </c>
      <c r="B182" s="11" t="s">
        <v>2477</v>
      </c>
      <c r="C182" s="11" t="s">
        <v>2193</v>
      </c>
      <c r="D182" s="11" t="s">
        <v>922</v>
      </c>
      <c r="E182" s="13">
        <v>72</v>
      </c>
      <c r="F182" s="13">
        <v>209</v>
      </c>
      <c r="G182" s="11" t="s">
        <v>2166</v>
      </c>
      <c r="H182" s="12">
        <v>2291999.9975999999</v>
      </c>
      <c r="I182" s="11" t="s">
        <v>172</v>
      </c>
    </row>
    <row r="183" spans="1:9" ht="15" customHeight="1" x14ac:dyDescent="0.25">
      <c r="A183" s="14" t="s">
        <v>2478</v>
      </c>
      <c r="B183" s="11" t="s">
        <v>706</v>
      </c>
      <c r="C183" s="11" t="s">
        <v>2190</v>
      </c>
      <c r="D183" s="11" t="s">
        <v>2391</v>
      </c>
      <c r="E183" s="13">
        <v>25</v>
      </c>
      <c r="F183" s="13">
        <v>5</v>
      </c>
      <c r="G183" s="11" t="s">
        <v>2161</v>
      </c>
      <c r="H183" s="12">
        <v>275000</v>
      </c>
      <c r="I183" s="11" t="s">
        <v>249</v>
      </c>
    </row>
    <row r="184" spans="1:9" ht="15" customHeight="1" x14ac:dyDescent="0.25">
      <c r="A184" s="14" t="s">
        <v>2479</v>
      </c>
      <c r="B184" s="11" t="s">
        <v>707</v>
      </c>
      <c r="C184" s="11" t="s">
        <v>2480</v>
      </c>
      <c r="D184" s="11" t="s">
        <v>922</v>
      </c>
      <c r="E184" s="13">
        <v>0</v>
      </c>
      <c r="F184" s="13">
        <v>5</v>
      </c>
      <c r="G184" s="11" t="s">
        <v>2169</v>
      </c>
      <c r="H184" s="12">
        <v>0</v>
      </c>
      <c r="I184" s="11" t="s">
        <v>708</v>
      </c>
    </row>
    <row r="185" spans="1:9" ht="15" customHeight="1" x14ac:dyDescent="0.25">
      <c r="A185" s="14" t="s">
        <v>2481</v>
      </c>
      <c r="B185" s="11" t="s">
        <v>711</v>
      </c>
      <c r="C185" s="11" t="s">
        <v>2453</v>
      </c>
      <c r="D185" s="11" t="s">
        <v>922</v>
      </c>
      <c r="E185" s="13">
        <v>35</v>
      </c>
      <c r="F185" s="13">
        <v>0</v>
      </c>
      <c r="G185" s="11" t="s">
        <v>2161</v>
      </c>
      <c r="H185" s="12">
        <v>2630699.9985000002</v>
      </c>
      <c r="I185" s="11" t="s">
        <v>89</v>
      </c>
    </row>
    <row r="186" spans="1:9" ht="15" customHeight="1" x14ac:dyDescent="0.25">
      <c r="A186" s="14" t="s">
        <v>2482</v>
      </c>
      <c r="B186" s="11" t="s">
        <v>712</v>
      </c>
      <c r="C186" s="11" t="s">
        <v>2318</v>
      </c>
      <c r="D186" s="11" t="s">
        <v>1005</v>
      </c>
      <c r="E186" s="13">
        <v>0</v>
      </c>
      <c r="F186" s="13">
        <v>225</v>
      </c>
      <c r="G186" s="11" t="s">
        <v>2169</v>
      </c>
      <c r="H186" s="12">
        <v>0</v>
      </c>
      <c r="I186" s="11" t="s">
        <v>713</v>
      </c>
    </row>
    <row r="187" spans="1:9" ht="15" customHeight="1" x14ac:dyDescent="0.25">
      <c r="A187" s="14" t="s">
        <v>2483</v>
      </c>
      <c r="B187" s="11" t="s">
        <v>2484</v>
      </c>
      <c r="C187" s="11" t="s">
        <v>2190</v>
      </c>
      <c r="D187" s="11" t="s">
        <v>1005</v>
      </c>
      <c r="E187" s="13">
        <v>1540</v>
      </c>
      <c r="F187" s="13">
        <v>0</v>
      </c>
      <c r="G187" s="11" t="s">
        <v>2161</v>
      </c>
      <c r="H187" s="12">
        <v>77000</v>
      </c>
      <c r="I187" s="11" t="s">
        <v>251</v>
      </c>
    </row>
    <row r="188" spans="1:9" ht="15" customHeight="1" x14ac:dyDescent="0.25">
      <c r="A188" s="14" t="s">
        <v>2485</v>
      </c>
      <c r="B188" s="11" t="s">
        <v>1341</v>
      </c>
      <c r="C188" s="11" t="s">
        <v>2190</v>
      </c>
      <c r="D188" s="11" t="s">
        <v>922</v>
      </c>
      <c r="E188" s="13">
        <v>0</v>
      </c>
      <c r="F188" s="13">
        <v>144</v>
      </c>
      <c r="G188" s="11" t="s">
        <v>2169</v>
      </c>
      <c r="H188" s="12">
        <v>0</v>
      </c>
      <c r="I188" s="11" t="s">
        <v>1342</v>
      </c>
    </row>
    <row r="189" spans="1:9" ht="15" customHeight="1" x14ac:dyDescent="0.25">
      <c r="A189" s="14" t="s">
        <v>2486</v>
      </c>
      <c r="B189" s="11" t="s">
        <v>2487</v>
      </c>
      <c r="C189" s="11" t="s">
        <v>2190</v>
      </c>
      <c r="D189" s="11" t="s">
        <v>2200</v>
      </c>
      <c r="E189" s="13">
        <v>235</v>
      </c>
      <c r="F189" s="13">
        <v>134</v>
      </c>
      <c r="G189" s="11" t="s">
        <v>2161</v>
      </c>
      <c r="H189" s="12">
        <v>29000.0105</v>
      </c>
      <c r="I189" s="11" t="s">
        <v>167</v>
      </c>
    </row>
    <row r="190" spans="1:9" ht="15" customHeight="1" x14ac:dyDescent="0.25">
      <c r="A190" s="14" t="s">
        <v>2488</v>
      </c>
      <c r="B190" s="11" t="s">
        <v>714</v>
      </c>
      <c r="C190" s="11" t="s">
        <v>2172</v>
      </c>
      <c r="D190" s="11" t="s">
        <v>922</v>
      </c>
      <c r="E190" s="13">
        <v>0.5</v>
      </c>
      <c r="F190" s="13">
        <v>0</v>
      </c>
      <c r="G190" s="11" t="s">
        <v>2161</v>
      </c>
      <c r="H190" s="12">
        <v>120000</v>
      </c>
      <c r="I190" s="11" t="s">
        <v>128</v>
      </c>
    </row>
    <row r="191" spans="1:9" ht="15" customHeight="1" x14ac:dyDescent="0.25">
      <c r="A191" s="14" t="s">
        <v>2489</v>
      </c>
      <c r="B191" s="11" t="s">
        <v>2490</v>
      </c>
      <c r="C191" s="11" t="s">
        <v>2491</v>
      </c>
      <c r="D191" s="11" t="s">
        <v>922</v>
      </c>
      <c r="E191" s="13">
        <v>1</v>
      </c>
      <c r="F191" s="13">
        <v>0</v>
      </c>
      <c r="G191" s="11" t="s">
        <v>2161</v>
      </c>
      <c r="H191" s="12">
        <v>190000</v>
      </c>
      <c r="I191" s="11" t="s">
        <v>252</v>
      </c>
    </row>
    <row r="192" spans="1:9" ht="15" customHeight="1" x14ac:dyDescent="0.25">
      <c r="A192" s="14" t="s">
        <v>2492</v>
      </c>
      <c r="B192" s="11" t="s">
        <v>1328</v>
      </c>
      <c r="C192" s="11" t="s">
        <v>2172</v>
      </c>
      <c r="D192" s="11" t="s">
        <v>922</v>
      </c>
      <c r="E192" s="13">
        <v>105</v>
      </c>
      <c r="F192" s="13">
        <v>0</v>
      </c>
      <c r="G192" s="11" t="s">
        <v>2161</v>
      </c>
      <c r="H192" s="12">
        <v>5909085</v>
      </c>
      <c r="I192" s="11" t="s">
        <v>253</v>
      </c>
    </row>
    <row r="193" spans="1:9" ht="15" customHeight="1" x14ac:dyDescent="0.25">
      <c r="A193" s="14" t="s">
        <v>2493</v>
      </c>
      <c r="B193" s="11" t="s">
        <v>2494</v>
      </c>
      <c r="C193" s="11" t="s">
        <v>2172</v>
      </c>
      <c r="D193" s="11" t="s">
        <v>922</v>
      </c>
      <c r="E193" s="13">
        <v>0</v>
      </c>
      <c r="F193" s="13">
        <v>0</v>
      </c>
      <c r="G193" s="11" t="s">
        <v>2169</v>
      </c>
      <c r="H193" s="12">
        <v>0</v>
      </c>
      <c r="I193" s="11" t="s">
        <v>1766</v>
      </c>
    </row>
    <row r="194" spans="1:9" ht="15" customHeight="1" x14ac:dyDescent="0.25">
      <c r="A194" s="14" t="s">
        <v>2495</v>
      </c>
      <c r="B194" s="11" t="s">
        <v>722</v>
      </c>
      <c r="C194" s="11" t="s">
        <v>2318</v>
      </c>
      <c r="D194" s="11" t="s">
        <v>2200</v>
      </c>
      <c r="E194" s="13">
        <v>0</v>
      </c>
      <c r="F194" s="13">
        <v>0</v>
      </c>
      <c r="G194" s="11" t="s">
        <v>2169</v>
      </c>
      <c r="H194" s="12">
        <v>0</v>
      </c>
      <c r="I194" s="11" t="s">
        <v>724</v>
      </c>
    </row>
    <row r="195" spans="1:9" ht="15" customHeight="1" x14ac:dyDescent="0.25">
      <c r="A195" s="14" t="s">
        <v>2496</v>
      </c>
      <c r="B195" s="11" t="s">
        <v>2497</v>
      </c>
      <c r="C195" s="11" t="s">
        <v>2318</v>
      </c>
      <c r="D195" s="11" t="s">
        <v>2200</v>
      </c>
      <c r="E195" s="13">
        <v>0</v>
      </c>
      <c r="F195" s="13">
        <v>0</v>
      </c>
      <c r="G195" s="11" t="s">
        <v>2169</v>
      </c>
      <c r="H195" s="12">
        <v>0</v>
      </c>
      <c r="I195" s="11" t="s">
        <v>1666</v>
      </c>
    </row>
    <row r="196" spans="1:9" ht="15" customHeight="1" x14ac:dyDescent="0.25">
      <c r="A196" s="14" t="s">
        <v>2498</v>
      </c>
      <c r="B196" s="11" t="s">
        <v>725</v>
      </c>
      <c r="C196" s="11" t="s">
        <v>2453</v>
      </c>
      <c r="D196" s="11" t="s">
        <v>922</v>
      </c>
      <c r="E196" s="13">
        <v>210</v>
      </c>
      <c r="F196" s="13">
        <v>30</v>
      </c>
      <c r="G196" s="11" t="s">
        <v>2161</v>
      </c>
      <c r="H196" s="12">
        <v>3150000</v>
      </c>
      <c r="I196" s="11" t="s">
        <v>98</v>
      </c>
    </row>
    <row r="197" spans="1:9" ht="15" customHeight="1" x14ac:dyDescent="0.25">
      <c r="A197" s="14" t="s">
        <v>2499</v>
      </c>
      <c r="B197" s="11" t="s">
        <v>2500</v>
      </c>
      <c r="C197" s="11" t="s">
        <v>2453</v>
      </c>
      <c r="D197" s="11" t="s">
        <v>2200</v>
      </c>
      <c r="E197" s="13">
        <v>8000</v>
      </c>
      <c r="F197" s="13">
        <v>0</v>
      </c>
      <c r="G197" s="11" t="s">
        <v>2161</v>
      </c>
      <c r="H197" s="12">
        <v>176000</v>
      </c>
      <c r="I197" s="11" t="s">
        <v>254</v>
      </c>
    </row>
    <row r="198" spans="1:9" ht="15" customHeight="1" x14ac:dyDescent="0.25">
      <c r="A198" s="14" t="s">
        <v>2501</v>
      </c>
      <c r="B198" s="11" t="s">
        <v>2502</v>
      </c>
      <c r="C198" s="11" t="s">
        <v>2453</v>
      </c>
      <c r="D198" s="11" t="s">
        <v>2200</v>
      </c>
      <c r="E198" s="13">
        <v>44000</v>
      </c>
      <c r="F198" s="13">
        <v>0</v>
      </c>
      <c r="G198" s="11" t="s">
        <v>2161</v>
      </c>
      <c r="H198" s="12">
        <v>1144000</v>
      </c>
      <c r="I198" s="11" t="s">
        <v>250</v>
      </c>
    </row>
    <row r="199" spans="1:9" ht="15" customHeight="1" x14ac:dyDescent="0.25">
      <c r="A199" s="14" t="s">
        <v>2503</v>
      </c>
      <c r="B199" s="11" t="s">
        <v>2504</v>
      </c>
      <c r="C199" s="11" t="s">
        <v>2453</v>
      </c>
      <c r="D199" s="11" t="s">
        <v>922</v>
      </c>
      <c r="E199" s="13">
        <v>0</v>
      </c>
      <c r="F199" s="13">
        <v>0</v>
      </c>
      <c r="G199" s="11" t="s">
        <v>2169</v>
      </c>
      <c r="H199" s="12">
        <v>0</v>
      </c>
      <c r="I199" s="11" t="s">
        <v>727</v>
      </c>
    </row>
    <row r="200" spans="1:9" ht="15" customHeight="1" x14ac:dyDescent="0.25">
      <c r="A200" s="14" t="s">
        <v>2505</v>
      </c>
      <c r="B200" s="11" t="s">
        <v>2506</v>
      </c>
      <c r="C200" s="11" t="s">
        <v>2175</v>
      </c>
      <c r="D200" s="11" t="s">
        <v>922</v>
      </c>
      <c r="E200" s="13">
        <v>1100</v>
      </c>
      <c r="F200" s="13">
        <v>0</v>
      </c>
      <c r="G200" s="11" t="s">
        <v>2161</v>
      </c>
      <c r="H200" s="12">
        <v>3844637.5</v>
      </c>
      <c r="I200" s="11" t="s">
        <v>43</v>
      </c>
    </row>
    <row r="201" spans="1:9" ht="15" customHeight="1" x14ac:dyDescent="0.25">
      <c r="A201" s="14" t="s">
        <v>2507</v>
      </c>
      <c r="B201" s="11" t="s">
        <v>2508</v>
      </c>
      <c r="C201" s="11" t="s">
        <v>2453</v>
      </c>
      <c r="D201" s="11" t="s">
        <v>2200</v>
      </c>
      <c r="E201" s="13">
        <v>1100000</v>
      </c>
      <c r="F201" s="13">
        <v>4536000</v>
      </c>
      <c r="G201" s="11" t="s">
        <v>2166</v>
      </c>
      <c r="H201" s="12">
        <v>19140000</v>
      </c>
      <c r="I201" s="11" t="s">
        <v>40</v>
      </c>
    </row>
    <row r="202" spans="1:9" ht="15" customHeight="1" x14ac:dyDescent="0.25">
      <c r="A202" s="14" t="s">
        <v>2509</v>
      </c>
      <c r="B202" s="11" t="s">
        <v>732</v>
      </c>
      <c r="C202" s="11" t="s">
        <v>2453</v>
      </c>
      <c r="D202" s="11" t="s">
        <v>2200</v>
      </c>
      <c r="E202" s="13">
        <v>2000</v>
      </c>
      <c r="F202" s="13">
        <v>0</v>
      </c>
      <c r="G202" s="11" t="s">
        <v>2161</v>
      </c>
      <c r="H202" s="12">
        <v>320000</v>
      </c>
      <c r="I202" s="11" t="s">
        <v>255</v>
      </c>
    </row>
    <row r="203" spans="1:9" ht="15" customHeight="1" x14ac:dyDescent="0.25">
      <c r="A203" s="14" t="s">
        <v>2510</v>
      </c>
      <c r="B203" s="11" t="s">
        <v>735</v>
      </c>
      <c r="C203" s="11" t="s">
        <v>2190</v>
      </c>
      <c r="D203" s="11" t="s">
        <v>2274</v>
      </c>
      <c r="E203" s="13">
        <v>0</v>
      </c>
      <c r="F203" s="13">
        <v>5</v>
      </c>
      <c r="G203" s="11" t="s">
        <v>2169</v>
      </c>
      <c r="H203" s="12">
        <v>0</v>
      </c>
      <c r="I203" s="11" t="s">
        <v>737</v>
      </c>
    </row>
    <row r="204" spans="1:9" ht="15" customHeight="1" x14ac:dyDescent="0.25">
      <c r="A204" s="14" t="s">
        <v>2511</v>
      </c>
      <c r="B204" s="11" t="s">
        <v>738</v>
      </c>
      <c r="C204" s="11" t="s">
        <v>2190</v>
      </c>
      <c r="D204" s="11" t="s">
        <v>1005</v>
      </c>
      <c r="E204" s="13">
        <v>0</v>
      </c>
      <c r="F204" s="13">
        <v>100</v>
      </c>
      <c r="G204" s="11" t="s">
        <v>2169</v>
      </c>
      <c r="H204" s="12">
        <v>0</v>
      </c>
      <c r="I204" s="11" t="s">
        <v>739</v>
      </c>
    </row>
    <row r="205" spans="1:9" ht="15" customHeight="1" x14ac:dyDescent="0.25">
      <c r="A205" s="14" t="s">
        <v>2512</v>
      </c>
      <c r="B205" s="11" t="s">
        <v>740</v>
      </c>
      <c r="C205" s="11" t="s">
        <v>2460</v>
      </c>
      <c r="D205" s="11" t="s">
        <v>1005</v>
      </c>
      <c r="E205" s="13">
        <v>3500</v>
      </c>
      <c r="F205" s="13">
        <v>10</v>
      </c>
      <c r="G205" s="11" t="s">
        <v>2161</v>
      </c>
      <c r="H205" s="12">
        <v>23975000</v>
      </c>
      <c r="I205" s="11" t="s">
        <v>27</v>
      </c>
    </row>
    <row r="206" spans="1:9" ht="15" customHeight="1" x14ac:dyDescent="0.25">
      <c r="A206" s="14" t="s">
        <v>2513</v>
      </c>
      <c r="B206" s="11" t="s">
        <v>2514</v>
      </c>
      <c r="C206" s="11" t="s">
        <v>2190</v>
      </c>
      <c r="D206" s="11" t="s">
        <v>1005</v>
      </c>
      <c r="E206" s="13">
        <v>0</v>
      </c>
      <c r="F206" s="13">
        <v>0</v>
      </c>
      <c r="G206" s="11" t="s">
        <v>2169</v>
      </c>
      <c r="H206" s="12">
        <v>0</v>
      </c>
      <c r="I206" s="11" t="s">
        <v>2515</v>
      </c>
    </row>
    <row r="207" spans="1:9" ht="15" customHeight="1" x14ac:dyDescent="0.25">
      <c r="A207" s="14" t="s">
        <v>2516</v>
      </c>
      <c r="B207" s="11" t="s">
        <v>2517</v>
      </c>
      <c r="C207" s="11" t="s">
        <v>2190</v>
      </c>
      <c r="D207" s="11" t="s">
        <v>2391</v>
      </c>
      <c r="E207" s="13">
        <v>0</v>
      </c>
      <c r="F207" s="13">
        <v>1</v>
      </c>
      <c r="G207" s="11" t="s">
        <v>2169</v>
      </c>
      <c r="H207" s="12">
        <v>0</v>
      </c>
      <c r="I207" s="11" t="s">
        <v>744</v>
      </c>
    </row>
    <row r="208" spans="1:9" ht="15" customHeight="1" x14ac:dyDescent="0.25">
      <c r="A208" s="14" t="s">
        <v>2518</v>
      </c>
      <c r="B208" s="11" t="s">
        <v>2519</v>
      </c>
      <c r="C208" s="11" t="s">
        <v>2251</v>
      </c>
      <c r="D208" s="11" t="s">
        <v>922</v>
      </c>
      <c r="E208" s="13">
        <v>0</v>
      </c>
      <c r="F208" s="13">
        <v>859</v>
      </c>
      <c r="G208" s="11" t="s">
        <v>2169</v>
      </c>
      <c r="H208" s="12">
        <v>0</v>
      </c>
      <c r="I208" s="11" t="s">
        <v>36</v>
      </c>
    </row>
    <row r="209" spans="1:9" ht="15" customHeight="1" x14ac:dyDescent="0.25">
      <c r="A209" s="14" t="s">
        <v>2520</v>
      </c>
      <c r="B209" s="11" t="s">
        <v>745</v>
      </c>
      <c r="C209" s="11" t="s">
        <v>2193</v>
      </c>
      <c r="D209" s="11" t="s">
        <v>922</v>
      </c>
      <c r="E209" s="13">
        <v>0</v>
      </c>
      <c r="F209" s="13">
        <v>30</v>
      </c>
      <c r="G209" s="11" t="s">
        <v>2169</v>
      </c>
      <c r="H209" s="12">
        <v>0</v>
      </c>
      <c r="I209" s="11" t="s">
        <v>746</v>
      </c>
    </row>
    <row r="210" spans="1:9" ht="15" customHeight="1" x14ac:dyDescent="0.25">
      <c r="A210" s="14" t="s">
        <v>2521</v>
      </c>
      <c r="B210" s="11" t="s">
        <v>1345</v>
      </c>
      <c r="C210" s="11" t="s">
        <v>2190</v>
      </c>
      <c r="D210" s="11" t="s">
        <v>2522</v>
      </c>
      <c r="E210" s="13">
        <v>0</v>
      </c>
      <c r="F210" s="13">
        <v>2</v>
      </c>
      <c r="G210" s="11" t="s">
        <v>2169</v>
      </c>
      <c r="H210" s="12">
        <v>0</v>
      </c>
      <c r="I210" s="11" t="s">
        <v>1346</v>
      </c>
    </row>
    <row r="211" spans="1:9" ht="15" customHeight="1" x14ac:dyDescent="0.25">
      <c r="A211" s="14" t="s">
        <v>2523</v>
      </c>
      <c r="B211" s="11" t="s">
        <v>2524</v>
      </c>
      <c r="C211" s="11" t="s">
        <v>2251</v>
      </c>
      <c r="D211" s="11" t="s">
        <v>922</v>
      </c>
      <c r="E211" s="13">
        <v>20.5</v>
      </c>
      <c r="F211" s="13">
        <v>6</v>
      </c>
      <c r="G211" s="11" t="s">
        <v>2161</v>
      </c>
      <c r="H211" s="12">
        <v>1601050</v>
      </c>
      <c r="I211" s="11" t="s">
        <v>256</v>
      </c>
    </row>
    <row r="212" spans="1:9" ht="15" customHeight="1" x14ac:dyDescent="0.25">
      <c r="A212" s="14" t="s">
        <v>2525</v>
      </c>
      <c r="B212" s="11" t="s">
        <v>761</v>
      </c>
      <c r="C212" s="11" t="s">
        <v>2318</v>
      </c>
      <c r="D212" s="11" t="s">
        <v>2200</v>
      </c>
      <c r="E212" s="13">
        <v>0</v>
      </c>
      <c r="F212" s="13">
        <v>0</v>
      </c>
      <c r="G212" s="11" t="s">
        <v>2169</v>
      </c>
      <c r="H212" s="12">
        <v>0</v>
      </c>
      <c r="I212" s="11" t="s">
        <v>762</v>
      </c>
    </row>
    <row r="213" spans="1:9" ht="15" customHeight="1" x14ac:dyDescent="0.25">
      <c r="A213" s="14" t="s">
        <v>2526</v>
      </c>
      <c r="B213" s="11" t="s">
        <v>1518</v>
      </c>
      <c r="C213" s="11" t="s">
        <v>2160</v>
      </c>
      <c r="D213" s="11" t="s">
        <v>922</v>
      </c>
      <c r="E213" s="13">
        <v>113</v>
      </c>
      <c r="F213" s="13">
        <v>24</v>
      </c>
      <c r="G213" s="11" t="s">
        <v>2161</v>
      </c>
      <c r="H213" s="12">
        <v>2034000</v>
      </c>
      <c r="I213" s="11" t="s">
        <v>257</v>
      </c>
    </row>
    <row r="214" spans="1:9" ht="15" customHeight="1" x14ac:dyDescent="0.25">
      <c r="A214" s="14" t="s">
        <v>2527</v>
      </c>
      <c r="B214" s="11" t="s">
        <v>2528</v>
      </c>
      <c r="C214" s="11" t="s">
        <v>2262</v>
      </c>
      <c r="D214" s="11" t="s">
        <v>2200</v>
      </c>
      <c r="E214" s="13">
        <v>0</v>
      </c>
      <c r="F214" s="13">
        <v>0</v>
      </c>
      <c r="G214" s="11" t="s">
        <v>2169</v>
      </c>
      <c r="H214" s="12">
        <v>0</v>
      </c>
      <c r="I214" s="11" t="s">
        <v>2529</v>
      </c>
    </row>
    <row r="215" spans="1:9" ht="15" customHeight="1" x14ac:dyDescent="0.25">
      <c r="A215" s="14" t="s">
        <v>2530</v>
      </c>
      <c r="B215" s="11" t="s">
        <v>767</v>
      </c>
      <c r="C215" s="11" t="s">
        <v>2491</v>
      </c>
      <c r="D215" s="11" t="s">
        <v>922</v>
      </c>
      <c r="E215" s="13">
        <v>4</v>
      </c>
      <c r="F215" s="13">
        <v>3</v>
      </c>
      <c r="G215" s="11" t="s">
        <v>2161</v>
      </c>
      <c r="H215" s="12">
        <v>920000</v>
      </c>
      <c r="I215" s="11" t="s">
        <v>258</v>
      </c>
    </row>
    <row r="216" spans="1:9" ht="15" customHeight="1" x14ac:dyDescent="0.25">
      <c r="A216" s="14" t="s">
        <v>2531</v>
      </c>
      <c r="B216" s="11" t="s">
        <v>2532</v>
      </c>
      <c r="C216" s="11" t="s">
        <v>2172</v>
      </c>
      <c r="D216" s="11" t="s">
        <v>922</v>
      </c>
      <c r="E216" s="13">
        <v>10</v>
      </c>
      <c r="F216" s="13">
        <v>30</v>
      </c>
      <c r="G216" s="11" t="s">
        <v>2166</v>
      </c>
      <c r="H216" s="12">
        <v>589375</v>
      </c>
      <c r="I216" s="11" t="s">
        <v>267</v>
      </c>
    </row>
    <row r="217" spans="1:9" ht="15" customHeight="1" x14ac:dyDescent="0.25">
      <c r="A217" s="14" t="s">
        <v>2533</v>
      </c>
      <c r="B217" s="11" t="s">
        <v>2534</v>
      </c>
      <c r="C217" s="11" t="s">
        <v>2172</v>
      </c>
      <c r="D217" s="11" t="s">
        <v>922</v>
      </c>
      <c r="E217" s="13">
        <v>0</v>
      </c>
      <c r="F217" s="13">
        <v>4</v>
      </c>
      <c r="G217" s="11" t="s">
        <v>2169</v>
      </c>
      <c r="H217" s="12">
        <v>0</v>
      </c>
      <c r="I217" s="11" t="s">
        <v>1572</v>
      </c>
    </row>
    <row r="218" spans="1:9" ht="15" customHeight="1" x14ac:dyDescent="0.25">
      <c r="A218" s="14" t="s">
        <v>2535</v>
      </c>
      <c r="B218" s="11" t="s">
        <v>2536</v>
      </c>
      <c r="C218" s="11" t="s">
        <v>2187</v>
      </c>
      <c r="D218" s="11" t="s">
        <v>1005</v>
      </c>
      <c r="E218" s="13">
        <v>0</v>
      </c>
      <c r="F218" s="13">
        <v>450</v>
      </c>
      <c r="G218" s="11" t="s">
        <v>2169</v>
      </c>
      <c r="H218" s="12">
        <v>0</v>
      </c>
      <c r="I218" s="11" t="s">
        <v>1830</v>
      </c>
    </row>
    <row r="219" spans="1:9" ht="15" customHeight="1" x14ac:dyDescent="0.25">
      <c r="A219" s="14" t="s">
        <v>2537</v>
      </c>
      <c r="B219" s="11" t="s">
        <v>2538</v>
      </c>
      <c r="C219" s="11" t="s">
        <v>2318</v>
      </c>
      <c r="D219" s="11" t="s">
        <v>2200</v>
      </c>
      <c r="E219" s="13">
        <v>0</v>
      </c>
      <c r="F219" s="13">
        <v>0</v>
      </c>
      <c r="G219" s="11" t="s">
        <v>2169</v>
      </c>
      <c r="H219" s="12">
        <v>0</v>
      </c>
      <c r="I219" s="11" t="s">
        <v>1840</v>
      </c>
    </row>
    <row r="220" spans="1:9" ht="15" customHeight="1" x14ac:dyDescent="0.25">
      <c r="A220" s="14" t="s">
        <v>2539</v>
      </c>
      <c r="B220" s="11" t="s">
        <v>2540</v>
      </c>
      <c r="C220" s="11" t="s">
        <v>2302</v>
      </c>
      <c r="D220" s="11" t="s">
        <v>2200</v>
      </c>
      <c r="E220" s="13">
        <v>0</v>
      </c>
      <c r="F220" s="13">
        <v>0</v>
      </c>
      <c r="G220" s="11" t="s">
        <v>2169</v>
      </c>
      <c r="H220" s="12">
        <v>0</v>
      </c>
      <c r="I220" s="11" t="s">
        <v>1714</v>
      </c>
    </row>
    <row r="221" spans="1:9" ht="15" customHeight="1" x14ac:dyDescent="0.25">
      <c r="A221" s="14" t="s">
        <v>2541</v>
      </c>
      <c r="B221" s="11" t="s">
        <v>2542</v>
      </c>
      <c r="C221" s="11" t="s">
        <v>2302</v>
      </c>
      <c r="D221" s="11" t="s">
        <v>2200</v>
      </c>
      <c r="E221" s="13">
        <v>0</v>
      </c>
      <c r="F221" s="13">
        <v>0</v>
      </c>
      <c r="G221" s="11" t="s">
        <v>2169</v>
      </c>
      <c r="H221" s="12">
        <v>0</v>
      </c>
      <c r="I221" s="11" t="s">
        <v>1619</v>
      </c>
    </row>
    <row r="222" spans="1:9" ht="15" customHeight="1" x14ac:dyDescent="0.25">
      <c r="A222" s="14" t="s">
        <v>2543</v>
      </c>
      <c r="B222" s="11" t="s">
        <v>772</v>
      </c>
      <c r="C222" s="11" t="s">
        <v>2302</v>
      </c>
      <c r="D222" s="11" t="s">
        <v>922</v>
      </c>
      <c r="E222" s="13">
        <v>192</v>
      </c>
      <c r="F222" s="13">
        <v>80</v>
      </c>
      <c r="G222" s="11" t="s">
        <v>2161</v>
      </c>
      <c r="H222" s="12">
        <v>9355068</v>
      </c>
      <c r="I222" s="11" t="s">
        <v>268</v>
      </c>
    </row>
    <row r="223" spans="1:9" ht="15" customHeight="1" x14ac:dyDescent="0.25">
      <c r="A223" s="14" t="s">
        <v>2544</v>
      </c>
      <c r="B223" s="11" t="s">
        <v>2545</v>
      </c>
      <c r="C223" s="11" t="s">
        <v>2302</v>
      </c>
      <c r="D223" s="11" t="s">
        <v>922</v>
      </c>
      <c r="E223" s="13">
        <v>320</v>
      </c>
      <c r="F223" s="13">
        <v>80</v>
      </c>
      <c r="G223" s="11" t="s">
        <v>2161</v>
      </c>
      <c r="H223" s="12">
        <v>12840540</v>
      </c>
      <c r="I223" s="11" t="s">
        <v>259</v>
      </c>
    </row>
    <row r="224" spans="1:9" ht="15" customHeight="1" x14ac:dyDescent="0.25">
      <c r="A224" s="14" t="s">
        <v>2546</v>
      </c>
      <c r="B224" s="11" t="s">
        <v>2547</v>
      </c>
      <c r="C224" s="11" t="s">
        <v>2172</v>
      </c>
      <c r="D224" s="11" t="s">
        <v>922</v>
      </c>
      <c r="E224" s="13">
        <v>0</v>
      </c>
      <c r="F224" s="13">
        <v>1</v>
      </c>
      <c r="G224" s="11" t="s">
        <v>2169</v>
      </c>
      <c r="H224" s="12">
        <v>0</v>
      </c>
      <c r="I224" s="11" t="s">
        <v>1593</v>
      </c>
    </row>
    <row r="225" spans="1:9" ht="15" customHeight="1" x14ac:dyDescent="0.25">
      <c r="A225" s="14" t="s">
        <v>2548</v>
      </c>
      <c r="B225" s="11" t="s">
        <v>2549</v>
      </c>
      <c r="C225" s="11" t="s">
        <v>2262</v>
      </c>
      <c r="D225" s="11" t="s">
        <v>2200</v>
      </c>
      <c r="E225" s="13">
        <v>950</v>
      </c>
      <c r="F225" s="13">
        <v>500</v>
      </c>
      <c r="G225" s="11" t="s">
        <v>2161</v>
      </c>
      <c r="H225" s="12">
        <v>57000</v>
      </c>
      <c r="I225" s="11" t="s">
        <v>260</v>
      </c>
    </row>
    <row r="226" spans="1:9" ht="15" customHeight="1" x14ac:dyDescent="0.25">
      <c r="A226" s="14" t="s">
        <v>2550</v>
      </c>
      <c r="B226" s="11" t="s">
        <v>2551</v>
      </c>
      <c r="C226" s="11" t="s">
        <v>2262</v>
      </c>
      <c r="D226" s="11" t="s">
        <v>922</v>
      </c>
      <c r="E226" s="13">
        <v>8.5500000000000007</v>
      </c>
      <c r="F226" s="13">
        <v>0.1</v>
      </c>
      <c r="G226" s="11" t="s">
        <v>2161</v>
      </c>
      <c r="H226" s="12">
        <v>213750</v>
      </c>
      <c r="I226" s="11" t="s">
        <v>261</v>
      </c>
    </row>
    <row r="227" spans="1:9" ht="15" customHeight="1" x14ac:dyDescent="0.25">
      <c r="A227" s="14" t="s">
        <v>2552</v>
      </c>
      <c r="B227" s="11" t="s">
        <v>773</v>
      </c>
      <c r="C227" s="11" t="s">
        <v>2187</v>
      </c>
      <c r="D227" s="11" t="s">
        <v>1005</v>
      </c>
      <c r="E227" s="13">
        <v>1400</v>
      </c>
      <c r="F227" s="13">
        <v>500</v>
      </c>
      <c r="G227" s="11" t="s">
        <v>2161</v>
      </c>
      <c r="H227" s="12">
        <v>910000</v>
      </c>
      <c r="I227" s="11" t="s">
        <v>269</v>
      </c>
    </row>
    <row r="228" spans="1:9" ht="15" customHeight="1" x14ac:dyDescent="0.25">
      <c r="A228" s="14" t="s">
        <v>2553</v>
      </c>
      <c r="B228" s="11" t="s">
        <v>2554</v>
      </c>
      <c r="C228" s="11" t="s">
        <v>2254</v>
      </c>
      <c r="D228" s="11" t="s">
        <v>1005</v>
      </c>
      <c r="E228" s="13">
        <v>0</v>
      </c>
      <c r="F228" s="13">
        <v>14</v>
      </c>
      <c r="G228" s="11" t="s">
        <v>2169</v>
      </c>
      <c r="H228" s="12">
        <v>0</v>
      </c>
      <c r="I228" s="11" t="s">
        <v>1750</v>
      </c>
    </row>
    <row r="229" spans="1:9" ht="15" customHeight="1" x14ac:dyDescent="0.25">
      <c r="A229" s="14" t="s">
        <v>2555</v>
      </c>
      <c r="B229" s="11" t="s">
        <v>2556</v>
      </c>
      <c r="C229" s="11" t="s">
        <v>2254</v>
      </c>
      <c r="D229" s="11" t="s">
        <v>1005</v>
      </c>
      <c r="E229" s="13">
        <v>100</v>
      </c>
      <c r="F229" s="13">
        <v>0</v>
      </c>
      <c r="G229" s="11" t="s">
        <v>2161</v>
      </c>
      <c r="H229" s="12">
        <v>97500</v>
      </c>
      <c r="I229" s="11" t="s">
        <v>133</v>
      </c>
    </row>
    <row r="230" spans="1:9" ht="15" customHeight="1" x14ac:dyDescent="0.25">
      <c r="A230" s="14" t="s">
        <v>2557</v>
      </c>
      <c r="B230" s="11" t="s">
        <v>2558</v>
      </c>
      <c r="C230" s="11" t="s">
        <v>2460</v>
      </c>
      <c r="D230" s="11" t="s">
        <v>1005</v>
      </c>
      <c r="E230" s="13">
        <v>2000</v>
      </c>
      <c r="F230" s="13">
        <v>2000</v>
      </c>
      <c r="G230" s="11" t="s">
        <v>2166</v>
      </c>
      <c r="H230" s="12">
        <v>124000</v>
      </c>
      <c r="I230" s="11" t="s">
        <v>262</v>
      </c>
    </row>
    <row r="231" spans="1:9" ht="15" customHeight="1" x14ac:dyDescent="0.25">
      <c r="A231" s="14" t="s">
        <v>2559</v>
      </c>
      <c r="B231" s="11" t="s">
        <v>774</v>
      </c>
      <c r="C231" s="11" t="s">
        <v>2254</v>
      </c>
      <c r="D231" s="11" t="s">
        <v>1005</v>
      </c>
      <c r="E231" s="13">
        <v>94000</v>
      </c>
      <c r="F231" s="13">
        <v>2000</v>
      </c>
      <c r="G231" s="11" t="s">
        <v>2161</v>
      </c>
      <c r="H231" s="12">
        <v>18800000</v>
      </c>
      <c r="I231" s="11" t="s">
        <v>270</v>
      </c>
    </row>
    <row r="232" spans="1:9" ht="15" customHeight="1" x14ac:dyDescent="0.25">
      <c r="A232" s="14" t="s">
        <v>2560</v>
      </c>
      <c r="B232" s="11" t="s">
        <v>775</v>
      </c>
      <c r="C232" s="11" t="s">
        <v>2254</v>
      </c>
      <c r="D232" s="11" t="s">
        <v>1005</v>
      </c>
      <c r="E232" s="13">
        <v>0</v>
      </c>
      <c r="F232" s="13">
        <v>2000</v>
      </c>
      <c r="G232" s="11" t="s">
        <v>2169</v>
      </c>
      <c r="H232" s="12">
        <v>0</v>
      </c>
      <c r="I232" s="11" t="s">
        <v>776</v>
      </c>
    </row>
    <row r="233" spans="1:9" ht="15" customHeight="1" x14ac:dyDescent="0.25">
      <c r="A233" s="14" t="s">
        <v>2561</v>
      </c>
      <c r="B233" s="11" t="s">
        <v>2562</v>
      </c>
      <c r="C233" s="11" t="s">
        <v>2460</v>
      </c>
      <c r="D233" s="11" t="s">
        <v>1005</v>
      </c>
      <c r="E233" s="13">
        <v>44000</v>
      </c>
      <c r="F233" s="13">
        <v>2000</v>
      </c>
      <c r="G233" s="11" t="s">
        <v>2161</v>
      </c>
      <c r="H233" s="12">
        <v>5456000</v>
      </c>
      <c r="I233" s="11" t="s">
        <v>263</v>
      </c>
    </row>
    <row r="234" spans="1:9" ht="15" customHeight="1" x14ac:dyDescent="0.25">
      <c r="A234" s="14" t="s">
        <v>2563</v>
      </c>
      <c r="B234" s="11" t="s">
        <v>777</v>
      </c>
      <c r="C234" s="11" t="s">
        <v>2254</v>
      </c>
      <c r="D234" s="11" t="s">
        <v>1005</v>
      </c>
      <c r="E234" s="13">
        <v>333000</v>
      </c>
      <c r="F234" s="13">
        <v>2000</v>
      </c>
      <c r="G234" s="11" t="s">
        <v>2161</v>
      </c>
      <c r="H234" s="12">
        <v>66600000</v>
      </c>
      <c r="I234" s="11" t="s">
        <v>271</v>
      </c>
    </row>
    <row r="235" spans="1:9" ht="15" customHeight="1" x14ac:dyDescent="0.25">
      <c r="A235" s="14" t="s">
        <v>2564</v>
      </c>
      <c r="B235" s="11" t="s">
        <v>778</v>
      </c>
      <c r="C235" s="11" t="s">
        <v>2254</v>
      </c>
      <c r="D235" s="11" t="s">
        <v>1005</v>
      </c>
      <c r="E235" s="13">
        <v>96000</v>
      </c>
      <c r="F235" s="13">
        <v>2000</v>
      </c>
      <c r="G235" s="11" t="s">
        <v>2161</v>
      </c>
      <c r="H235" s="12">
        <v>22560000</v>
      </c>
      <c r="I235" s="11" t="s">
        <v>272</v>
      </c>
    </row>
    <row r="236" spans="1:9" ht="15" customHeight="1" x14ac:dyDescent="0.25">
      <c r="A236" s="14" t="s">
        <v>2565</v>
      </c>
      <c r="B236" s="11" t="s">
        <v>779</v>
      </c>
      <c r="C236" s="11" t="s">
        <v>2254</v>
      </c>
      <c r="D236" s="11" t="s">
        <v>1005</v>
      </c>
      <c r="E236" s="13">
        <v>5500</v>
      </c>
      <c r="F236" s="13">
        <v>100</v>
      </c>
      <c r="G236" s="11" t="s">
        <v>2161</v>
      </c>
      <c r="H236" s="12">
        <v>4620000</v>
      </c>
      <c r="I236" s="11" t="s">
        <v>273</v>
      </c>
    </row>
    <row r="237" spans="1:9" ht="15" customHeight="1" x14ac:dyDescent="0.25">
      <c r="A237" s="14" t="s">
        <v>2566</v>
      </c>
      <c r="B237" s="11" t="s">
        <v>2567</v>
      </c>
      <c r="C237" s="11" t="s">
        <v>2254</v>
      </c>
      <c r="D237" s="11" t="s">
        <v>1005</v>
      </c>
      <c r="E237" s="13">
        <v>20000</v>
      </c>
      <c r="F237" s="13">
        <v>5043</v>
      </c>
      <c r="G237" s="11" t="s">
        <v>2161</v>
      </c>
      <c r="H237" s="12">
        <v>1500000</v>
      </c>
      <c r="I237" s="11" t="s">
        <v>264</v>
      </c>
    </row>
    <row r="238" spans="1:9" ht="15" customHeight="1" x14ac:dyDescent="0.25">
      <c r="A238" s="14" t="s">
        <v>2568</v>
      </c>
      <c r="B238" s="11" t="s">
        <v>2569</v>
      </c>
      <c r="C238" s="11" t="s">
        <v>2254</v>
      </c>
      <c r="D238" s="11" t="s">
        <v>1005</v>
      </c>
      <c r="E238" s="13">
        <v>20000</v>
      </c>
      <c r="F238" s="13">
        <v>3134</v>
      </c>
      <c r="G238" s="11" t="s">
        <v>2161</v>
      </c>
      <c r="H238" s="12">
        <v>2000000</v>
      </c>
      <c r="I238" s="11" t="s">
        <v>265</v>
      </c>
    </row>
    <row r="239" spans="1:9" ht="15" customHeight="1" x14ac:dyDescent="0.25">
      <c r="A239" s="14" t="s">
        <v>2570</v>
      </c>
      <c r="B239" s="11" t="s">
        <v>2571</v>
      </c>
      <c r="C239" s="11" t="s">
        <v>2262</v>
      </c>
      <c r="D239" s="11" t="s">
        <v>2200</v>
      </c>
      <c r="E239" s="13">
        <v>0</v>
      </c>
      <c r="F239" s="13">
        <v>0</v>
      </c>
      <c r="G239" s="11" t="s">
        <v>2169</v>
      </c>
      <c r="H239" s="12">
        <v>0</v>
      </c>
      <c r="I239" s="11" t="s">
        <v>2572</v>
      </c>
    </row>
    <row r="240" spans="1:9" ht="15" customHeight="1" x14ac:dyDescent="0.25">
      <c r="A240" s="14" t="s">
        <v>2573</v>
      </c>
      <c r="B240" s="11" t="s">
        <v>780</v>
      </c>
      <c r="C240" s="11" t="s">
        <v>2160</v>
      </c>
      <c r="D240" s="11" t="s">
        <v>922</v>
      </c>
      <c r="E240" s="13">
        <v>10</v>
      </c>
      <c r="F240" s="13">
        <v>20</v>
      </c>
      <c r="G240" s="11" t="s">
        <v>2166</v>
      </c>
      <c r="H240" s="12">
        <v>497500</v>
      </c>
      <c r="I240" s="11" t="s">
        <v>274</v>
      </c>
    </row>
    <row r="241" spans="1:9" ht="15" customHeight="1" x14ac:dyDescent="0.25">
      <c r="A241" s="14" t="s">
        <v>2574</v>
      </c>
      <c r="B241" s="11" t="s">
        <v>2575</v>
      </c>
      <c r="C241" s="11" t="s">
        <v>2160</v>
      </c>
      <c r="D241" s="11" t="s">
        <v>922</v>
      </c>
      <c r="E241" s="13">
        <v>0</v>
      </c>
      <c r="F241" s="13">
        <v>0</v>
      </c>
      <c r="G241" s="11" t="s">
        <v>2169</v>
      </c>
      <c r="H241" s="12">
        <v>0</v>
      </c>
      <c r="I241" s="11" t="s">
        <v>1701</v>
      </c>
    </row>
    <row r="242" spans="1:9" ht="15" customHeight="1" x14ac:dyDescent="0.25">
      <c r="A242" s="14" t="s">
        <v>2576</v>
      </c>
      <c r="B242" s="11" t="s">
        <v>2577</v>
      </c>
      <c r="C242" s="11" t="s">
        <v>2172</v>
      </c>
      <c r="D242" s="11" t="s">
        <v>1005</v>
      </c>
      <c r="E242" s="13">
        <v>0</v>
      </c>
      <c r="F242" s="13">
        <v>35</v>
      </c>
      <c r="G242" s="11" t="s">
        <v>2169</v>
      </c>
      <c r="H242" s="12">
        <v>0</v>
      </c>
      <c r="I242" s="11" t="s">
        <v>1595</v>
      </c>
    </row>
    <row r="243" spans="1:9" ht="15" customHeight="1" x14ac:dyDescent="0.25">
      <c r="A243" s="14" t="s">
        <v>2578</v>
      </c>
      <c r="B243" s="11" t="s">
        <v>1418</v>
      </c>
      <c r="C243" s="11" t="s">
        <v>2187</v>
      </c>
      <c r="D243" s="11" t="s">
        <v>1005</v>
      </c>
      <c r="E243" s="13">
        <v>82</v>
      </c>
      <c r="F243" s="13">
        <v>0</v>
      </c>
      <c r="G243" s="11" t="s">
        <v>2161</v>
      </c>
      <c r="H243" s="12">
        <v>69700</v>
      </c>
      <c r="I243" s="11" t="s">
        <v>275</v>
      </c>
    </row>
    <row r="244" spans="1:9" ht="15" customHeight="1" x14ac:dyDescent="0.25">
      <c r="A244" s="14" t="s">
        <v>2579</v>
      </c>
      <c r="B244" s="11" t="s">
        <v>2580</v>
      </c>
      <c r="C244" s="11" t="s">
        <v>2300</v>
      </c>
      <c r="D244" s="11" t="s">
        <v>1005</v>
      </c>
      <c r="E244" s="13">
        <v>0</v>
      </c>
      <c r="F244" s="13">
        <v>14770</v>
      </c>
      <c r="G244" s="11" t="s">
        <v>2169</v>
      </c>
      <c r="H244" s="12">
        <v>0</v>
      </c>
      <c r="I244" s="11" t="s">
        <v>782</v>
      </c>
    </row>
    <row r="245" spans="1:9" ht="15" customHeight="1" x14ac:dyDescent="0.25">
      <c r="A245" s="14" t="s">
        <v>2581</v>
      </c>
      <c r="B245" s="11" t="s">
        <v>2582</v>
      </c>
      <c r="C245" s="11" t="s">
        <v>2300</v>
      </c>
      <c r="D245" s="11" t="s">
        <v>1005</v>
      </c>
      <c r="E245" s="13">
        <v>21784</v>
      </c>
      <c r="F245" s="13">
        <v>11599</v>
      </c>
      <c r="G245" s="11" t="s">
        <v>2161</v>
      </c>
      <c r="H245" s="12">
        <v>47053440</v>
      </c>
      <c r="I245" s="11" t="s">
        <v>276</v>
      </c>
    </row>
    <row r="246" spans="1:9" ht="15" customHeight="1" x14ac:dyDescent="0.25">
      <c r="A246" s="14" t="s">
        <v>2583</v>
      </c>
      <c r="B246" s="11" t="s">
        <v>784</v>
      </c>
      <c r="C246" s="11" t="s">
        <v>2300</v>
      </c>
      <c r="D246" s="11" t="s">
        <v>1005</v>
      </c>
      <c r="E246" s="13">
        <v>0</v>
      </c>
      <c r="F246" s="13">
        <v>14290</v>
      </c>
      <c r="G246" s="11" t="s">
        <v>2169</v>
      </c>
      <c r="H246" s="12">
        <v>0</v>
      </c>
      <c r="I246" s="11" t="s">
        <v>785</v>
      </c>
    </row>
    <row r="247" spans="1:9" ht="15" customHeight="1" x14ac:dyDescent="0.25">
      <c r="A247" s="14" t="s">
        <v>2584</v>
      </c>
      <c r="B247" s="11" t="s">
        <v>788</v>
      </c>
      <c r="C247" s="11" t="s">
        <v>2300</v>
      </c>
      <c r="D247" s="11" t="s">
        <v>1005</v>
      </c>
      <c r="E247" s="13">
        <v>19056</v>
      </c>
      <c r="F247" s="13">
        <v>3536</v>
      </c>
      <c r="G247" s="11" t="s">
        <v>2161</v>
      </c>
      <c r="H247" s="12">
        <v>40474944</v>
      </c>
      <c r="I247" s="11" t="s">
        <v>277</v>
      </c>
    </row>
    <row r="248" spans="1:9" ht="15" customHeight="1" x14ac:dyDescent="0.25">
      <c r="A248" s="14" t="s">
        <v>2585</v>
      </c>
      <c r="B248" s="11" t="s">
        <v>789</v>
      </c>
      <c r="C248" s="11" t="s">
        <v>2300</v>
      </c>
      <c r="D248" s="11" t="s">
        <v>1005</v>
      </c>
      <c r="E248" s="13">
        <v>6612</v>
      </c>
      <c r="F248" s="13">
        <v>14</v>
      </c>
      <c r="G248" s="11" t="s">
        <v>2161</v>
      </c>
      <c r="H248" s="12">
        <v>9006000.2280000001</v>
      </c>
      <c r="I248" s="11" t="s">
        <v>154</v>
      </c>
    </row>
    <row r="249" spans="1:9" ht="15" customHeight="1" x14ac:dyDescent="0.25">
      <c r="A249" s="14" t="s">
        <v>2586</v>
      </c>
      <c r="B249" s="11" t="s">
        <v>794</v>
      </c>
      <c r="C249" s="11" t="s">
        <v>2300</v>
      </c>
      <c r="D249" s="11" t="s">
        <v>1005</v>
      </c>
      <c r="E249" s="13">
        <v>3250</v>
      </c>
      <c r="F249" s="13">
        <v>75</v>
      </c>
      <c r="G249" s="11" t="s">
        <v>2161</v>
      </c>
      <c r="H249" s="12">
        <v>880100</v>
      </c>
      <c r="I249" s="11" t="s">
        <v>278</v>
      </c>
    </row>
    <row r="250" spans="1:9" ht="15" customHeight="1" x14ac:dyDescent="0.25">
      <c r="A250" s="14" t="s">
        <v>2587</v>
      </c>
      <c r="B250" s="11" t="s">
        <v>2588</v>
      </c>
      <c r="C250" s="11" t="s">
        <v>2300</v>
      </c>
      <c r="D250" s="11" t="s">
        <v>2274</v>
      </c>
      <c r="E250" s="13">
        <v>19</v>
      </c>
      <c r="F250" s="13">
        <v>0</v>
      </c>
      <c r="G250" s="11" t="s">
        <v>2161</v>
      </c>
      <c r="H250" s="12">
        <v>750500</v>
      </c>
      <c r="I250" s="11" t="s">
        <v>73</v>
      </c>
    </row>
    <row r="251" spans="1:9" ht="15" customHeight="1" x14ac:dyDescent="0.25">
      <c r="A251" s="14" t="s">
        <v>2589</v>
      </c>
      <c r="B251" s="11" t="s">
        <v>795</v>
      </c>
      <c r="C251" s="11" t="s">
        <v>2300</v>
      </c>
      <c r="D251" s="11" t="s">
        <v>1005</v>
      </c>
      <c r="E251" s="13">
        <v>600</v>
      </c>
      <c r="F251" s="13">
        <v>7538</v>
      </c>
      <c r="G251" s="11" t="s">
        <v>2166</v>
      </c>
      <c r="H251" s="12">
        <v>648000</v>
      </c>
      <c r="I251" s="11" t="s">
        <v>279</v>
      </c>
    </row>
    <row r="252" spans="1:9" ht="15" customHeight="1" x14ac:dyDescent="0.25">
      <c r="A252" s="14" t="s">
        <v>2590</v>
      </c>
      <c r="B252" s="11" t="s">
        <v>2591</v>
      </c>
      <c r="C252" s="11" t="s">
        <v>2172</v>
      </c>
      <c r="D252" s="11" t="s">
        <v>922</v>
      </c>
      <c r="E252" s="13">
        <v>55</v>
      </c>
      <c r="F252" s="13">
        <v>100</v>
      </c>
      <c r="G252" s="11" t="s">
        <v>2166</v>
      </c>
      <c r="H252" s="12">
        <v>15812500</v>
      </c>
      <c r="I252" s="11" t="s">
        <v>266</v>
      </c>
    </row>
    <row r="253" spans="1:9" ht="15" customHeight="1" x14ac:dyDescent="0.25">
      <c r="A253" s="14" t="s">
        <v>2592</v>
      </c>
      <c r="B253" s="11" t="s">
        <v>2593</v>
      </c>
      <c r="C253" s="11" t="s">
        <v>2172</v>
      </c>
      <c r="D253" s="11" t="s">
        <v>922</v>
      </c>
      <c r="E253" s="13">
        <v>1</v>
      </c>
      <c r="F253" s="13">
        <v>3</v>
      </c>
      <c r="G253" s="11" t="s">
        <v>2166</v>
      </c>
      <c r="H253" s="12">
        <v>86083.3</v>
      </c>
      <c r="I253" s="11" t="s">
        <v>138</v>
      </c>
    </row>
    <row r="254" spans="1:9" ht="15" customHeight="1" x14ac:dyDescent="0.25">
      <c r="A254" s="14" t="s">
        <v>2594</v>
      </c>
      <c r="B254" s="11" t="s">
        <v>796</v>
      </c>
      <c r="C254" s="11" t="s">
        <v>2254</v>
      </c>
      <c r="D254" s="11" t="s">
        <v>1005</v>
      </c>
      <c r="E254" s="13">
        <v>1500</v>
      </c>
      <c r="F254" s="13">
        <v>0</v>
      </c>
      <c r="G254" s="11" t="s">
        <v>2161</v>
      </c>
      <c r="H254" s="12">
        <v>279000</v>
      </c>
      <c r="I254" s="11" t="s">
        <v>292</v>
      </c>
    </row>
    <row r="255" spans="1:9" ht="15" customHeight="1" x14ac:dyDescent="0.25">
      <c r="A255" s="14" t="s">
        <v>2595</v>
      </c>
      <c r="B255" s="11" t="s">
        <v>797</v>
      </c>
      <c r="C255" s="11" t="s">
        <v>2254</v>
      </c>
      <c r="D255" s="11" t="s">
        <v>1005</v>
      </c>
      <c r="E255" s="13">
        <v>1000</v>
      </c>
      <c r="F255" s="13">
        <v>0</v>
      </c>
      <c r="G255" s="11" t="s">
        <v>2161</v>
      </c>
      <c r="H255" s="12">
        <v>189000</v>
      </c>
      <c r="I255" s="11" t="s">
        <v>293</v>
      </c>
    </row>
    <row r="256" spans="1:9" ht="15" customHeight="1" x14ac:dyDescent="0.25">
      <c r="A256" s="14" t="s">
        <v>2596</v>
      </c>
      <c r="B256" s="11" t="s">
        <v>798</v>
      </c>
      <c r="C256" s="11" t="s">
        <v>2254</v>
      </c>
      <c r="D256" s="11" t="s">
        <v>1005</v>
      </c>
      <c r="E256" s="13">
        <v>1796</v>
      </c>
      <c r="F256" s="13">
        <v>0</v>
      </c>
      <c r="G256" s="11" t="s">
        <v>2161</v>
      </c>
      <c r="H256" s="12">
        <v>334056</v>
      </c>
      <c r="I256" s="11" t="s">
        <v>294</v>
      </c>
    </row>
    <row r="257" spans="1:9" ht="15" customHeight="1" x14ac:dyDescent="0.25">
      <c r="A257" s="14" t="s">
        <v>2597</v>
      </c>
      <c r="B257" s="11" t="s">
        <v>799</v>
      </c>
      <c r="C257" s="11" t="s">
        <v>2254</v>
      </c>
      <c r="D257" s="11" t="s">
        <v>1005</v>
      </c>
      <c r="E257" s="13">
        <v>1000</v>
      </c>
      <c r="F257" s="13">
        <v>0</v>
      </c>
      <c r="G257" s="11" t="s">
        <v>2161</v>
      </c>
      <c r="H257" s="12">
        <v>186000</v>
      </c>
      <c r="I257" s="11" t="s">
        <v>295</v>
      </c>
    </row>
    <row r="258" spans="1:9" ht="15" customHeight="1" x14ac:dyDescent="0.25">
      <c r="A258" s="14" t="s">
        <v>2598</v>
      </c>
      <c r="B258" s="11" t="s">
        <v>800</v>
      </c>
      <c r="C258" s="11" t="s">
        <v>2254</v>
      </c>
      <c r="D258" s="11" t="s">
        <v>1005</v>
      </c>
      <c r="E258" s="13">
        <v>1000</v>
      </c>
      <c r="F258" s="13">
        <v>0</v>
      </c>
      <c r="G258" s="11" t="s">
        <v>2161</v>
      </c>
      <c r="H258" s="12">
        <v>186000</v>
      </c>
      <c r="I258" s="11" t="s">
        <v>296</v>
      </c>
    </row>
    <row r="259" spans="1:9" ht="15" customHeight="1" x14ac:dyDescent="0.25">
      <c r="A259" s="14" t="s">
        <v>2599</v>
      </c>
      <c r="B259" s="11" t="s">
        <v>801</v>
      </c>
      <c r="C259" s="11" t="s">
        <v>2254</v>
      </c>
      <c r="D259" s="11" t="s">
        <v>1005</v>
      </c>
      <c r="E259" s="13">
        <v>1000</v>
      </c>
      <c r="F259" s="13">
        <v>0</v>
      </c>
      <c r="G259" s="11" t="s">
        <v>2161</v>
      </c>
      <c r="H259" s="12">
        <v>186000</v>
      </c>
      <c r="I259" s="11" t="s">
        <v>297</v>
      </c>
    </row>
    <row r="260" spans="1:9" ht="15" customHeight="1" x14ac:dyDescent="0.25">
      <c r="A260" s="14" t="s">
        <v>2600</v>
      </c>
      <c r="B260" s="11" t="s">
        <v>2601</v>
      </c>
      <c r="C260" s="11" t="s">
        <v>2160</v>
      </c>
      <c r="D260" s="11" t="s">
        <v>2200</v>
      </c>
      <c r="E260" s="13">
        <v>0</v>
      </c>
      <c r="F260" s="13">
        <v>14</v>
      </c>
      <c r="G260" s="11" t="s">
        <v>2169</v>
      </c>
      <c r="H260" s="12">
        <v>0</v>
      </c>
      <c r="I260" s="11" t="s">
        <v>121</v>
      </c>
    </row>
    <row r="261" spans="1:9" ht="15" customHeight="1" x14ac:dyDescent="0.25">
      <c r="A261" s="14" t="s">
        <v>2602</v>
      </c>
      <c r="B261" s="11" t="s">
        <v>2603</v>
      </c>
      <c r="C261" s="11" t="s">
        <v>2175</v>
      </c>
      <c r="D261" s="11" t="s">
        <v>1005</v>
      </c>
      <c r="E261" s="13">
        <v>0</v>
      </c>
      <c r="F261" s="13">
        <v>0</v>
      </c>
      <c r="G261" s="11" t="s">
        <v>2169</v>
      </c>
      <c r="H261" s="12">
        <v>0</v>
      </c>
      <c r="I261" s="11" t="s">
        <v>2604</v>
      </c>
    </row>
    <row r="262" spans="1:9" ht="15" customHeight="1" x14ac:dyDescent="0.25">
      <c r="A262" s="14" t="s">
        <v>2605</v>
      </c>
      <c r="B262" s="11" t="s">
        <v>2606</v>
      </c>
      <c r="C262" s="11" t="s">
        <v>2160</v>
      </c>
      <c r="D262" s="11" t="s">
        <v>2200</v>
      </c>
      <c r="E262" s="13">
        <v>0</v>
      </c>
      <c r="F262" s="13">
        <v>0</v>
      </c>
      <c r="G262" s="11" t="s">
        <v>2169</v>
      </c>
      <c r="H262" s="12">
        <v>0</v>
      </c>
      <c r="I262" s="11" t="s">
        <v>1804</v>
      </c>
    </row>
    <row r="263" spans="1:9" ht="15" customHeight="1" x14ac:dyDescent="0.25">
      <c r="A263" s="14" t="s">
        <v>2607</v>
      </c>
      <c r="B263" s="11" t="s">
        <v>2608</v>
      </c>
      <c r="C263" s="11" t="s">
        <v>2172</v>
      </c>
      <c r="D263" s="11" t="s">
        <v>922</v>
      </c>
      <c r="E263" s="13">
        <v>0</v>
      </c>
      <c r="F263" s="13">
        <v>0</v>
      </c>
      <c r="G263" s="11" t="s">
        <v>2169</v>
      </c>
      <c r="H263" s="12">
        <v>0</v>
      </c>
      <c r="I263" s="11" t="s">
        <v>1567</v>
      </c>
    </row>
    <row r="264" spans="1:9" ht="15" customHeight="1" x14ac:dyDescent="0.25">
      <c r="A264" s="14" t="s">
        <v>2609</v>
      </c>
      <c r="B264" s="11" t="s">
        <v>804</v>
      </c>
      <c r="C264" s="11" t="s">
        <v>2172</v>
      </c>
      <c r="D264" s="11" t="s">
        <v>922</v>
      </c>
      <c r="E264" s="13">
        <v>6</v>
      </c>
      <c r="F264" s="13">
        <v>0</v>
      </c>
      <c r="G264" s="11" t="s">
        <v>2161</v>
      </c>
      <c r="H264" s="12">
        <v>377850</v>
      </c>
      <c r="I264" s="11" t="s">
        <v>298</v>
      </c>
    </row>
    <row r="265" spans="1:9" ht="15" customHeight="1" x14ac:dyDescent="0.25">
      <c r="A265" s="14" t="s">
        <v>2610</v>
      </c>
      <c r="B265" s="11" t="s">
        <v>2611</v>
      </c>
      <c r="C265" s="11" t="s">
        <v>2172</v>
      </c>
      <c r="D265" s="11" t="s">
        <v>922</v>
      </c>
      <c r="E265" s="13">
        <v>20</v>
      </c>
      <c r="F265" s="13">
        <v>0</v>
      </c>
      <c r="G265" s="11" t="s">
        <v>2161</v>
      </c>
      <c r="H265" s="12">
        <v>294998</v>
      </c>
      <c r="I265" s="11" t="s">
        <v>280</v>
      </c>
    </row>
    <row r="266" spans="1:9" ht="15" customHeight="1" x14ac:dyDescent="0.25">
      <c r="A266" s="14" t="s">
        <v>2612</v>
      </c>
      <c r="B266" s="11" t="s">
        <v>2613</v>
      </c>
      <c r="C266" s="11" t="s">
        <v>2187</v>
      </c>
      <c r="D266" s="11" t="s">
        <v>1005</v>
      </c>
      <c r="E266" s="13">
        <v>1530</v>
      </c>
      <c r="F266" s="13">
        <v>0</v>
      </c>
      <c r="G266" s="11" t="s">
        <v>2161</v>
      </c>
      <c r="H266" s="12">
        <v>4590000</v>
      </c>
      <c r="I266" s="11" t="s">
        <v>299</v>
      </c>
    </row>
    <row r="267" spans="1:9" ht="15" customHeight="1" x14ac:dyDescent="0.25">
      <c r="A267" s="14" t="s">
        <v>2614</v>
      </c>
      <c r="B267" s="11" t="s">
        <v>2615</v>
      </c>
      <c r="C267" s="11" t="s">
        <v>2187</v>
      </c>
      <c r="D267" s="11" t="s">
        <v>1005</v>
      </c>
      <c r="E267" s="13">
        <v>21</v>
      </c>
      <c r="F267" s="13">
        <v>0</v>
      </c>
      <c r="G267" s="11" t="s">
        <v>2161</v>
      </c>
      <c r="H267" s="12">
        <v>40257</v>
      </c>
      <c r="I267" s="11" t="s">
        <v>300</v>
      </c>
    </row>
    <row r="268" spans="1:9" ht="15" customHeight="1" x14ac:dyDescent="0.25">
      <c r="A268" s="14" t="s">
        <v>2616</v>
      </c>
      <c r="B268" s="11" t="s">
        <v>2617</v>
      </c>
      <c r="C268" s="11" t="s">
        <v>2187</v>
      </c>
      <c r="D268" s="11" t="s">
        <v>1005</v>
      </c>
      <c r="E268" s="13">
        <v>840</v>
      </c>
      <c r="F268" s="13">
        <v>0</v>
      </c>
      <c r="G268" s="11" t="s">
        <v>2161</v>
      </c>
      <c r="H268" s="12">
        <v>2520000</v>
      </c>
      <c r="I268" s="11" t="s">
        <v>301</v>
      </c>
    </row>
    <row r="269" spans="1:9" ht="15" customHeight="1" x14ac:dyDescent="0.25">
      <c r="A269" s="14" t="s">
        <v>2618</v>
      </c>
      <c r="B269" s="11" t="s">
        <v>2619</v>
      </c>
      <c r="C269" s="11" t="s">
        <v>2187</v>
      </c>
      <c r="D269" s="11" t="s">
        <v>1005</v>
      </c>
      <c r="E269" s="13">
        <v>13</v>
      </c>
      <c r="F269" s="13">
        <v>0</v>
      </c>
      <c r="G269" s="11" t="s">
        <v>2161</v>
      </c>
      <c r="H269" s="12">
        <v>24921</v>
      </c>
      <c r="I269" s="11" t="s">
        <v>302</v>
      </c>
    </row>
    <row r="270" spans="1:9" ht="15" customHeight="1" x14ac:dyDescent="0.25">
      <c r="A270" s="14" t="s">
        <v>2620</v>
      </c>
      <c r="B270" s="11" t="s">
        <v>2621</v>
      </c>
      <c r="C270" s="11" t="s">
        <v>2187</v>
      </c>
      <c r="D270" s="11" t="s">
        <v>1005</v>
      </c>
      <c r="E270" s="13">
        <v>850</v>
      </c>
      <c r="F270" s="13">
        <v>0</v>
      </c>
      <c r="G270" s="11" t="s">
        <v>2161</v>
      </c>
      <c r="H270" s="12">
        <v>2550000</v>
      </c>
      <c r="I270" s="11" t="s">
        <v>303</v>
      </c>
    </row>
    <row r="271" spans="1:9" ht="15" customHeight="1" x14ac:dyDescent="0.25">
      <c r="A271" s="14" t="s">
        <v>2622</v>
      </c>
      <c r="B271" s="11" t="s">
        <v>2623</v>
      </c>
      <c r="C271" s="11" t="s">
        <v>2187</v>
      </c>
      <c r="D271" s="11" t="s">
        <v>1005</v>
      </c>
      <c r="E271" s="13">
        <v>14</v>
      </c>
      <c r="F271" s="13">
        <v>0</v>
      </c>
      <c r="G271" s="11" t="s">
        <v>2161</v>
      </c>
      <c r="H271" s="12">
        <v>26838</v>
      </c>
      <c r="I271" s="11" t="s">
        <v>304</v>
      </c>
    </row>
    <row r="272" spans="1:9" ht="15" customHeight="1" x14ac:dyDescent="0.25">
      <c r="A272" s="14" t="s">
        <v>2624</v>
      </c>
      <c r="B272" s="11" t="s">
        <v>2625</v>
      </c>
      <c r="C272" s="11" t="s">
        <v>2187</v>
      </c>
      <c r="D272" s="11" t="s">
        <v>1005</v>
      </c>
      <c r="E272" s="13">
        <v>1195</v>
      </c>
      <c r="F272" s="13">
        <v>0</v>
      </c>
      <c r="G272" s="11" t="s">
        <v>2161</v>
      </c>
      <c r="H272" s="12">
        <v>3585000</v>
      </c>
      <c r="I272" s="11" t="s">
        <v>305</v>
      </c>
    </row>
    <row r="273" spans="1:9" ht="15" customHeight="1" x14ac:dyDescent="0.25">
      <c r="A273" s="14" t="s">
        <v>2626</v>
      </c>
      <c r="B273" s="11" t="s">
        <v>2627</v>
      </c>
      <c r="C273" s="11" t="s">
        <v>2187</v>
      </c>
      <c r="D273" s="11" t="s">
        <v>1005</v>
      </c>
      <c r="E273" s="13">
        <v>14</v>
      </c>
      <c r="F273" s="13">
        <v>0</v>
      </c>
      <c r="G273" s="11" t="s">
        <v>2161</v>
      </c>
      <c r="H273" s="12">
        <v>26838</v>
      </c>
      <c r="I273" s="11" t="s">
        <v>306</v>
      </c>
    </row>
    <row r="274" spans="1:9" ht="15" customHeight="1" x14ac:dyDescent="0.25">
      <c r="A274" s="14" t="s">
        <v>2628</v>
      </c>
      <c r="B274" s="11" t="s">
        <v>2629</v>
      </c>
      <c r="C274" s="11" t="s">
        <v>2187</v>
      </c>
      <c r="D274" s="11" t="s">
        <v>1005</v>
      </c>
      <c r="E274" s="13">
        <v>1369</v>
      </c>
      <c r="F274" s="13">
        <v>0</v>
      </c>
      <c r="G274" s="11" t="s">
        <v>2161</v>
      </c>
      <c r="H274" s="12">
        <v>4107000</v>
      </c>
      <c r="I274" s="11" t="s">
        <v>307</v>
      </c>
    </row>
    <row r="275" spans="1:9" ht="15" customHeight="1" x14ac:dyDescent="0.25">
      <c r="A275" s="14" t="s">
        <v>2630</v>
      </c>
      <c r="B275" s="11" t="s">
        <v>2631</v>
      </c>
      <c r="C275" s="11" t="s">
        <v>2187</v>
      </c>
      <c r="D275" s="11" t="s">
        <v>1005</v>
      </c>
      <c r="E275" s="13">
        <v>23</v>
      </c>
      <c r="F275" s="13">
        <v>0</v>
      </c>
      <c r="G275" s="11" t="s">
        <v>2161</v>
      </c>
      <c r="H275" s="12">
        <v>44091</v>
      </c>
      <c r="I275" s="11" t="s">
        <v>308</v>
      </c>
    </row>
    <row r="276" spans="1:9" ht="15" customHeight="1" x14ac:dyDescent="0.25">
      <c r="A276" s="14" t="s">
        <v>2632</v>
      </c>
      <c r="B276" s="11" t="s">
        <v>2633</v>
      </c>
      <c r="C276" s="11" t="s">
        <v>2187</v>
      </c>
      <c r="D276" s="11" t="s">
        <v>1005</v>
      </c>
      <c r="E276" s="13">
        <v>1483</v>
      </c>
      <c r="F276" s="13">
        <v>0</v>
      </c>
      <c r="G276" s="11" t="s">
        <v>2161</v>
      </c>
      <c r="H276" s="12">
        <v>4449000</v>
      </c>
      <c r="I276" s="11" t="s">
        <v>309</v>
      </c>
    </row>
    <row r="277" spans="1:9" ht="15" customHeight="1" x14ac:dyDescent="0.25">
      <c r="A277" s="14" t="s">
        <v>2634</v>
      </c>
      <c r="B277" s="11" t="s">
        <v>2635</v>
      </c>
      <c r="C277" s="11" t="s">
        <v>2187</v>
      </c>
      <c r="D277" s="11" t="s">
        <v>1005</v>
      </c>
      <c r="E277" s="13">
        <v>12</v>
      </c>
      <c r="F277" s="13">
        <v>0</v>
      </c>
      <c r="G277" s="11" t="s">
        <v>2161</v>
      </c>
      <c r="H277" s="12">
        <v>23004</v>
      </c>
      <c r="I277" s="11" t="s">
        <v>310</v>
      </c>
    </row>
    <row r="278" spans="1:9" ht="15" customHeight="1" x14ac:dyDescent="0.25">
      <c r="A278" s="14" t="s">
        <v>2636</v>
      </c>
      <c r="B278" s="11" t="s">
        <v>2637</v>
      </c>
      <c r="C278" s="11" t="s">
        <v>2187</v>
      </c>
      <c r="D278" s="11" t="s">
        <v>1005</v>
      </c>
      <c r="E278" s="13">
        <v>1600</v>
      </c>
      <c r="F278" s="13">
        <v>0</v>
      </c>
      <c r="G278" s="11" t="s">
        <v>2161</v>
      </c>
      <c r="H278" s="12">
        <v>4800000</v>
      </c>
      <c r="I278" s="11" t="s">
        <v>311</v>
      </c>
    </row>
    <row r="279" spans="1:9" ht="15" customHeight="1" x14ac:dyDescent="0.25">
      <c r="A279" s="14" t="s">
        <v>2638</v>
      </c>
      <c r="B279" s="11" t="s">
        <v>2639</v>
      </c>
      <c r="C279" s="11" t="s">
        <v>2187</v>
      </c>
      <c r="D279" s="11" t="s">
        <v>1005</v>
      </c>
      <c r="E279" s="13">
        <v>14</v>
      </c>
      <c r="F279" s="13">
        <v>0</v>
      </c>
      <c r="G279" s="11" t="s">
        <v>2161</v>
      </c>
      <c r="H279" s="12">
        <v>26838</v>
      </c>
      <c r="I279" s="11" t="s">
        <v>312</v>
      </c>
    </row>
    <row r="280" spans="1:9" ht="15" customHeight="1" x14ac:dyDescent="0.25">
      <c r="A280" s="14" t="s">
        <v>2640</v>
      </c>
      <c r="B280" s="11" t="s">
        <v>2641</v>
      </c>
      <c r="C280" s="11" t="s">
        <v>2187</v>
      </c>
      <c r="D280" s="11" t="s">
        <v>1005</v>
      </c>
      <c r="E280" s="13">
        <v>1606</v>
      </c>
      <c r="F280" s="13">
        <v>0</v>
      </c>
      <c r="G280" s="11" t="s">
        <v>2161</v>
      </c>
      <c r="H280" s="12">
        <v>4818000</v>
      </c>
      <c r="I280" s="11" t="s">
        <v>313</v>
      </c>
    </row>
    <row r="281" spans="1:9" ht="15" customHeight="1" x14ac:dyDescent="0.25">
      <c r="A281" s="14" t="s">
        <v>2642</v>
      </c>
      <c r="B281" s="11" t="s">
        <v>2643</v>
      </c>
      <c r="C281" s="11" t="s">
        <v>2187</v>
      </c>
      <c r="D281" s="11" t="s">
        <v>1005</v>
      </c>
      <c r="E281" s="13">
        <v>14</v>
      </c>
      <c r="F281" s="13">
        <v>0</v>
      </c>
      <c r="G281" s="11" t="s">
        <v>2161</v>
      </c>
      <c r="H281" s="12">
        <v>26838</v>
      </c>
      <c r="I281" s="11" t="s">
        <v>314</v>
      </c>
    </row>
    <row r="282" spans="1:9" ht="15" customHeight="1" x14ac:dyDescent="0.25">
      <c r="A282" s="14" t="s">
        <v>2644</v>
      </c>
      <c r="B282" s="11" t="s">
        <v>2645</v>
      </c>
      <c r="C282" s="11" t="s">
        <v>2187</v>
      </c>
      <c r="D282" s="11" t="s">
        <v>1005</v>
      </c>
      <c r="E282" s="13">
        <v>1612</v>
      </c>
      <c r="F282" s="13">
        <v>0</v>
      </c>
      <c r="G282" s="11" t="s">
        <v>2161</v>
      </c>
      <c r="H282" s="12">
        <v>4836000</v>
      </c>
      <c r="I282" s="11" t="s">
        <v>315</v>
      </c>
    </row>
    <row r="283" spans="1:9" ht="15" customHeight="1" x14ac:dyDescent="0.25">
      <c r="A283" s="14" t="s">
        <v>2646</v>
      </c>
      <c r="B283" s="11" t="s">
        <v>2647</v>
      </c>
      <c r="C283" s="11" t="s">
        <v>2187</v>
      </c>
      <c r="D283" s="11" t="s">
        <v>1005</v>
      </c>
      <c r="E283" s="13">
        <v>16</v>
      </c>
      <c r="F283" s="13">
        <v>0</v>
      </c>
      <c r="G283" s="11" t="s">
        <v>2161</v>
      </c>
      <c r="H283" s="12">
        <v>30672</v>
      </c>
      <c r="I283" s="11" t="s">
        <v>316</v>
      </c>
    </row>
    <row r="284" spans="1:9" ht="15" customHeight="1" x14ac:dyDescent="0.25">
      <c r="A284" s="14" t="s">
        <v>2648</v>
      </c>
      <c r="B284" s="11" t="s">
        <v>2649</v>
      </c>
      <c r="C284" s="11" t="s">
        <v>2187</v>
      </c>
      <c r="D284" s="11" t="s">
        <v>1005</v>
      </c>
      <c r="E284" s="13">
        <v>1730</v>
      </c>
      <c r="F284" s="13">
        <v>0</v>
      </c>
      <c r="G284" s="11" t="s">
        <v>2161</v>
      </c>
      <c r="H284" s="12">
        <v>5190000</v>
      </c>
      <c r="I284" s="11" t="s">
        <v>317</v>
      </c>
    </row>
    <row r="285" spans="1:9" ht="15" customHeight="1" x14ac:dyDescent="0.25">
      <c r="A285" s="14" t="s">
        <v>2650</v>
      </c>
      <c r="B285" s="11" t="s">
        <v>2651</v>
      </c>
      <c r="C285" s="11" t="s">
        <v>2187</v>
      </c>
      <c r="D285" s="11" t="s">
        <v>1005</v>
      </c>
      <c r="E285" s="13">
        <v>14</v>
      </c>
      <c r="F285" s="13">
        <v>0</v>
      </c>
      <c r="G285" s="11" t="s">
        <v>2161</v>
      </c>
      <c r="H285" s="12">
        <v>26838</v>
      </c>
      <c r="I285" s="11" t="s">
        <v>318</v>
      </c>
    </row>
    <row r="286" spans="1:9" ht="15" customHeight="1" x14ac:dyDescent="0.25">
      <c r="A286" s="14" t="s">
        <v>2652</v>
      </c>
      <c r="B286" s="11" t="s">
        <v>2653</v>
      </c>
      <c r="C286" s="11" t="s">
        <v>2187</v>
      </c>
      <c r="D286" s="11" t="s">
        <v>1005</v>
      </c>
      <c r="E286" s="13">
        <v>576</v>
      </c>
      <c r="F286" s="13">
        <v>0</v>
      </c>
      <c r="G286" s="11" t="s">
        <v>2161</v>
      </c>
      <c r="H286" s="12">
        <v>432000</v>
      </c>
      <c r="I286" s="11" t="s">
        <v>281</v>
      </c>
    </row>
    <row r="287" spans="1:9" ht="15" customHeight="1" x14ac:dyDescent="0.25">
      <c r="A287" s="14" t="s">
        <v>2654</v>
      </c>
      <c r="B287" s="11" t="s">
        <v>2655</v>
      </c>
      <c r="C287" s="11" t="s">
        <v>2187</v>
      </c>
      <c r="D287" s="11" t="s">
        <v>1005</v>
      </c>
      <c r="E287" s="13">
        <v>48</v>
      </c>
      <c r="F287" s="13">
        <v>0</v>
      </c>
      <c r="G287" s="11" t="s">
        <v>2161</v>
      </c>
      <c r="H287" s="12">
        <v>36000</v>
      </c>
      <c r="I287" s="11" t="s">
        <v>282</v>
      </c>
    </row>
    <row r="288" spans="1:9" ht="15" customHeight="1" x14ac:dyDescent="0.25">
      <c r="A288" s="14" t="s">
        <v>2656</v>
      </c>
      <c r="B288" s="11" t="s">
        <v>2657</v>
      </c>
      <c r="C288" s="11" t="s">
        <v>2187</v>
      </c>
      <c r="D288" s="11" t="s">
        <v>1005</v>
      </c>
      <c r="E288" s="13">
        <v>144</v>
      </c>
      <c r="F288" s="13">
        <v>0</v>
      </c>
      <c r="G288" s="11" t="s">
        <v>2161</v>
      </c>
      <c r="H288" s="12">
        <v>108000</v>
      </c>
      <c r="I288" s="11" t="s">
        <v>283</v>
      </c>
    </row>
    <row r="289" spans="1:9" ht="15" customHeight="1" x14ac:dyDescent="0.25">
      <c r="A289" s="14" t="s">
        <v>2658</v>
      </c>
      <c r="B289" s="11" t="s">
        <v>2659</v>
      </c>
      <c r="C289" s="11" t="s">
        <v>2187</v>
      </c>
      <c r="D289" s="11" t="s">
        <v>1005</v>
      </c>
      <c r="E289" s="13">
        <v>480</v>
      </c>
      <c r="F289" s="13">
        <v>0</v>
      </c>
      <c r="G289" s="11" t="s">
        <v>2161</v>
      </c>
      <c r="H289" s="12">
        <v>360000</v>
      </c>
      <c r="I289" s="11" t="s">
        <v>284</v>
      </c>
    </row>
    <row r="290" spans="1:9" ht="15" customHeight="1" x14ac:dyDescent="0.25">
      <c r="A290" s="14" t="s">
        <v>2660</v>
      </c>
      <c r="B290" s="11" t="s">
        <v>2661</v>
      </c>
      <c r="C290" s="11" t="s">
        <v>2187</v>
      </c>
      <c r="D290" s="11" t="s">
        <v>1005</v>
      </c>
      <c r="E290" s="13">
        <v>624</v>
      </c>
      <c r="F290" s="13">
        <v>0</v>
      </c>
      <c r="G290" s="11" t="s">
        <v>2161</v>
      </c>
      <c r="H290" s="12">
        <v>468000</v>
      </c>
      <c r="I290" s="11" t="s">
        <v>285</v>
      </c>
    </row>
    <row r="291" spans="1:9" ht="15" customHeight="1" x14ac:dyDescent="0.25">
      <c r="A291" s="14" t="s">
        <v>2662</v>
      </c>
      <c r="B291" s="11" t="s">
        <v>2663</v>
      </c>
      <c r="C291" s="11" t="s">
        <v>2187</v>
      </c>
      <c r="D291" s="11" t="s">
        <v>1005</v>
      </c>
      <c r="E291" s="13">
        <v>504</v>
      </c>
      <c r="F291" s="13">
        <v>0</v>
      </c>
      <c r="G291" s="11" t="s">
        <v>2161</v>
      </c>
      <c r="H291" s="12">
        <v>378000</v>
      </c>
      <c r="I291" s="11" t="s">
        <v>286</v>
      </c>
    </row>
    <row r="292" spans="1:9" ht="15" customHeight="1" x14ac:dyDescent="0.25">
      <c r="A292" s="14" t="s">
        <v>2664</v>
      </c>
      <c r="B292" s="11" t="s">
        <v>2665</v>
      </c>
      <c r="C292" s="11" t="s">
        <v>2187</v>
      </c>
      <c r="D292" s="11" t="s">
        <v>1005</v>
      </c>
      <c r="E292" s="13">
        <v>2064</v>
      </c>
      <c r="F292" s="13">
        <v>0</v>
      </c>
      <c r="G292" s="11" t="s">
        <v>2161</v>
      </c>
      <c r="H292" s="12">
        <v>1548000</v>
      </c>
      <c r="I292" s="11" t="s">
        <v>287</v>
      </c>
    </row>
    <row r="293" spans="1:9" ht="15" customHeight="1" x14ac:dyDescent="0.25">
      <c r="A293" s="14" t="s">
        <v>2666</v>
      </c>
      <c r="B293" s="11" t="s">
        <v>2667</v>
      </c>
      <c r="C293" s="11" t="s">
        <v>2187</v>
      </c>
      <c r="D293" s="11" t="s">
        <v>1005</v>
      </c>
      <c r="E293" s="13">
        <v>2112</v>
      </c>
      <c r="F293" s="13">
        <v>0</v>
      </c>
      <c r="G293" s="11" t="s">
        <v>2161</v>
      </c>
      <c r="H293" s="12">
        <v>1584000</v>
      </c>
      <c r="I293" s="11" t="s">
        <v>288</v>
      </c>
    </row>
    <row r="294" spans="1:9" ht="15" customHeight="1" x14ac:dyDescent="0.25">
      <c r="A294" s="14" t="s">
        <v>2668</v>
      </c>
      <c r="B294" s="11" t="s">
        <v>2669</v>
      </c>
      <c r="C294" s="11" t="s">
        <v>2187</v>
      </c>
      <c r="D294" s="11" t="s">
        <v>1005</v>
      </c>
      <c r="E294" s="13">
        <v>1452</v>
      </c>
      <c r="F294" s="13">
        <v>0</v>
      </c>
      <c r="G294" s="11" t="s">
        <v>2161</v>
      </c>
      <c r="H294" s="12">
        <v>1089000</v>
      </c>
      <c r="I294" s="11" t="s">
        <v>289</v>
      </c>
    </row>
    <row r="295" spans="1:9" ht="15" customHeight="1" x14ac:dyDescent="0.25">
      <c r="A295" s="14" t="s">
        <v>2670</v>
      </c>
      <c r="B295" s="11" t="s">
        <v>2671</v>
      </c>
      <c r="C295" s="11" t="s">
        <v>2187</v>
      </c>
      <c r="D295" s="11" t="s">
        <v>1005</v>
      </c>
      <c r="E295" s="13">
        <v>492</v>
      </c>
      <c r="F295" s="13">
        <v>0</v>
      </c>
      <c r="G295" s="11" t="s">
        <v>2161</v>
      </c>
      <c r="H295" s="12">
        <v>369000</v>
      </c>
      <c r="I295" s="11" t="s">
        <v>290</v>
      </c>
    </row>
    <row r="296" spans="1:9" ht="15" customHeight="1" x14ac:dyDescent="0.25">
      <c r="A296" s="14" t="s">
        <v>2672</v>
      </c>
      <c r="B296" s="11" t="s">
        <v>2673</v>
      </c>
      <c r="C296" s="11" t="s">
        <v>2187</v>
      </c>
      <c r="D296" s="11" t="s">
        <v>1005</v>
      </c>
      <c r="E296" s="13">
        <v>618</v>
      </c>
      <c r="F296" s="13">
        <v>0</v>
      </c>
      <c r="G296" s="11" t="s">
        <v>2161</v>
      </c>
      <c r="H296" s="12">
        <v>514999.97940000001</v>
      </c>
      <c r="I296" s="11" t="s">
        <v>160</v>
      </c>
    </row>
    <row r="297" spans="1:9" ht="15" customHeight="1" x14ac:dyDescent="0.25">
      <c r="A297" s="14" t="s">
        <v>2674</v>
      </c>
      <c r="B297" s="11" t="s">
        <v>2675</v>
      </c>
      <c r="C297" s="11" t="s">
        <v>2187</v>
      </c>
      <c r="D297" s="11" t="s">
        <v>1005</v>
      </c>
      <c r="E297" s="13">
        <v>1176</v>
      </c>
      <c r="F297" s="13">
        <v>0</v>
      </c>
      <c r="G297" s="11" t="s">
        <v>2161</v>
      </c>
      <c r="H297" s="12">
        <v>979999.9608</v>
      </c>
      <c r="I297" s="11" t="s">
        <v>158</v>
      </c>
    </row>
    <row r="298" spans="1:9" ht="15" customHeight="1" x14ac:dyDescent="0.25">
      <c r="A298" s="14" t="s">
        <v>2676</v>
      </c>
      <c r="B298" s="11" t="s">
        <v>2677</v>
      </c>
      <c r="C298" s="11" t="s">
        <v>2187</v>
      </c>
      <c r="D298" s="11" t="s">
        <v>1005</v>
      </c>
      <c r="E298" s="13">
        <v>300</v>
      </c>
      <c r="F298" s="13">
        <v>0</v>
      </c>
      <c r="G298" s="11" t="s">
        <v>2161</v>
      </c>
      <c r="H298" s="12">
        <v>1500000</v>
      </c>
      <c r="I298" s="11" t="s">
        <v>60</v>
      </c>
    </row>
    <row r="299" spans="1:9" ht="15" customHeight="1" x14ac:dyDescent="0.25">
      <c r="A299" s="14" t="s">
        <v>2678</v>
      </c>
      <c r="B299" s="11" t="s">
        <v>2679</v>
      </c>
      <c r="C299" s="11" t="s">
        <v>2187</v>
      </c>
      <c r="D299" s="11" t="s">
        <v>1005</v>
      </c>
      <c r="E299" s="13">
        <v>354</v>
      </c>
      <c r="F299" s="13">
        <v>0</v>
      </c>
      <c r="G299" s="11" t="s">
        <v>2161</v>
      </c>
      <c r="H299" s="12">
        <v>294999.98820000002</v>
      </c>
      <c r="I299" s="11" t="s">
        <v>165</v>
      </c>
    </row>
    <row r="300" spans="1:9" ht="15" customHeight="1" x14ac:dyDescent="0.25">
      <c r="A300" s="14" t="s">
        <v>2680</v>
      </c>
      <c r="B300" s="11" t="s">
        <v>2681</v>
      </c>
      <c r="C300" s="11" t="s">
        <v>2187</v>
      </c>
      <c r="D300" s="11" t="s">
        <v>1005</v>
      </c>
      <c r="E300" s="13">
        <v>288</v>
      </c>
      <c r="F300" s="13">
        <v>0</v>
      </c>
      <c r="G300" s="11" t="s">
        <v>2161</v>
      </c>
      <c r="H300" s="12">
        <v>239999.99040000001</v>
      </c>
      <c r="I300" s="11" t="s">
        <v>113</v>
      </c>
    </row>
    <row r="301" spans="1:9" ht="15" customHeight="1" x14ac:dyDescent="0.25">
      <c r="A301" s="14" t="s">
        <v>2682</v>
      </c>
      <c r="B301" s="11" t="s">
        <v>2683</v>
      </c>
      <c r="C301" s="11" t="s">
        <v>2187</v>
      </c>
      <c r="D301" s="11" t="s">
        <v>1005</v>
      </c>
      <c r="E301" s="13">
        <v>0</v>
      </c>
      <c r="F301" s="13">
        <v>0</v>
      </c>
      <c r="G301" s="11" t="s">
        <v>2169</v>
      </c>
      <c r="H301" s="12">
        <v>0</v>
      </c>
      <c r="I301" s="11" t="s">
        <v>1434</v>
      </c>
    </row>
    <row r="302" spans="1:9" ht="15" customHeight="1" x14ac:dyDescent="0.25">
      <c r="A302" s="14" t="s">
        <v>2684</v>
      </c>
      <c r="B302" s="11" t="s">
        <v>2685</v>
      </c>
      <c r="C302" s="11" t="s">
        <v>2187</v>
      </c>
      <c r="D302" s="11" t="s">
        <v>1005</v>
      </c>
      <c r="E302" s="13">
        <v>420</v>
      </c>
      <c r="F302" s="13">
        <v>0</v>
      </c>
      <c r="G302" s="11" t="s">
        <v>2161</v>
      </c>
      <c r="H302" s="12">
        <v>349999.98599999998</v>
      </c>
      <c r="I302" s="11" t="s">
        <v>164</v>
      </c>
    </row>
    <row r="303" spans="1:9" ht="15" customHeight="1" x14ac:dyDescent="0.25">
      <c r="A303" s="14" t="s">
        <v>2686</v>
      </c>
      <c r="B303" s="11" t="s">
        <v>2687</v>
      </c>
      <c r="C303" s="11" t="s">
        <v>2187</v>
      </c>
      <c r="D303" s="11" t="s">
        <v>1005</v>
      </c>
      <c r="E303" s="13">
        <v>600</v>
      </c>
      <c r="F303" s="13">
        <v>0</v>
      </c>
      <c r="G303" s="11" t="s">
        <v>2161</v>
      </c>
      <c r="H303" s="12">
        <v>499999.98</v>
      </c>
      <c r="I303" s="11" t="s">
        <v>161</v>
      </c>
    </row>
    <row r="304" spans="1:9" ht="15" customHeight="1" x14ac:dyDescent="0.25">
      <c r="A304" s="14" t="s">
        <v>2688</v>
      </c>
      <c r="B304" s="11" t="s">
        <v>2689</v>
      </c>
      <c r="C304" s="11" t="s">
        <v>2187</v>
      </c>
      <c r="D304" s="11" t="s">
        <v>1005</v>
      </c>
      <c r="E304" s="13">
        <v>1326</v>
      </c>
      <c r="F304" s="13">
        <v>0</v>
      </c>
      <c r="G304" s="11" t="s">
        <v>2161</v>
      </c>
      <c r="H304" s="12">
        <v>1104999.9558000001</v>
      </c>
      <c r="I304" s="11" t="s">
        <v>157</v>
      </c>
    </row>
    <row r="305" spans="1:9" ht="15" customHeight="1" x14ac:dyDescent="0.25">
      <c r="A305" s="14" t="s">
        <v>2690</v>
      </c>
      <c r="B305" s="11" t="s">
        <v>2691</v>
      </c>
      <c r="C305" s="11" t="s">
        <v>2187</v>
      </c>
      <c r="D305" s="11" t="s">
        <v>1005</v>
      </c>
      <c r="E305" s="13">
        <v>870</v>
      </c>
      <c r="F305" s="13">
        <v>0</v>
      </c>
      <c r="G305" s="11" t="s">
        <v>2161</v>
      </c>
      <c r="H305" s="12">
        <v>1392000</v>
      </c>
      <c r="I305" s="11" t="s">
        <v>319</v>
      </c>
    </row>
    <row r="306" spans="1:9" ht="15" customHeight="1" x14ac:dyDescent="0.25">
      <c r="A306" s="14" t="s">
        <v>2692</v>
      </c>
      <c r="B306" s="11" t="s">
        <v>2693</v>
      </c>
      <c r="C306" s="11" t="s">
        <v>2187</v>
      </c>
      <c r="D306" s="11" t="s">
        <v>1005</v>
      </c>
      <c r="E306" s="13">
        <v>240</v>
      </c>
      <c r="F306" s="13">
        <v>0</v>
      </c>
      <c r="G306" s="11" t="s">
        <v>2161</v>
      </c>
      <c r="H306" s="12">
        <v>660000</v>
      </c>
      <c r="I306" s="11" t="s">
        <v>320</v>
      </c>
    </row>
    <row r="307" spans="1:9" ht="15" customHeight="1" x14ac:dyDescent="0.25">
      <c r="A307" s="14" t="s">
        <v>2694</v>
      </c>
      <c r="B307" s="11" t="s">
        <v>2695</v>
      </c>
      <c r="C307" s="11" t="s">
        <v>2187</v>
      </c>
      <c r="D307" s="11" t="s">
        <v>1005</v>
      </c>
      <c r="E307" s="13">
        <v>0</v>
      </c>
      <c r="F307" s="13">
        <v>0</v>
      </c>
      <c r="G307" s="11" t="s">
        <v>2169</v>
      </c>
      <c r="H307" s="12">
        <v>0</v>
      </c>
      <c r="I307" s="11" t="s">
        <v>1405</v>
      </c>
    </row>
    <row r="308" spans="1:9" ht="15" customHeight="1" x14ac:dyDescent="0.25">
      <c r="A308" s="14" t="s">
        <v>2696</v>
      </c>
      <c r="B308" s="11" t="s">
        <v>2697</v>
      </c>
      <c r="C308" s="11" t="s">
        <v>2187</v>
      </c>
      <c r="D308" s="11" t="s">
        <v>1005</v>
      </c>
      <c r="E308" s="13">
        <v>0</v>
      </c>
      <c r="F308" s="13">
        <v>0</v>
      </c>
      <c r="G308" s="11" t="s">
        <v>2169</v>
      </c>
      <c r="H308" s="12">
        <v>0</v>
      </c>
      <c r="I308" s="11" t="s">
        <v>1407</v>
      </c>
    </row>
    <row r="309" spans="1:9" ht="15" customHeight="1" x14ac:dyDescent="0.25">
      <c r="A309" s="14" t="s">
        <v>2698</v>
      </c>
      <c r="B309" s="11" t="s">
        <v>2699</v>
      </c>
      <c r="C309" s="11" t="s">
        <v>2187</v>
      </c>
      <c r="D309" s="11" t="s">
        <v>1005</v>
      </c>
      <c r="E309" s="13">
        <v>0</v>
      </c>
      <c r="F309" s="13">
        <v>0</v>
      </c>
      <c r="G309" s="11" t="s">
        <v>2169</v>
      </c>
      <c r="H309" s="12">
        <v>0</v>
      </c>
      <c r="I309" s="11" t="s">
        <v>1379</v>
      </c>
    </row>
    <row r="310" spans="1:9" ht="15" customHeight="1" x14ac:dyDescent="0.25">
      <c r="A310" s="14" t="s">
        <v>2700</v>
      </c>
      <c r="B310" s="11" t="s">
        <v>2701</v>
      </c>
      <c r="C310" s="11" t="s">
        <v>2187</v>
      </c>
      <c r="D310" s="11" t="s">
        <v>1005</v>
      </c>
      <c r="E310" s="13">
        <v>550</v>
      </c>
      <c r="F310" s="13">
        <v>0</v>
      </c>
      <c r="G310" s="11" t="s">
        <v>2161</v>
      </c>
      <c r="H310" s="12">
        <v>330000</v>
      </c>
      <c r="I310" s="11" t="s">
        <v>47</v>
      </c>
    </row>
    <row r="311" spans="1:9" ht="15" customHeight="1" x14ac:dyDescent="0.25">
      <c r="A311" s="14" t="s">
        <v>2702</v>
      </c>
      <c r="B311" s="11" t="s">
        <v>2703</v>
      </c>
      <c r="C311" s="11" t="s">
        <v>2187</v>
      </c>
      <c r="D311" s="11" t="s">
        <v>1005</v>
      </c>
      <c r="E311" s="13">
        <v>200</v>
      </c>
      <c r="F311" s="13">
        <v>0</v>
      </c>
      <c r="G311" s="11" t="s">
        <v>2161</v>
      </c>
      <c r="H311" s="12">
        <v>120000</v>
      </c>
      <c r="I311" s="11" t="s">
        <v>66</v>
      </c>
    </row>
    <row r="312" spans="1:9" ht="15" customHeight="1" x14ac:dyDescent="0.25">
      <c r="A312" s="14" t="s">
        <v>2704</v>
      </c>
      <c r="B312" s="11" t="s">
        <v>2705</v>
      </c>
      <c r="C312" s="11" t="s">
        <v>2187</v>
      </c>
      <c r="D312" s="11" t="s">
        <v>1005</v>
      </c>
      <c r="E312" s="13">
        <v>0</v>
      </c>
      <c r="F312" s="13">
        <v>0</v>
      </c>
      <c r="G312" s="11" t="s">
        <v>2169</v>
      </c>
      <c r="H312" s="12">
        <v>0</v>
      </c>
      <c r="I312" s="11" t="s">
        <v>1373</v>
      </c>
    </row>
    <row r="313" spans="1:9" ht="15" customHeight="1" x14ac:dyDescent="0.25">
      <c r="A313" s="14" t="s">
        <v>2706</v>
      </c>
      <c r="B313" s="11" t="s">
        <v>2707</v>
      </c>
      <c r="C313" s="11" t="s">
        <v>2187</v>
      </c>
      <c r="D313" s="11" t="s">
        <v>1005</v>
      </c>
      <c r="E313" s="13">
        <v>0</v>
      </c>
      <c r="F313" s="13">
        <v>0</v>
      </c>
      <c r="G313" s="11" t="s">
        <v>2169</v>
      </c>
      <c r="H313" s="12">
        <v>0</v>
      </c>
      <c r="I313" s="11" t="s">
        <v>1376</v>
      </c>
    </row>
    <row r="314" spans="1:9" ht="15" customHeight="1" x14ac:dyDescent="0.25">
      <c r="A314" s="14" t="s">
        <v>2708</v>
      </c>
      <c r="B314" s="11" t="s">
        <v>2709</v>
      </c>
      <c r="C314" s="11" t="s">
        <v>2187</v>
      </c>
      <c r="D314" s="11" t="s">
        <v>1005</v>
      </c>
      <c r="E314" s="13">
        <v>241</v>
      </c>
      <c r="F314" s="13">
        <v>0</v>
      </c>
      <c r="G314" s="11" t="s">
        <v>2161</v>
      </c>
      <c r="H314" s="12">
        <v>144600</v>
      </c>
      <c r="I314" s="11" t="s">
        <v>62</v>
      </c>
    </row>
    <row r="315" spans="1:9" ht="15" customHeight="1" x14ac:dyDescent="0.25">
      <c r="A315" s="14" t="s">
        <v>2710</v>
      </c>
      <c r="B315" s="11" t="s">
        <v>2711</v>
      </c>
      <c r="C315" s="11" t="s">
        <v>2187</v>
      </c>
      <c r="D315" s="11" t="s">
        <v>1005</v>
      </c>
      <c r="E315" s="13">
        <v>229</v>
      </c>
      <c r="F315" s="13">
        <v>0</v>
      </c>
      <c r="G315" s="11" t="s">
        <v>2161</v>
      </c>
      <c r="H315" s="12">
        <v>137400</v>
      </c>
      <c r="I315" s="11" t="s">
        <v>63</v>
      </c>
    </row>
    <row r="316" spans="1:9" ht="15" customHeight="1" x14ac:dyDescent="0.25">
      <c r="A316" s="14" t="s">
        <v>2712</v>
      </c>
      <c r="B316" s="11" t="s">
        <v>2713</v>
      </c>
      <c r="C316" s="11" t="s">
        <v>2187</v>
      </c>
      <c r="D316" s="11" t="s">
        <v>1005</v>
      </c>
      <c r="E316" s="13">
        <v>150</v>
      </c>
      <c r="F316" s="13">
        <v>0</v>
      </c>
      <c r="G316" s="11" t="s">
        <v>2161</v>
      </c>
      <c r="H316" s="12">
        <v>90000</v>
      </c>
      <c r="I316" s="11" t="s">
        <v>71</v>
      </c>
    </row>
    <row r="317" spans="1:9" ht="15" customHeight="1" x14ac:dyDescent="0.25">
      <c r="A317" s="14" t="s">
        <v>2714</v>
      </c>
      <c r="B317" s="11" t="s">
        <v>2715</v>
      </c>
      <c r="C317" s="11" t="s">
        <v>2187</v>
      </c>
      <c r="D317" s="11" t="s">
        <v>1005</v>
      </c>
      <c r="E317" s="13">
        <v>6</v>
      </c>
      <c r="F317" s="13">
        <v>0</v>
      </c>
      <c r="G317" s="11" t="s">
        <v>2161</v>
      </c>
      <c r="H317" s="12">
        <v>3600</v>
      </c>
      <c r="I317" s="11" t="s">
        <v>146</v>
      </c>
    </row>
    <row r="318" spans="1:9" ht="15" customHeight="1" x14ac:dyDescent="0.25">
      <c r="A318" s="14" t="s">
        <v>2716</v>
      </c>
      <c r="B318" s="11" t="s">
        <v>2717</v>
      </c>
      <c r="C318" s="11" t="s">
        <v>2262</v>
      </c>
      <c r="D318" s="11" t="s">
        <v>2200</v>
      </c>
      <c r="E318" s="13">
        <v>0</v>
      </c>
      <c r="F318" s="13">
        <v>0</v>
      </c>
      <c r="G318" s="11" t="s">
        <v>2169</v>
      </c>
      <c r="H318" s="12">
        <v>0</v>
      </c>
      <c r="I318" s="11" t="s">
        <v>1582</v>
      </c>
    </row>
    <row r="319" spans="1:9" ht="15" customHeight="1" x14ac:dyDescent="0.25">
      <c r="A319" s="14" t="s">
        <v>2718</v>
      </c>
      <c r="B319" s="11" t="s">
        <v>2719</v>
      </c>
      <c r="C319" s="11" t="s">
        <v>2172</v>
      </c>
      <c r="D319" s="11" t="s">
        <v>2200</v>
      </c>
      <c r="E319" s="13">
        <v>1000</v>
      </c>
      <c r="F319" s="13">
        <v>0</v>
      </c>
      <c r="G319" s="11" t="s">
        <v>2161</v>
      </c>
      <c r="H319" s="12">
        <v>180000</v>
      </c>
      <c r="I319" s="11" t="s">
        <v>291</v>
      </c>
    </row>
    <row r="320" spans="1:9" ht="15" customHeight="1" x14ac:dyDescent="0.25">
      <c r="A320" s="14" t="s">
        <v>2720</v>
      </c>
      <c r="B320" s="11" t="s">
        <v>1520</v>
      </c>
      <c r="C320" s="11" t="s">
        <v>2160</v>
      </c>
      <c r="D320" s="11" t="s">
        <v>922</v>
      </c>
      <c r="E320" s="13">
        <v>0</v>
      </c>
      <c r="F320" s="13">
        <v>0</v>
      </c>
      <c r="G320" s="11" t="s">
        <v>2169</v>
      </c>
      <c r="H320" s="12">
        <v>0</v>
      </c>
      <c r="I320" s="11" t="s">
        <v>1521</v>
      </c>
    </row>
    <row r="321" spans="1:9" ht="15" customHeight="1" x14ac:dyDescent="0.25">
      <c r="A321" s="14" t="s">
        <v>2721</v>
      </c>
      <c r="B321" s="11" t="s">
        <v>2722</v>
      </c>
      <c r="C321" s="11" t="s">
        <v>2160</v>
      </c>
      <c r="D321" s="11" t="s">
        <v>1005</v>
      </c>
      <c r="E321" s="13">
        <v>6</v>
      </c>
      <c r="F321" s="13">
        <v>0</v>
      </c>
      <c r="G321" s="11" t="s">
        <v>2161</v>
      </c>
      <c r="H321" s="12">
        <v>126000</v>
      </c>
      <c r="I321" s="11" t="s">
        <v>321</v>
      </c>
    </row>
    <row r="322" spans="1:9" ht="15" customHeight="1" x14ac:dyDescent="0.25">
      <c r="A322" s="14" t="s">
        <v>2723</v>
      </c>
      <c r="B322" s="11" t="s">
        <v>2724</v>
      </c>
      <c r="C322" s="11" t="s">
        <v>2195</v>
      </c>
      <c r="D322" s="11" t="s">
        <v>922</v>
      </c>
      <c r="E322" s="13">
        <v>95</v>
      </c>
      <c r="F322" s="13">
        <v>0</v>
      </c>
      <c r="G322" s="11" t="s">
        <v>2161</v>
      </c>
      <c r="H322" s="12">
        <v>5635875</v>
      </c>
      <c r="I322" s="11" t="s">
        <v>322</v>
      </c>
    </row>
    <row r="323" spans="1:9" ht="15" customHeight="1" x14ac:dyDescent="0.25">
      <c r="A323" s="14" t="s">
        <v>2725</v>
      </c>
      <c r="B323" s="11" t="s">
        <v>823</v>
      </c>
      <c r="C323" s="11" t="s">
        <v>2195</v>
      </c>
      <c r="D323" s="11" t="s">
        <v>922</v>
      </c>
      <c r="E323" s="13">
        <v>262</v>
      </c>
      <c r="F323" s="13">
        <v>0</v>
      </c>
      <c r="G323" s="11" t="s">
        <v>2161</v>
      </c>
      <c r="H323" s="12">
        <v>12723506</v>
      </c>
      <c r="I323" s="11" t="s">
        <v>332</v>
      </c>
    </row>
    <row r="324" spans="1:9" ht="15" customHeight="1" x14ac:dyDescent="0.25">
      <c r="A324" s="14" t="s">
        <v>2726</v>
      </c>
      <c r="B324" s="11" t="s">
        <v>827</v>
      </c>
      <c r="C324" s="11" t="s">
        <v>2491</v>
      </c>
      <c r="D324" s="11" t="s">
        <v>922</v>
      </c>
      <c r="E324" s="13">
        <v>8</v>
      </c>
      <c r="F324" s="13">
        <v>0</v>
      </c>
      <c r="G324" s="11" t="s">
        <v>2161</v>
      </c>
      <c r="H324" s="12">
        <v>1065600</v>
      </c>
      <c r="I324" s="11" t="s">
        <v>333</v>
      </c>
    </row>
    <row r="325" spans="1:9" ht="15" customHeight="1" x14ac:dyDescent="0.25">
      <c r="A325" s="14" t="s">
        <v>2727</v>
      </c>
      <c r="B325" s="11" t="s">
        <v>2728</v>
      </c>
      <c r="C325" s="11" t="s">
        <v>2491</v>
      </c>
      <c r="D325" s="11" t="s">
        <v>922</v>
      </c>
      <c r="E325" s="13">
        <v>0</v>
      </c>
      <c r="F325" s="13">
        <v>0</v>
      </c>
      <c r="G325" s="11" t="s">
        <v>2169</v>
      </c>
      <c r="H325" s="12">
        <v>0</v>
      </c>
      <c r="I325" s="11" t="s">
        <v>1816</v>
      </c>
    </row>
    <row r="326" spans="1:9" ht="15" customHeight="1" x14ac:dyDescent="0.25">
      <c r="A326" s="14" t="s">
        <v>2729</v>
      </c>
      <c r="B326" s="11" t="s">
        <v>2730</v>
      </c>
      <c r="C326" s="11" t="s">
        <v>2491</v>
      </c>
      <c r="D326" s="11" t="s">
        <v>922</v>
      </c>
      <c r="E326" s="13">
        <v>0</v>
      </c>
      <c r="F326" s="13">
        <v>0</v>
      </c>
      <c r="G326" s="11" t="s">
        <v>2169</v>
      </c>
      <c r="H326" s="12">
        <v>0</v>
      </c>
      <c r="I326" s="11" t="s">
        <v>1818</v>
      </c>
    </row>
    <row r="327" spans="1:9" ht="15" customHeight="1" x14ac:dyDescent="0.25">
      <c r="A327" s="14" t="s">
        <v>2731</v>
      </c>
      <c r="B327" s="11" t="s">
        <v>828</v>
      </c>
      <c r="C327" s="11" t="s">
        <v>2491</v>
      </c>
      <c r="D327" s="11" t="s">
        <v>922</v>
      </c>
      <c r="E327" s="13">
        <v>3</v>
      </c>
      <c r="F327" s="13">
        <v>0</v>
      </c>
      <c r="G327" s="11" t="s">
        <v>2161</v>
      </c>
      <c r="H327" s="12">
        <v>591303</v>
      </c>
      <c r="I327" s="11" t="s">
        <v>334</v>
      </c>
    </row>
    <row r="328" spans="1:9" ht="15" customHeight="1" x14ac:dyDescent="0.25">
      <c r="A328" s="14" t="s">
        <v>2732</v>
      </c>
      <c r="B328" s="11" t="s">
        <v>2733</v>
      </c>
      <c r="C328" s="11" t="s">
        <v>2480</v>
      </c>
      <c r="D328" s="11" t="s">
        <v>2200</v>
      </c>
      <c r="E328" s="13">
        <v>725000</v>
      </c>
      <c r="F328" s="13">
        <v>0</v>
      </c>
      <c r="G328" s="11" t="s">
        <v>2161</v>
      </c>
      <c r="H328" s="12">
        <v>10875000</v>
      </c>
      <c r="I328" s="11" t="s">
        <v>105</v>
      </c>
    </row>
    <row r="329" spans="1:9" ht="15" customHeight="1" x14ac:dyDescent="0.25">
      <c r="A329" s="14" t="s">
        <v>2734</v>
      </c>
      <c r="B329" s="11" t="s">
        <v>832</v>
      </c>
      <c r="C329" s="11" t="s">
        <v>2193</v>
      </c>
      <c r="D329" s="11" t="s">
        <v>922</v>
      </c>
      <c r="E329" s="13">
        <v>0</v>
      </c>
      <c r="F329" s="13">
        <v>0</v>
      </c>
      <c r="G329" s="11" t="s">
        <v>2169</v>
      </c>
      <c r="H329" s="12">
        <v>0</v>
      </c>
      <c r="I329" s="11" t="s">
        <v>833</v>
      </c>
    </row>
    <row r="330" spans="1:9" ht="15" customHeight="1" x14ac:dyDescent="0.25">
      <c r="A330" s="14" t="s">
        <v>2735</v>
      </c>
      <c r="B330" s="11" t="s">
        <v>2736</v>
      </c>
      <c r="C330" s="11" t="s">
        <v>2190</v>
      </c>
      <c r="D330" s="11" t="s">
        <v>1005</v>
      </c>
      <c r="E330" s="13">
        <v>0</v>
      </c>
      <c r="F330" s="13">
        <v>0</v>
      </c>
      <c r="G330" s="11" t="s">
        <v>2169</v>
      </c>
      <c r="H330" s="12">
        <v>0</v>
      </c>
      <c r="I330" s="11" t="s">
        <v>1580</v>
      </c>
    </row>
    <row r="331" spans="1:9" ht="15" customHeight="1" x14ac:dyDescent="0.25">
      <c r="A331" s="14" t="s">
        <v>2737</v>
      </c>
      <c r="B331" s="11" t="s">
        <v>2738</v>
      </c>
      <c r="C331" s="11" t="s">
        <v>2160</v>
      </c>
      <c r="D331" s="11" t="s">
        <v>2739</v>
      </c>
      <c r="E331" s="13">
        <v>7</v>
      </c>
      <c r="F331" s="13">
        <v>0</v>
      </c>
      <c r="G331" s="11" t="s">
        <v>2161</v>
      </c>
      <c r="H331" s="12">
        <v>104117.6955</v>
      </c>
      <c r="I331" s="11" t="s">
        <v>131</v>
      </c>
    </row>
    <row r="332" spans="1:9" ht="15" customHeight="1" x14ac:dyDescent="0.25">
      <c r="A332" s="14" t="s">
        <v>2740</v>
      </c>
      <c r="B332" s="11" t="s">
        <v>835</v>
      </c>
      <c r="C332" s="11" t="s">
        <v>2160</v>
      </c>
      <c r="D332" s="11" t="s">
        <v>2200</v>
      </c>
      <c r="E332" s="13">
        <v>0</v>
      </c>
      <c r="F332" s="13">
        <v>0</v>
      </c>
      <c r="G332" s="11" t="s">
        <v>2169</v>
      </c>
      <c r="H332" s="12">
        <v>0</v>
      </c>
      <c r="I332" s="11" t="s">
        <v>836</v>
      </c>
    </row>
    <row r="333" spans="1:9" ht="15" customHeight="1" x14ac:dyDescent="0.25">
      <c r="A333" s="14" t="s">
        <v>2741</v>
      </c>
      <c r="B333" s="11" t="s">
        <v>2742</v>
      </c>
      <c r="C333" s="11" t="s">
        <v>2193</v>
      </c>
      <c r="D333" s="11" t="s">
        <v>922</v>
      </c>
      <c r="E333" s="13">
        <v>45</v>
      </c>
      <c r="F333" s="13">
        <v>0</v>
      </c>
      <c r="G333" s="11" t="s">
        <v>2161</v>
      </c>
      <c r="H333" s="12">
        <v>1260072</v>
      </c>
      <c r="I333" s="11" t="s">
        <v>323</v>
      </c>
    </row>
    <row r="334" spans="1:9" ht="15" customHeight="1" x14ac:dyDescent="0.25">
      <c r="A334" s="14" t="s">
        <v>2743</v>
      </c>
      <c r="B334" s="11" t="s">
        <v>2744</v>
      </c>
      <c r="C334" s="11" t="s">
        <v>2172</v>
      </c>
      <c r="D334" s="11" t="s">
        <v>922</v>
      </c>
      <c r="E334" s="13">
        <v>40</v>
      </c>
      <c r="F334" s="13">
        <v>0</v>
      </c>
      <c r="G334" s="11" t="s">
        <v>2161</v>
      </c>
      <c r="H334" s="12">
        <v>9200000</v>
      </c>
      <c r="I334" s="11" t="s">
        <v>324</v>
      </c>
    </row>
    <row r="335" spans="1:9" ht="15" customHeight="1" x14ac:dyDescent="0.25">
      <c r="A335" s="14" t="s">
        <v>2745</v>
      </c>
      <c r="B335" s="11" t="s">
        <v>2746</v>
      </c>
      <c r="C335" s="11" t="s">
        <v>2318</v>
      </c>
      <c r="D335" s="11" t="s">
        <v>2200</v>
      </c>
      <c r="E335" s="13">
        <v>0</v>
      </c>
      <c r="F335" s="13">
        <v>0</v>
      </c>
      <c r="G335" s="11" t="s">
        <v>2169</v>
      </c>
      <c r="H335" s="12">
        <v>0</v>
      </c>
      <c r="I335" s="11" t="s">
        <v>1627</v>
      </c>
    </row>
    <row r="336" spans="1:9" ht="15" customHeight="1" x14ac:dyDescent="0.25">
      <c r="A336" s="14" t="s">
        <v>2747</v>
      </c>
      <c r="B336" s="11" t="s">
        <v>839</v>
      </c>
      <c r="C336" s="11" t="s">
        <v>2251</v>
      </c>
      <c r="D336" s="11" t="s">
        <v>1005</v>
      </c>
      <c r="E336" s="13">
        <v>1</v>
      </c>
      <c r="F336" s="13">
        <v>0</v>
      </c>
      <c r="G336" s="11" t="s">
        <v>2161</v>
      </c>
      <c r="H336" s="12">
        <v>46824.137900000002</v>
      </c>
      <c r="I336" s="11" t="s">
        <v>145</v>
      </c>
    </row>
    <row r="337" spans="1:9" ht="15" customHeight="1" x14ac:dyDescent="0.25">
      <c r="A337" s="14" t="s">
        <v>2748</v>
      </c>
      <c r="B337" s="11" t="s">
        <v>2749</v>
      </c>
      <c r="C337" s="11" t="s">
        <v>2318</v>
      </c>
      <c r="D337" s="11" t="s">
        <v>922</v>
      </c>
      <c r="E337" s="13">
        <v>0</v>
      </c>
      <c r="F337" s="13">
        <v>0</v>
      </c>
      <c r="G337" s="11" t="s">
        <v>2169</v>
      </c>
      <c r="H337" s="12">
        <v>0</v>
      </c>
      <c r="I337" s="11" t="s">
        <v>1793</v>
      </c>
    </row>
    <row r="338" spans="1:9" ht="15" customHeight="1" x14ac:dyDescent="0.25">
      <c r="A338" s="14" t="s">
        <v>2750</v>
      </c>
      <c r="B338" s="11" t="s">
        <v>2751</v>
      </c>
      <c r="C338" s="11" t="s">
        <v>2318</v>
      </c>
      <c r="D338" s="11" t="s">
        <v>922</v>
      </c>
      <c r="E338" s="13">
        <v>21.5</v>
      </c>
      <c r="F338" s="13">
        <v>0</v>
      </c>
      <c r="G338" s="11" t="s">
        <v>2161</v>
      </c>
      <c r="H338" s="12">
        <v>266062.5</v>
      </c>
      <c r="I338" s="11" t="s">
        <v>325</v>
      </c>
    </row>
    <row r="339" spans="1:9" ht="15" customHeight="1" x14ac:dyDescent="0.25">
      <c r="A339" s="14" t="s">
        <v>2752</v>
      </c>
      <c r="B339" s="11" t="s">
        <v>2753</v>
      </c>
      <c r="C339" s="11" t="s">
        <v>2318</v>
      </c>
      <c r="D339" s="11" t="s">
        <v>922</v>
      </c>
      <c r="E339" s="13">
        <v>41</v>
      </c>
      <c r="F339" s="13">
        <v>0</v>
      </c>
      <c r="G339" s="11" t="s">
        <v>2161</v>
      </c>
      <c r="H339" s="12">
        <v>989125</v>
      </c>
      <c r="I339" s="11" t="s">
        <v>326</v>
      </c>
    </row>
    <row r="340" spans="1:9" ht="15" customHeight="1" x14ac:dyDescent="0.25">
      <c r="A340" s="14" t="s">
        <v>2754</v>
      </c>
      <c r="B340" s="11" t="s">
        <v>2755</v>
      </c>
      <c r="C340" s="11" t="s">
        <v>2318</v>
      </c>
      <c r="D340" s="11" t="s">
        <v>922</v>
      </c>
      <c r="E340" s="13">
        <v>16</v>
      </c>
      <c r="F340" s="13">
        <v>0</v>
      </c>
      <c r="G340" s="11" t="s">
        <v>2161</v>
      </c>
      <c r="H340" s="12">
        <v>190528</v>
      </c>
      <c r="I340" s="11" t="s">
        <v>327</v>
      </c>
    </row>
    <row r="341" spans="1:9" ht="15" customHeight="1" x14ac:dyDescent="0.25">
      <c r="A341" s="14" t="s">
        <v>2756</v>
      </c>
      <c r="B341" s="11" t="s">
        <v>840</v>
      </c>
      <c r="C341" s="11" t="s">
        <v>2278</v>
      </c>
      <c r="D341" s="11" t="s">
        <v>922</v>
      </c>
      <c r="E341" s="13">
        <v>0</v>
      </c>
      <c r="F341" s="13">
        <v>0</v>
      </c>
      <c r="G341" s="11" t="s">
        <v>2169</v>
      </c>
      <c r="H341" s="12">
        <v>0</v>
      </c>
      <c r="I341" s="11" t="s">
        <v>841</v>
      </c>
    </row>
    <row r="342" spans="1:9" ht="15" customHeight="1" x14ac:dyDescent="0.25">
      <c r="A342" s="14" t="s">
        <v>2757</v>
      </c>
      <c r="B342" s="11" t="s">
        <v>2758</v>
      </c>
      <c r="C342" s="11" t="s">
        <v>2278</v>
      </c>
      <c r="D342" s="11" t="s">
        <v>2200</v>
      </c>
      <c r="E342" s="13">
        <v>95000</v>
      </c>
      <c r="F342" s="13">
        <v>0</v>
      </c>
      <c r="G342" s="11" t="s">
        <v>2161</v>
      </c>
      <c r="H342" s="12">
        <v>4766720</v>
      </c>
      <c r="I342" s="11" t="s">
        <v>328</v>
      </c>
    </row>
    <row r="343" spans="1:9" ht="15" customHeight="1" x14ac:dyDescent="0.25">
      <c r="A343" s="14" t="s">
        <v>2759</v>
      </c>
      <c r="B343" s="11" t="s">
        <v>2760</v>
      </c>
      <c r="C343" s="11" t="s">
        <v>2160</v>
      </c>
      <c r="D343" s="11" t="s">
        <v>922</v>
      </c>
      <c r="E343" s="13">
        <v>0</v>
      </c>
      <c r="F343" s="13">
        <v>0</v>
      </c>
      <c r="G343" s="11" t="s">
        <v>2169</v>
      </c>
      <c r="H343" s="12">
        <v>0</v>
      </c>
      <c r="I343" s="11" t="s">
        <v>1548</v>
      </c>
    </row>
    <row r="344" spans="1:9" ht="15" customHeight="1" x14ac:dyDescent="0.25">
      <c r="A344" s="14" t="s">
        <v>2761</v>
      </c>
      <c r="B344" s="11" t="s">
        <v>2762</v>
      </c>
      <c r="C344" s="11" t="s">
        <v>2175</v>
      </c>
      <c r="D344" s="11" t="s">
        <v>922</v>
      </c>
      <c r="E344" s="13">
        <v>0</v>
      </c>
      <c r="F344" s="13">
        <v>0</v>
      </c>
      <c r="G344" s="11" t="s">
        <v>2169</v>
      </c>
      <c r="H344" s="12">
        <v>0</v>
      </c>
      <c r="I344" s="11" t="s">
        <v>1913</v>
      </c>
    </row>
    <row r="345" spans="1:9" ht="15" customHeight="1" x14ac:dyDescent="0.25">
      <c r="A345" s="14" t="s">
        <v>2763</v>
      </c>
      <c r="B345" s="11" t="s">
        <v>2764</v>
      </c>
      <c r="C345" s="11" t="s">
        <v>2278</v>
      </c>
      <c r="D345" s="11" t="s">
        <v>922</v>
      </c>
      <c r="E345" s="13">
        <v>40</v>
      </c>
      <c r="F345" s="13">
        <v>0</v>
      </c>
      <c r="G345" s="11" t="s">
        <v>2161</v>
      </c>
      <c r="H345" s="12">
        <v>4322400</v>
      </c>
      <c r="I345" s="11" t="s">
        <v>329</v>
      </c>
    </row>
    <row r="346" spans="1:9" ht="15" customHeight="1" x14ac:dyDescent="0.25">
      <c r="A346" s="14" t="s">
        <v>2765</v>
      </c>
      <c r="B346" s="11" t="s">
        <v>844</v>
      </c>
      <c r="C346" s="11" t="s">
        <v>2278</v>
      </c>
      <c r="D346" s="11" t="s">
        <v>922</v>
      </c>
      <c r="E346" s="13">
        <v>15</v>
      </c>
      <c r="F346" s="13">
        <v>0</v>
      </c>
      <c r="G346" s="11" t="s">
        <v>2161</v>
      </c>
      <c r="H346" s="12">
        <v>729375</v>
      </c>
      <c r="I346" s="11" t="s">
        <v>335</v>
      </c>
    </row>
    <row r="347" spans="1:9" ht="15" customHeight="1" x14ac:dyDescent="0.25">
      <c r="A347" s="14" t="s">
        <v>2766</v>
      </c>
      <c r="B347" s="11" t="s">
        <v>845</v>
      </c>
      <c r="C347" s="11" t="s">
        <v>2278</v>
      </c>
      <c r="D347" s="11" t="s">
        <v>922</v>
      </c>
      <c r="E347" s="13">
        <v>0</v>
      </c>
      <c r="F347" s="13">
        <v>0</v>
      </c>
      <c r="G347" s="11" t="s">
        <v>2169</v>
      </c>
      <c r="H347" s="12">
        <v>0</v>
      </c>
      <c r="I347" s="11" t="s">
        <v>846</v>
      </c>
    </row>
    <row r="348" spans="1:9" ht="15" customHeight="1" x14ac:dyDescent="0.25">
      <c r="A348" s="14" t="s">
        <v>2767</v>
      </c>
      <c r="B348" s="11" t="s">
        <v>847</v>
      </c>
      <c r="C348" s="11" t="s">
        <v>2278</v>
      </c>
      <c r="D348" s="11" t="s">
        <v>922</v>
      </c>
      <c r="E348" s="13">
        <v>26</v>
      </c>
      <c r="F348" s="13">
        <v>0</v>
      </c>
      <c r="G348" s="11" t="s">
        <v>2161</v>
      </c>
      <c r="H348" s="12">
        <v>1349400</v>
      </c>
      <c r="I348" s="11" t="s">
        <v>336</v>
      </c>
    </row>
    <row r="349" spans="1:9" ht="15" customHeight="1" x14ac:dyDescent="0.25">
      <c r="A349" s="14" t="s">
        <v>2768</v>
      </c>
      <c r="B349" s="11" t="s">
        <v>848</v>
      </c>
      <c r="C349" s="11" t="s">
        <v>2278</v>
      </c>
      <c r="D349" s="11" t="s">
        <v>922</v>
      </c>
      <c r="E349" s="13">
        <v>53</v>
      </c>
      <c r="F349" s="13">
        <v>0</v>
      </c>
      <c r="G349" s="11" t="s">
        <v>2161</v>
      </c>
      <c r="H349" s="12">
        <v>2750700</v>
      </c>
      <c r="I349" s="11" t="s">
        <v>337</v>
      </c>
    </row>
    <row r="350" spans="1:9" ht="15" customHeight="1" x14ac:dyDescent="0.25">
      <c r="A350" s="14" t="s">
        <v>2769</v>
      </c>
      <c r="B350" s="11" t="s">
        <v>849</v>
      </c>
      <c r="C350" s="11" t="s">
        <v>2278</v>
      </c>
      <c r="D350" s="11" t="s">
        <v>922</v>
      </c>
      <c r="E350" s="13">
        <v>49</v>
      </c>
      <c r="F350" s="13">
        <v>0</v>
      </c>
      <c r="G350" s="11" t="s">
        <v>2161</v>
      </c>
      <c r="H350" s="12">
        <v>2543100</v>
      </c>
      <c r="I350" s="11" t="s">
        <v>338</v>
      </c>
    </row>
    <row r="351" spans="1:9" ht="15" customHeight="1" x14ac:dyDescent="0.25">
      <c r="A351" s="14" t="s">
        <v>2770</v>
      </c>
      <c r="B351" s="11" t="s">
        <v>850</v>
      </c>
      <c r="C351" s="11" t="s">
        <v>2278</v>
      </c>
      <c r="D351" s="11" t="s">
        <v>922</v>
      </c>
      <c r="E351" s="13">
        <v>30</v>
      </c>
      <c r="F351" s="13">
        <v>0</v>
      </c>
      <c r="G351" s="11" t="s">
        <v>2161</v>
      </c>
      <c r="H351" s="12">
        <v>1557000</v>
      </c>
      <c r="I351" s="11" t="s">
        <v>339</v>
      </c>
    </row>
    <row r="352" spans="1:9" ht="15" customHeight="1" x14ac:dyDescent="0.25">
      <c r="A352" s="14" t="s">
        <v>2771</v>
      </c>
      <c r="B352" s="11" t="s">
        <v>851</v>
      </c>
      <c r="C352" s="11" t="s">
        <v>2278</v>
      </c>
      <c r="D352" s="11" t="s">
        <v>922</v>
      </c>
      <c r="E352" s="13">
        <v>0</v>
      </c>
      <c r="F352" s="13">
        <v>0</v>
      </c>
      <c r="G352" s="11" t="s">
        <v>2169</v>
      </c>
      <c r="H352" s="12">
        <v>0</v>
      </c>
      <c r="I352" s="11" t="s">
        <v>852</v>
      </c>
    </row>
    <row r="353" spans="1:9" ht="15" customHeight="1" x14ac:dyDescent="0.25">
      <c r="A353" s="14" t="s">
        <v>2772</v>
      </c>
      <c r="B353" s="11" t="s">
        <v>853</v>
      </c>
      <c r="C353" s="11" t="s">
        <v>2278</v>
      </c>
      <c r="D353" s="11" t="s">
        <v>922</v>
      </c>
      <c r="E353" s="13">
        <v>25</v>
      </c>
      <c r="F353" s="13">
        <v>0</v>
      </c>
      <c r="G353" s="11" t="s">
        <v>2161</v>
      </c>
      <c r="H353" s="12">
        <v>1297500</v>
      </c>
      <c r="I353" s="11" t="s">
        <v>340</v>
      </c>
    </row>
    <row r="354" spans="1:9" ht="15" customHeight="1" x14ac:dyDescent="0.25">
      <c r="A354" s="14" t="s">
        <v>2773</v>
      </c>
      <c r="B354" s="11" t="s">
        <v>854</v>
      </c>
      <c r="C354" s="11" t="s">
        <v>2278</v>
      </c>
      <c r="D354" s="11" t="s">
        <v>922</v>
      </c>
      <c r="E354" s="13">
        <v>32</v>
      </c>
      <c r="F354" s="13">
        <v>0</v>
      </c>
      <c r="G354" s="11" t="s">
        <v>2161</v>
      </c>
      <c r="H354" s="12">
        <v>1660800</v>
      </c>
      <c r="I354" s="11" t="s">
        <v>341</v>
      </c>
    </row>
    <row r="355" spans="1:9" ht="15" customHeight="1" x14ac:dyDescent="0.25">
      <c r="A355" s="14" t="s">
        <v>2774</v>
      </c>
      <c r="B355" s="11" t="s">
        <v>855</v>
      </c>
      <c r="C355" s="11" t="s">
        <v>2278</v>
      </c>
      <c r="D355" s="11" t="s">
        <v>922</v>
      </c>
      <c r="E355" s="13">
        <v>120</v>
      </c>
      <c r="F355" s="13">
        <v>0</v>
      </c>
      <c r="G355" s="11" t="s">
        <v>2161</v>
      </c>
      <c r="H355" s="12">
        <v>5976600</v>
      </c>
      <c r="I355" s="11" t="s">
        <v>342</v>
      </c>
    </row>
    <row r="356" spans="1:9" ht="15" customHeight="1" x14ac:dyDescent="0.25">
      <c r="A356" s="14" t="s">
        <v>2775</v>
      </c>
      <c r="B356" s="11" t="s">
        <v>856</v>
      </c>
      <c r="C356" s="11" t="s">
        <v>2776</v>
      </c>
      <c r="D356" s="11" t="s">
        <v>2777</v>
      </c>
      <c r="E356" s="13">
        <v>0</v>
      </c>
      <c r="F356" s="13">
        <v>0</v>
      </c>
      <c r="G356" s="11" t="s">
        <v>2169</v>
      </c>
      <c r="H356" s="12">
        <v>0</v>
      </c>
      <c r="I356" s="11" t="s">
        <v>858</v>
      </c>
    </row>
    <row r="357" spans="1:9" ht="15" customHeight="1" x14ac:dyDescent="0.25">
      <c r="A357" s="14" t="s">
        <v>2778</v>
      </c>
      <c r="B357" s="11" t="s">
        <v>861</v>
      </c>
      <c r="C357" s="11" t="s">
        <v>2776</v>
      </c>
      <c r="D357" s="11" t="s">
        <v>2777</v>
      </c>
      <c r="E357" s="13">
        <v>200</v>
      </c>
      <c r="F357" s="13">
        <v>0</v>
      </c>
      <c r="G357" s="11" t="s">
        <v>2161</v>
      </c>
      <c r="H357" s="12">
        <v>375000</v>
      </c>
      <c r="I357" s="11" t="s">
        <v>343</v>
      </c>
    </row>
    <row r="358" spans="1:9" ht="15" customHeight="1" x14ac:dyDescent="0.25">
      <c r="A358" s="14" t="s">
        <v>2779</v>
      </c>
      <c r="B358" s="11" t="s">
        <v>2780</v>
      </c>
      <c r="C358" s="11" t="s">
        <v>2776</v>
      </c>
      <c r="D358" s="11" t="s">
        <v>1005</v>
      </c>
      <c r="E358" s="13">
        <v>7200</v>
      </c>
      <c r="F358" s="13">
        <v>0</v>
      </c>
      <c r="G358" s="11" t="s">
        <v>2161</v>
      </c>
      <c r="H358" s="12">
        <v>5652000</v>
      </c>
      <c r="I358" s="11" t="s">
        <v>330</v>
      </c>
    </row>
    <row r="359" spans="1:9" ht="15" customHeight="1" x14ac:dyDescent="0.25">
      <c r="A359" s="14" t="s">
        <v>2781</v>
      </c>
      <c r="B359" s="11" t="s">
        <v>862</v>
      </c>
      <c r="C359" s="11" t="s">
        <v>2782</v>
      </c>
      <c r="D359" s="11" t="s">
        <v>2777</v>
      </c>
      <c r="E359" s="13">
        <v>192</v>
      </c>
      <c r="F359" s="13">
        <v>0</v>
      </c>
      <c r="G359" s="11" t="s">
        <v>2161</v>
      </c>
      <c r="H359" s="12">
        <v>240000</v>
      </c>
      <c r="I359" s="11" t="s">
        <v>344</v>
      </c>
    </row>
    <row r="360" spans="1:9" ht="15" customHeight="1" x14ac:dyDescent="0.25">
      <c r="A360" s="14" t="s">
        <v>2783</v>
      </c>
      <c r="B360" s="11" t="s">
        <v>867</v>
      </c>
      <c r="C360" s="11" t="s">
        <v>2776</v>
      </c>
      <c r="D360" s="11" t="s">
        <v>1005</v>
      </c>
      <c r="E360" s="13">
        <v>3750</v>
      </c>
      <c r="F360" s="13">
        <v>0</v>
      </c>
      <c r="G360" s="11" t="s">
        <v>2161</v>
      </c>
      <c r="H360" s="12">
        <v>5737500</v>
      </c>
      <c r="I360" s="11" t="s">
        <v>345</v>
      </c>
    </row>
    <row r="361" spans="1:9" ht="15" customHeight="1" x14ac:dyDescent="0.25">
      <c r="A361" s="14" t="s">
        <v>2784</v>
      </c>
      <c r="B361" s="11" t="s">
        <v>2785</v>
      </c>
      <c r="C361" s="11" t="s">
        <v>2776</v>
      </c>
      <c r="D361" s="11" t="s">
        <v>1005</v>
      </c>
      <c r="E361" s="13">
        <v>0</v>
      </c>
      <c r="F361" s="13">
        <v>0</v>
      </c>
      <c r="G361" s="11" t="s">
        <v>2169</v>
      </c>
      <c r="H361" s="12">
        <v>0</v>
      </c>
      <c r="I361" s="11" t="s">
        <v>134</v>
      </c>
    </row>
    <row r="362" spans="1:9" ht="15" customHeight="1" x14ac:dyDescent="0.25">
      <c r="A362" s="14" t="s">
        <v>2786</v>
      </c>
      <c r="B362" s="11" t="s">
        <v>868</v>
      </c>
      <c r="C362" s="11" t="s">
        <v>2776</v>
      </c>
      <c r="D362" s="11" t="s">
        <v>2777</v>
      </c>
      <c r="E362" s="13">
        <v>0</v>
      </c>
      <c r="F362" s="13">
        <v>0</v>
      </c>
      <c r="G362" s="11" t="s">
        <v>2169</v>
      </c>
      <c r="H362" s="12">
        <v>0</v>
      </c>
      <c r="I362" s="11" t="s">
        <v>869</v>
      </c>
    </row>
    <row r="363" spans="1:9" ht="15" customHeight="1" x14ac:dyDescent="0.25">
      <c r="A363" s="14" t="s">
        <v>2787</v>
      </c>
      <c r="B363" s="11" t="s">
        <v>2788</v>
      </c>
      <c r="C363" s="11" t="s">
        <v>2300</v>
      </c>
      <c r="D363" s="11" t="s">
        <v>2789</v>
      </c>
      <c r="E363" s="13">
        <v>200</v>
      </c>
      <c r="F363" s="13">
        <v>0</v>
      </c>
      <c r="G363" s="11" t="s">
        <v>2161</v>
      </c>
      <c r="H363" s="12">
        <v>400000</v>
      </c>
      <c r="I363" s="11" t="s">
        <v>331</v>
      </c>
    </row>
    <row r="364" spans="1:9" ht="15" customHeight="1" x14ac:dyDescent="0.25">
      <c r="A364" s="14" t="s">
        <v>2790</v>
      </c>
      <c r="B364" s="11" t="s">
        <v>2791</v>
      </c>
      <c r="C364" s="11" t="s">
        <v>2380</v>
      </c>
      <c r="D364" s="11" t="s">
        <v>2200</v>
      </c>
      <c r="E364" s="13">
        <v>0</v>
      </c>
      <c r="F364" s="13">
        <v>0</v>
      </c>
      <c r="G364" s="11" t="s">
        <v>2169</v>
      </c>
      <c r="H364" s="12">
        <v>0</v>
      </c>
      <c r="I364" s="11" t="s">
        <v>1490</v>
      </c>
    </row>
    <row r="365" spans="1:9" ht="15" customHeight="1" x14ac:dyDescent="0.25">
      <c r="A365" s="14" t="s">
        <v>2792</v>
      </c>
      <c r="B365" s="11" t="s">
        <v>877</v>
      </c>
      <c r="C365" s="11" t="s">
        <v>2193</v>
      </c>
      <c r="D365" s="11" t="s">
        <v>2391</v>
      </c>
      <c r="E365" s="13">
        <v>0</v>
      </c>
      <c r="F365" s="13">
        <v>0</v>
      </c>
      <c r="G365" s="11" t="s">
        <v>2169</v>
      </c>
      <c r="H365" s="12">
        <v>0</v>
      </c>
      <c r="I365" s="11" t="s">
        <v>878</v>
      </c>
    </row>
    <row r="366" spans="1:9" ht="15" customHeight="1" x14ac:dyDescent="0.25">
      <c r="A366" s="14" t="s">
        <v>2793</v>
      </c>
      <c r="B366" s="11" t="s">
        <v>2794</v>
      </c>
      <c r="C366" s="11" t="s">
        <v>2193</v>
      </c>
      <c r="D366" s="11" t="s">
        <v>2391</v>
      </c>
      <c r="E366" s="13">
        <v>0</v>
      </c>
      <c r="F366" s="13">
        <v>0</v>
      </c>
      <c r="G366" s="11" t="s">
        <v>2169</v>
      </c>
      <c r="H366" s="12">
        <v>0</v>
      </c>
      <c r="I366" s="11" t="s">
        <v>874</v>
      </c>
    </row>
    <row r="367" spans="1:9" ht="15" customHeight="1" x14ac:dyDescent="0.25">
      <c r="A367" s="14" t="s">
        <v>2795</v>
      </c>
      <c r="B367" s="11" t="s">
        <v>2796</v>
      </c>
      <c r="C367" s="11" t="s">
        <v>2193</v>
      </c>
      <c r="D367" s="11" t="s">
        <v>2391</v>
      </c>
      <c r="E367" s="13">
        <v>0</v>
      </c>
      <c r="F367" s="13">
        <v>0</v>
      </c>
      <c r="G367" s="11" t="s">
        <v>2169</v>
      </c>
      <c r="H367" s="12">
        <v>0</v>
      </c>
      <c r="I367" s="11" t="s">
        <v>2797</v>
      </c>
    </row>
    <row r="368" spans="1:9" ht="15" customHeight="1" x14ac:dyDescent="0.25">
      <c r="A368" s="14" t="s">
        <v>2798</v>
      </c>
      <c r="B368" s="11" t="s">
        <v>879</v>
      </c>
      <c r="C368" s="11" t="s">
        <v>2193</v>
      </c>
      <c r="D368" s="11" t="s">
        <v>2391</v>
      </c>
      <c r="E368" s="13">
        <v>0</v>
      </c>
      <c r="F368" s="13">
        <v>0</v>
      </c>
      <c r="G368" s="11" t="s">
        <v>2169</v>
      </c>
      <c r="H368" s="12">
        <v>0</v>
      </c>
      <c r="I368" s="11" t="s">
        <v>880</v>
      </c>
    </row>
    <row r="369" spans="1:9" ht="15" customHeight="1" x14ac:dyDescent="0.25">
      <c r="A369" s="14" t="s">
        <v>2799</v>
      </c>
      <c r="B369" s="11" t="s">
        <v>2800</v>
      </c>
      <c r="C369" s="11" t="s">
        <v>2193</v>
      </c>
      <c r="D369" s="11" t="s">
        <v>2391</v>
      </c>
      <c r="E369" s="13">
        <v>0</v>
      </c>
      <c r="F369" s="13">
        <v>0</v>
      </c>
      <c r="G369" s="11" t="s">
        <v>2169</v>
      </c>
      <c r="H369" s="12">
        <v>0</v>
      </c>
      <c r="I369" s="11" t="s">
        <v>2801</v>
      </c>
    </row>
    <row r="370" spans="1:9" ht="15" customHeight="1" x14ac:dyDescent="0.25">
      <c r="A370" s="14" t="s">
        <v>2802</v>
      </c>
      <c r="B370" s="11" t="s">
        <v>2803</v>
      </c>
      <c r="C370" s="11" t="s">
        <v>2193</v>
      </c>
      <c r="D370" s="11" t="s">
        <v>2391</v>
      </c>
      <c r="E370" s="13">
        <v>0</v>
      </c>
      <c r="F370" s="13">
        <v>0</v>
      </c>
      <c r="G370" s="11" t="s">
        <v>2169</v>
      </c>
      <c r="H370" s="12">
        <v>0</v>
      </c>
      <c r="I370" s="11" t="s">
        <v>2804</v>
      </c>
    </row>
    <row r="371" spans="1:9" ht="15" customHeight="1" x14ac:dyDescent="0.25">
      <c r="A371" s="14" t="s">
        <v>2805</v>
      </c>
      <c r="B371" s="11" t="s">
        <v>2806</v>
      </c>
      <c r="C371" s="11" t="s">
        <v>2193</v>
      </c>
      <c r="D371" s="11" t="s">
        <v>2391</v>
      </c>
      <c r="E371" s="13">
        <v>0</v>
      </c>
      <c r="F371" s="13">
        <v>0</v>
      </c>
      <c r="G371" s="11" t="s">
        <v>2169</v>
      </c>
      <c r="H371" s="12">
        <v>0</v>
      </c>
      <c r="I371" s="11" t="s">
        <v>2807</v>
      </c>
    </row>
    <row r="372" spans="1:9" ht="15" customHeight="1" x14ac:dyDescent="0.25">
      <c r="A372" s="14" t="s">
        <v>2808</v>
      </c>
      <c r="B372" s="11" t="s">
        <v>901</v>
      </c>
      <c r="C372" s="11" t="s">
        <v>2278</v>
      </c>
      <c r="D372" s="11" t="s">
        <v>2274</v>
      </c>
      <c r="E372" s="13">
        <v>0</v>
      </c>
      <c r="F372" s="13">
        <v>0</v>
      </c>
      <c r="G372" s="11" t="s">
        <v>2169</v>
      </c>
      <c r="H372" s="12">
        <v>0</v>
      </c>
      <c r="I372" s="11" t="s">
        <v>902</v>
      </c>
    </row>
    <row r="373" spans="1:9" ht="15" customHeight="1" x14ac:dyDescent="0.25">
      <c r="A373" s="14" t="s">
        <v>2809</v>
      </c>
      <c r="B373" s="11" t="s">
        <v>913</v>
      </c>
      <c r="C373" s="11" t="s">
        <v>2278</v>
      </c>
      <c r="D373" s="11" t="s">
        <v>2274</v>
      </c>
      <c r="E373" s="13">
        <v>0</v>
      </c>
      <c r="F373" s="13">
        <v>0</v>
      </c>
      <c r="G373" s="11" t="s">
        <v>2169</v>
      </c>
      <c r="H373" s="12">
        <v>0</v>
      </c>
      <c r="I373" s="11" t="s">
        <v>914</v>
      </c>
    </row>
    <row r="374" spans="1:9" ht="15" customHeight="1" x14ac:dyDescent="0.25">
      <c r="A374" s="14" t="s">
        <v>2810</v>
      </c>
      <c r="B374" s="11" t="s">
        <v>915</v>
      </c>
      <c r="C374" s="11" t="s">
        <v>2278</v>
      </c>
      <c r="D374" s="11" t="s">
        <v>2274</v>
      </c>
      <c r="E374" s="13">
        <v>0</v>
      </c>
      <c r="F374" s="13">
        <v>0</v>
      </c>
      <c r="G374" s="11" t="s">
        <v>2169</v>
      </c>
      <c r="H374" s="12">
        <v>0</v>
      </c>
      <c r="I374" s="11" t="s">
        <v>916</v>
      </c>
    </row>
    <row r="375" spans="1:9" ht="15" customHeight="1" x14ac:dyDescent="0.25">
      <c r="A375" s="14" t="s">
        <v>2811</v>
      </c>
      <c r="B375" s="11" t="s">
        <v>924</v>
      </c>
      <c r="C375" s="11" t="s">
        <v>2190</v>
      </c>
      <c r="D375" s="11" t="s">
        <v>1005</v>
      </c>
      <c r="E375" s="13">
        <v>0</v>
      </c>
      <c r="F375" s="13">
        <v>0</v>
      </c>
      <c r="G375" s="11" t="s">
        <v>2169</v>
      </c>
      <c r="H375" s="12">
        <v>0</v>
      </c>
      <c r="I375" s="11" t="s">
        <v>925</v>
      </c>
    </row>
    <row r="376" spans="1:9" ht="15" customHeight="1" x14ac:dyDescent="0.25">
      <c r="A376" s="14" t="s">
        <v>2812</v>
      </c>
      <c r="B376" s="11" t="s">
        <v>2813</v>
      </c>
      <c r="C376" s="11" t="s">
        <v>2172</v>
      </c>
      <c r="D376" s="11" t="s">
        <v>922</v>
      </c>
      <c r="E376" s="13">
        <v>0</v>
      </c>
      <c r="F376" s="13">
        <v>0</v>
      </c>
      <c r="G376" s="11" t="s">
        <v>2169</v>
      </c>
      <c r="H376" s="12">
        <v>0</v>
      </c>
      <c r="I376" s="11" t="s">
        <v>1782</v>
      </c>
    </row>
    <row r="377" spans="1:9" ht="15" customHeight="1" x14ac:dyDescent="0.25">
      <c r="A377" s="14" t="s">
        <v>2814</v>
      </c>
      <c r="B377" s="11" t="s">
        <v>2815</v>
      </c>
      <c r="C377" s="11" t="s">
        <v>2172</v>
      </c>
      <c r="D377" s="11" t="s">
        <v>922</v>
      </c>
      <c r="E377" s="13">
        <v>0</v>
      </c>
      <c r="F377" s="13">
        <v>0</v>
      </c>
      <c r="G377" s="11" t="s">
        <v>2169</v>
      </c>
      <c r="H377" s="12">
        <v>0</v>
      </c>
      <c r="I377" s="11" t="s">
        <v>1785</v>
      </c>
    </row>
    <row r="378" spans="1:9" ht="15" customHeight="1" x14ac:dyDescent="0.25">
      <c r="A378" s="14" t="s">
        <v>2816</v>
      </c>
      <c r="B378" s="11" t="s">
        <v>2817</v>
      </c>
      <c r="C378" s="11" t="s">
        <v>2172</v>
      </c>
      <c r="D378" s="11" t="s">
        <v>922</v>
      </c>
      <c r="E378" s="13">
        <v>0</v>
      </c>
      <c r="F378" s="13">
        <v>0</v>
      </c>
      <c r="G378" s="11" t="s">
        <v>2169</v>
      </c>
      <c r="H378" s="12">
        <v>0</v>
      </c>
      <c r="I378" s="11" t="s">
        <v>2818</v>
      </c>
    </row>
    <row r="379" spans="1:9" ht="15" customHeight="1" x14ac:dyDescent="0.25">
      <c r="A379" s="14" t="s">
        <v>2819</v>
      </c>
      <c r="B379" s="11" t="s">
        <v>2820</v>
      </c>
      <c r="C379" s="11" t="s">
        <v>2172</v>
      </c>
      <c r="D379" s="11" t="s">
        <v>922</v>
      </c>
      <c r="E379" s="13">
        <v>0</v>
      </c>
      <c r="F379" s="13">
        <v>0</v>
      </c>
      <c r="G379" s="11" t="s">
        <v>2169</v>
      </c>
      <c r="H379" s="12">
        <v>0</v>
      </c>
      <c r="I379" s="11" t="s">
        <v>2821</v>
      </c>
    </row>
    <row r="380" spans="1:9" ht="15" customHeight="1" x14ac:dyDescent="0.25">
      <c r="A380" s="14" t="s">
        <v>2822</v>
      </c>
      <c r="B380" s="11" t="s">
        <v>2823</v>
      </c>
      <c r="C380" s="11" t="s">
        <v>2172</v>
      </c>
      <c r="D380" s="11" t="s">
        <v>922</v>
      </c>
      <c r="E380" s="13">
        <v>0</v>
      </c>
      <c r="F380" s="13">
        <v>0</v>
      </c>
      <c r="G380" s="11" t="s">
        <v>2169</v>
      </c>
      <c r="H380" s="12">
        <v>0</v>
      </c>
      <c r="I380" s="11" t="s">
        <v>2824</v>
      </c>
    </row>
    <row r="381" spans="1:9" ht="15" customHeight="1" x14ac:dyDescent="0.25">
      <c r="A381" s="14" t="s">
        <v>2825</v>
      </c>
      <c r="B381" s="11" t="s">
        <v>2826</v>
      </c>
      <c r="C381" s="11" t="s">
        <v>2172</v>
      </c>
      <c r="D381" s="11" t="s">
        <v>922</v>
      </c>
      <c r="E381" s="13">
        <v>0</v>
      </c>
      <c r="F381" s="13">
        <v>0</v>
      </c>
      <c r="G381" s="11" t="s">
        <v>2169</v>
      </c>
      <c r="H381" s="12">
        <v>0</v>
      </c>
      <c r="I381" s="11" t="s">
        <v>2827</v>
      </c>
    </row>
    <row r="382" spans="1:9" ht="15" customHeight="1" x14ac:dyDescent="0.25">
      <c r="A382" s="14" t="s">
        <v>2828</v>
      </c>
      <c r="B382" s="11" t="s">
        <v>2829</v>
      </c>
      <c r="C382" s="11" t="s">
        <v>2172</v>
      </c>
      <c r="D382" s="11" t="s">
        <v>922</v>
      </c>
      <c r="E382" s="13">
        <v>0</v>
      </c>
      <c r="F382" s="13">
        <v>0</v>
      </c>
      <c r="G382" s="11" t="s">
        <v>2169</v>
      </c>
      <c r="H382" s="12">
        <v>0</v>
      </c>
      <c r="I382" s="11" t="s">
        <v>2830</v>
      </c>
    </row>
    <row r="383" spans="1:9" ht="15" customHeight="1" x14ac:dyDescent="0.25">
      <c r="A383" s="14" t="s">
        <v>2831</v>
      </c>
      <c r="B383" s="11" t="s">
        <v>2832</v>
      </c>
      <c r="C383" s="11" t="s">
        <v>2172</v>
      </c>
      <c r="D383" s="11" t="s">
        <v>922</v>
      </c>
      <c r="E383" s="13">
        <v>0</v>
      </c>
      <c r="F383" s="13">
        <v>0</v>
      </c>
      <c r="G383" s="11" t="s">
        <v>2169</v>
      </c>
      <c r="H383" s="12">
        <v>0</v>
      </c>
      <c r="I383" s="11" t="s">
        <v>1787</v>
      </c>
    </row>
    <row r="384" spans="1:9" ht="15" customHeight="1" x14ac:dyDescent="0.25">
      <c r="A384" s="14" t="s">
        <v>2833</v>
      </c>
      <c r="B384" s="11" t="s">
        <v>2834</v>
      </c>
      <c r="C384" s="11" t="s">
        <v>2172</v>
      </c>
      <c r="D384" s="11" t="s">
        <v>922</v>
      </c>
      <c r="E384" s="13">
        <v>0</v>
      </c>
      <c r="F384" s="13">
        <v>0</v>
      </c>
      <c r="G384" s="11" t="s">
        <v>2169</v>
      </c>
      <c r="H384" s="12">
        <v>0</v>
      </c>
      <c r="I384" s="11" t="s">
        <v>2835</v>
      </c>
    </row>
    <row r="385" spans="1:9" ht="15" customHeight="1" x14ac:dyDescent="0.25">
      <c r="A385" s="14" t="s">
        <v>2836</v>
      </c>
      <c r="B385" s="11" t="s">
        <v>2837</v>
      </c>
      <c r="C385" s="11" t="s">
        <v>2172</v>
      </c>
      <c r="D385" s="11" t="s">
        <v>922</v>
      </c>
      <c r="E385" s="13">
        <v>0</v>
      </c>
      <c r="F385" s="13">
        <v>0</v>
      </c>
      <c r="G385" s="11" t="s">
        <v>2169</v>
      </c>
      <c r="H385" s="12">
        <v>0</v>
      </c>
      <c r="I385" s="11" t="s">
        <v>1780</v>
      </c>
    </row>
    <row r="386" spans="1:9" ht="15" customHeight="1" x14ac:dyDescent="0.25">
      <c r="A386" s="14" t="s">
        <v>2838</v>
      </c>
      <c r="B386" s="11" t="s">
        <v>2839</v>
      </c>
      <c r="C386" s="11" t="s">
        <v>2172</v>
      </c>
      <c r="D386" s="11" t="s">
        <v>922</v>
      </c>
      <c r="E386" s="13">
        <v>0</v>
      </c>
      <c r="F386" s="13">
        <v>0</v>
      </c>
      <c r="G386" s="11" t="s">
        <v>2169</v>
      </c>
      <c r="H386" s="12">
        <v>0</v>
      </c>
      <c r="I386" s="11" t="s">
        <v>1797</v>
      </c>
    </row>
    <row r="387" spans="1:9" ht="15" customHeight="1" x14ac:dyDescent="0.25">
      <c r="A387" s="14" t="s">
        <v>2840</v>
      </c>
      <c r="B387" s="11" t="s">
        <v>2841</v>
      </c>
      <c r="C387" s="11" t="s">
        <v>2172</v>
      </c>
      <c r="D387" s="11" t="s">
        <v>922</v>
      </c>
      <c r="E387" s="13">
        <v>0</v>
      </c>
      <c r="F387" s="13">
        <v>0</v>
      </c>
      <c r="G387" s="11" t="s">
        <v>2169</v>
      </c>
      <c r="H387" s="12">
        <v>0</v>
      </c>
      <c r="I387" s="11" t="s">
        <v>2842</v>
      </c>
    </row>
    <row r="388" spans="1:9" ht="15" customHeight="1" x14ac:dyDescent="0.25">
      <c r="A388" s="14" t="s">
        <v>2843</v>
      </c>
      <c r="B388" s="11" t="s">
        <v>2844</v>
      </c>
      <c r="C388" s="11" t="s">
        <v>2172</v>
      </c>
      <c r="D388" s="11" t="s">
        <v>922</v>
      </c>
      <c r="E388" s="13">
        <v>0</v>
      </c>
      <c r="F388" s="13">
        <v>0</v>
      </c>
      <c r="G388" s="11" t="s">
        <v>2169</v>
      </c>
      <c r="H388" s="12">
        <v>0</v>
      </c>
      <c r="I388" s="11" t="s">
        <v>77</v>
      </c>
    </row>
    <row r="389" spans="1:9" ht="15" customHeight="1" x14ac:dyDescent="0.25">
      <c r="A389" s="14" t="s">
        <v>2845</v>
      </c>
      <c r="B389" s="11" t="s">
        <v>2846</v>
      </c>
      <c r="C389" s="11" t="s">
        <v>2172</v>
      </c>
      <c r="D389" s="11" t="s">
        <v>922</v>
      </c>
      <c r="E389" s="13">
        <v>0</v>
      </c>
      <c r="F389" s="13">
        <v>0</v>
      </c>
      <c r="G389" s="11" t="s">
        <v>2169</v>
      </c>
      <c r="H389" s="12">
        <v>0</v>
      </c>
      <c r="I389" s="11" t="s">
        <v>2847</v>
      </c>
    </row>
    <row r="390" spans="1:9" ht="15" customHeight="1" x14ac:dyDescent="0.25">
      <c r="A390" s="14" t="s">
        <v>2848</v>
      </c>
      <c r="B390" s="11" t="s">
        <v>2849</v>
      </c>
      <c r="C390" s="11" t="s">
        <v>2172</v>
      </c>
      <c r="D390" s="11" t="s">
        <v>922</v>
      </c>
      <c r="E390" s="13">
        <v>0</v>
      </c>
      <c r="F390" s="13">
        <v>0</v>
      </c>
      <c r="G390" s="11" t="s">
        <v>2169</v>
      </c>
      <c r="H390" s="12">
        <v>0</v>
      </c>
      <c r="I390" s="11" t="s">
        <v>84</v>
      </c>
    </row>
    <row r="391" spans="1:9" ht="15" customHeight="1" x14ac:dyDescent="0.25">
      <c r="A391" s="14" t="s">
        <v>2850</v>
      </c>
      <c r="B391" s="11" t="s">
        <v>2851</v>
      </c>
      <c r="C391" s="11" t="s">
        <v>2172</v>
      </c>
      <c r="D391" s="11" t="s">
        <v>922</v>
      </c>
      <c r="E391" s="13">
        <v>0</v>
      </c>
      <c r="F391" s="13">
        <v>0</v>
      </c>
      <c r="G391" s="11" t="s">
        <v>2169</v>
      </c>
      <c r="H391" s="12">
        <v>0</v>
      </c>
      <c r="I391" s="11" t="s">
        <v>88</v>
      </c>
    </row>
    <row r="392" spans="1:9" ht="15" customHeight="1" x14ac:dyDescent="0.25">
      <c r="A392" s="14" t="s">
        <v>2852</v>
      </c>
      <c r="B392" s="11" t="s">
        <v>2853</v>
      </c>
      <c r="C392" s="11" t="s">
        <v>2172</v>
      </c>
      <c r="D392" s="11" t="s">
        <v>922</v>
      </c>
      <c r="E392" s="13">
        <v>0</v>
      </c>
      <c r="F392" s="13">
        <v>0</v>
      </c>
      <c r="G392" s="11" t="s">
        <v>2169</v>
      </c>
      <c r="H392" s="12">
        <v>0</v>
      </c>
      <c r="I392" s="11" t="s">
        <v>2854</v>
      </c>
    </row>
    <row r="393" spans="1:9" ht="15" customHeight="1" x14ac:dyDescent="0.25">
      <c r="A393" s="14" t="s">
        <v>2855</v>
      </c>
      <c r="B393" s="11" t="s">
        <v>2856</v>
      </c>
      <c r="C393" s="11" t="s">
        <v>2172</v>
      </c>
      <c r="D393" s="11" t="s">
        <v>922</v>
      </c>
      <c r="E393" s="13">
        <v>0</v>
      </c>
      <c r="F393" s="13">
        <v>0</v>
      </c>
      <c r="G393" s="11" t="s">
        <v>2169</v>
      </c>
      <c r="H393" s="12">
        <v>0</v>
      </c>
      <c r="I393" s="11" t="s">
        <v>2857</v>
      </c>
    </row>
    <row r="394" spans="1:9" ht="15" customHeight="1" x14ac:dyDescent="0.25">
      <c r="A394" s="14" t="s">
        <v>2858</v>
      </c>
      <c r="B394" s="11" t="s">
        <v>2859</v>
      </c>
      <c r="C394" s="11" t="s">
        <v>2251</v>
      </c>
      <c r="D394" s="11" t="s">
        <v>1005</v>
      </c>
      <c r="E394" s="13">
        <v>2</v>
      </c>
      <c r="F394" s="13">
        <v>0</v>
      </c>
      <c r="G394" s="11" t="s">
        <v>2161</v>
      </c>
      <c r="H394" s="12">
        <v>2</v>
      </c>
      <c r="I394" s="11" t="s">
        <v>152</v>
      </c>
    </row>
    <row r="395" spans="1:9" ht="15" customHeight="1" x14ac:dyDescent="0.25">
      <c r="A395" s="14" t="s">
        <v>2860</v>
      </c>
      <c r="B395" s="11" t="s">
        <v>2861</v>
      </c>
      <c r="C395" s="11" t="s">
        <v>2278</v>
      </c>
      <c r="D395" s="11" t="s">
        <v>922</v>
      </c>
      <c r="E395" s="13">
        <v>0</v>
      </c>
      <c r="F395" s="13">
        <v>0</v>
      </c>
      <c r="G395" s="11" t="s">
        <v>2169</v>
      </c>
      <c r="H395" s="12">
        <v>0</v>
      </c>
      <c r="I395" s="11" t="s">
        <v>1613</v>
      </c>
    </row>
    <row r="396" spans="1:9" ht="15" customHeight="1" x14ac:dyDescent="0.25">
      <c r="A396" s="14" t="s">
        <v>2862</v>
      </c>
      <c r="B396" s="11" t="s">
        <v>2863</v>
      </c>
      <c r="C396" s="11" t="s">
        <v>2278</v>
      </c>
      <c r="D396" s="11" t="s">
        <v>922</v>
      </c>
      <c r="E396" s="13">
        <v>30</v>
      </c>
      <c r="F396" s="13">
        <v>0</v>
      </c>
      <c r="G396" s="11" t="s">
        <v>2161</v>
      </c>
      <c r="H396" s="12">
        <v>2422800</v>
      </c>
      <c r="I396" s="11" t="s">
        <v>50</v>
      </c>
    </row>
    <row r="397" spans="1:9" ht="15" customHeight="1" x14ac:dyDescent="0.25">
      <c r="A397" s="14" t="s">
        <v>2864</v>
      </c>
      <c r="B397" s="11" t="s">
        <v>2865</v>
      </c>
      <c r="C397" s="11" t="s">
        <v>2460</v>
      </c>
      <c r="D397" s="11" t="s">
        <v>1005</v>
      </c>
      <c r="E397" s="13">
        <v>0</v>
      </c>
      <c r="F397" s="13">
        <v>0</v>
      </c>
      <c r="G397" s="11" t="s">
        <v>2169</v>
      </c>
      <c r="H397" s="12">
        <v>0</v>
      </c>
      <c r="I397" s="11" t="s">
        <v>2866</v>
      </c>
    </row>
    <row r="398" spans="1:9" ht="15" customHeight="1" x14ac:dyDescent="0.25">
      <c r="A398" s="14" t="s">
        <v>2867</v>
      </c>
      <c r="B398" s="11" t="s">
        <v>1517</v>
      </c>
      <c r="C398" s="11" t="s">
        <v>2262</v>
      </c>
      <c r="D398" s="11" t="s">
        <v>922</v>
      </c>
      <c r="E398" s="13">
        <v>2</v>
      </c>
      <c r="F398" s="13">
        <v>0</v>
      </c>
      <c r="G398" s="11" t="s">
        <v>2161</v>
      </c>
      <c r="H398" s="12">
        <v>640000</v>
      </c>
      <c r="I398" s="11" t="s">
        <v>347</v>
      </c>
    </row>
    <row r="399" spans="1:9" ht="15" customHeight="1" x14ac:dyDescent="0.25">
      <c r="A399" s="14" t="s">
        <v>2868</v>
      </c>
      <c r="B399" s="11" t="s">
        <v>2869</v>
      </c>
      <c r="C399" s="11" t="s">
        <v>2190</v>
      </c>
      <c r="D399" s="11" t="s">
        <v>1005</v>
      </c>
      <c r="E399" s="13">
        <v>2000</v>
      </c>
      <c r="F399" s="13">
        <v>0</v>
      </c>
      <c r="G399" s="11" t="s">
        <v>2161</v>
      </c>
      <c r="H399" s="12">
        <v>480000</v>
      </c>
      <c r="I399" s="11" t="s">
        <v>346</v>
      </c>
    </row>
    <row r="400" spans="1:9" ht="15" customHeight="1" x14ac:dyDescent="0.25">
      <c r="A400" s="14" t="s">
        <v>2870</v>
      </c>
      <c r="B400" s="11" t="s">
        <v>2871</v>
      </c>
      <c r="C400" s="11" t="s">
        <v>2262</v>
      </c>
      <c r="D400" s="11" t="s">
        <v>2200</v>
      </c>
      <c r="E400" s="13">
        <v>0</v>
      </c>
      <c r="F400" s="13">
        <v>0</v>
      </c>
      <c r="G400" s="11" t="s">
        <v>2169</v>
      </c>
      <c r="H400" s="12">
        <v>0</v>
      </c>
      <c r="I400" s="11" t="s">
        <v>1838</v>
      </c>
    </row>
    <row r="401" spans="1:9" ht="15" customHeight="1" x14ac:dyDescent="0.25">
      <c r="A401" s="14" t="s">
        <v>2872</v>
      </c>
      <c r="B401" s="11" t="s">
        <v>930</v>
      </c>
      <c r="C401" s="11" t="s">
        <v>2193</v>
      </c>
      <c r="D401" s="11" t="s">
        <v>922</v>
      </c>
      <c r="E401" s="13">
        <v>555</v>
      </c>
      <c r="F401" s="13">
        <v>0</v>
      </c>
      <c r="G401" s="11" t="s">
        <v>2161</v>
      </c>
      <c r="H401" s="12">
        <v>24682699.9815</v>
      </c>
      <c r="I401" s="11" t="s">
        <v>162</v>
      </c>
    </row>
    <row r="402" spans="1:9" ht="15" customHeight="1" x14ac:dyDescent="0.25">
      <c r="A402" s="14" t="s">
        <v>2873</v>
      </c>
      <c r="B402" s="11" t="s">
        <v>931</v>
      </c>
      <c r="C402" s="11" t="s">
        <v>2193</v>
      </c>
      <c r="D402" s="11" t="s">
        <v>922</v>
      </c>
      <c r="E402" s="13">
        <v>0</v>
      </c>
      <c r="F402" s="13">
        <v>0</v>
      </c>
      <c r="G402" s="11" t="s">
        <v>2169</v>
      </c>
      <c r="H402" s="12">
        <v>0</v>
      </c>
      <c r="I402" s="11" t="s">
        <v>932</v>
      </c>
    </row>
    <row r="403" spans="1:9" ht="15" customHeight="1" x14ac:dyDescent="0.25">
      <c r="A403" s="14" t="s">
        <v>2874</v>
      </c>
      <c r="B403" s="11" t="s">
        <v>935</v>
      </c>
      <c r="C403" s="11" t="s">
        <v>2193</v>
      </c>
      <c r="D403" s="11" t="s">
        <v>922</v>
      </c>
      <c r="E403" s="13">
        <v>465</v>
      </c>
      <c r="F403" s="13">
        <v>0</v>
      </c>
      <c r="G403" s="11" t="s">
        <v>2161</v>
      </c>
      <c r="H403" s="12">
        <v>12666600</v>
      </c>
      <c r="I403" s="11" t="s">
        <v>394</v>
      </c>
    </row>
    <row r="404" spans="1:9" ht="15" customHeight="1" x14ac:dyDescent="0.25">
      <c r="A404" s="14" t="s">
        <v>2875</v>
      </c>
      <c r="B404" s="11" t="s">
        <v>936</v>
      </c>
      <c r="C404" s="11" t="s">
        <v>2776</v>
      </c>
      <c r="D404" s="11" t="s">
        <v>1005</v>
      </c>
      <c r="E404" s="13">
        <v>375</v>
      </c>
      <c r="F404" s="13">
        <v>0</v>
      </c>
      <c r="G404" s="11" t="s">
        <v>2161</v>
      </c>
      <c r="H404" s="12">
        <v>375000</v>
      </c>
      <c r="I404" s="11" t="s">
        <v>395</v>
      </c>
    </row>
    <row r="405" spans="1:9" ht="15" customHeight="1" x14ac:dyDescent="0.25">
      <c r="A405" s="14" t="s">
        <v>2876</v>
      </c>
      <c r="B405" s="11" t="s">
        <v>1156</v>
      </c>
      <c r="C405" s="11" t="s">
        <v>2254</v>
      </c>
      <c r="D405" s="11" t="s">
        <v>1005</v>
      </c>
      <c r="E405" s="13">
        <v>14000</v>
      </c>
      <c r="F405" s="13">
        <v>0</v>
      </c>
      <c r="G405" s="11" t="s">
        <v>2161</v>
      </c>
      <c r="H405" s="12">
        <v>4130000</v>
      </c>
      <c r="I405" s="11" t="s">
        <v>45</v>
      </c>
    </row>
    <row r="406" spans="1:9" ht="15" customHeight="1" x14ac:dyDescent="0.25">
      <c r="A406" s="14" t="s">
        <v>2877</v>
      </c>
      <c r="B406" s="11" t="s">
        <v>937</v>
      </c>
      <c r="C406" s="11" t="s">
        <v>2254</v>
      </c>
      <c r="D406" s="11" t="s">
        <v>1005</v>
      </c>
      <c r="E406" s="13">
        <v>2200</v>
      </c>
      <c r="F406" s="13">
        <v>0</v>
      </c>
      <c r="G406" s="11" t="s">
        <v>2161</v>
      </c>
      <c r="H406" s="12">
        <v>594000</v>
      </c>
      <c r="I406" s="11" t="s">
        <v>83</v>
      </c>
    </row>
    <row r="407" spans="1:9" ht="15" customHeight="1" x14ac:dyDescent="0.25">
      <c r="A407" s="14" t="s">
        <v>2878</v>
      </c>
      <c r="B407" s="11" t="s">
        <v>938</v>
      </c>
      <c r="C407" s="11" t="s">
        <v>2254</v>
      </c>
      <c r="D407" s="11" t="s">
        <v>1005</v>
      </c>
      <c r="E407" s="13">
        <v>600</v>
      </c>
      <c r="F407" s="13">
        <v>0</v>
      </c>
      <c r="G407" s="11" t="s">
        <v>2161</v>
      </c>
      <c r="H407" s="12">
        <v>222000</v>
      </c>
      <c r="I407" s="11" t="s">
        <v>396</v>
      </c>
    </row>
    <row r="408" spans="1:9" ht="15" customHeight="1" x14ac:dyDescent="0.25">
      <c r="A408" s="14" t="s">
        <v>2879</v>
      </c>
      <c r="B408" s="11" t="s">
        <v>939</v>
      </c>
      <c r="C408" s="11" t="s">
        <v>2254</v>
      </c>
      <c r="D408" s="11" t="s">
        <v>1005</v>
      </c>
      <c r="E408" s="13">
        <v>1225</v>
      </c>
      <c r="F408" s="13">
        <v>0</v>
      </c>
      <c r="G408" s="11" t="s">
        <v>2161</v>
      </c>
      <c r="H408" s="12">
        <v>3583125</v>
      </c>
      <c r="I408" s="11" t="s">
        <v>397</v>
      </c>
    </row>
    <row r="409" spans="1:9" ht="15" customHeight="1" x14ac:dyDescent="0.25">
      <c r="A409" s="14" t="s">
        <v>2880</v>
      </c>
      <c r="B409" s="11" t="s">
        <v>940</v>
      </c>
      <c r="C409" s="11" t="s">
        <v>2254</v>
      </c>
      <c r="D409" s="11" t="s">
        <v>1005</v>
      </c>
      <c r="E409" s="13">
        <v>675</v>
      </c>
      <c r="F409" s="13">
        <v>0</v>
      </c>
      <c r="G409" s="11" t="s">
        <v>2161</v>
      </c>
      <c r="H409" s="12">
        <v>2443500</v>
      </c>
      <c r="I409" s="11" t="s">
        <v>398</v>
      </c>
    </row>
    <row r="410" spans="1:9" ht="15" customHeight="1" x14ac:dyDescent="0.25">
      <c r="A410" s="14" t="s">
        <v>2881</v>
      </c>
      <c r="B410" s="11" t="s">
        <v>941</v>
      </c>
      <c r="C410" s="11" t="s">
        <v>2254</v>
      </c>
      <c r="D410" s="11" t="s">
        <v>1005</v>
      </c>
      <c r="E410" s="13">
        <v>1043</v>
      </c>
      <c r="F410" s="13">
        <v>0</v>
      </c>
      <c r="G410" s="11" t="s">
        <v>2161</v>
      </c>
      <c r="H410" s="12">
        <v>2033850</v>
      </c>
      <c r="I410" s="11" t="s">
        <v>399</v>
      </c>
    </row>
    <row r="411" spans="1:9" ht="15" customHeight="1" x14ac:dyDescent="0.25">
      <c r="A411" s="14" t="s">
        <v>2882</v>
      </c>
      <c r="B411" s="11" t="s">
        <v>942</v>
      </c>
      <c r="C411" s="11" t="s">
        <v>2254</v>
      </c>
      <c r="D411" s="11" t="s">
        <v>1005</v>
      </c>
      <c r="E411" s="13">
        <v>2300</v>
      </c>
      <c r="F411" s="13">
        <v>0</v>
      </c>
      <c r="G411" s="11" t="s">
        <v>2161</v>
      </c>
      <c r="H411" s="12">
        <v>2530000</v>
      </c>
      <c r="I411" s="11" t="s">
        <v>400</v>
      </c>
    </row>
    <row r="412" spans="1:9" ht="15" customHeight="1" x14ac:dyDescent="0.25">
      <c r="A412" s="14" t="s">
        <v>2883</v>
      </c>
      <c r="B412" s="11" t="s">
        <v>943</v>
      </c>
      <c r="C412" s="11" t="s">
        <v>2254</v>
      </c>
      <c r="D412" s="11" t="s">
        <v>1005</v>
      </c>
      <c r="E412" s="13">
        <v>14850</v>
      </c>
      <c r="F412" s="13">
        <v>0</v>
      </c>
      <c r="G412" s="11" t="s">
        <v>2161</v>
      </c>
      <c r="H412" s="12">
        <v>5197500</v>
      </c>
      <c r="I412" s="11" t="s">
        <v>401</v>
      </c>
    </row>
    <row r="413" spans="1:9" ht="15" customHeight="1" x14ac:dyDescent="0.25">
      <c r="A413" s="14" t="s">
        <v>2884</v>
      </c>
      <c r="B413" s="11" t="s">
        <v>944</v>
      </c>
      <c r="C413" s="11" t="s">
        <v>2254</v>
      </c>
      <c r="D413" s="11" t="s">
        <v>1005</v>
      </c>
      <c r="E413" s="13">
        <v>5800</v>
      </c>
      <c r="F413" s="13">
        <v>0</v>
      </c>
      <c r="G413" s="11" t="s">
        <v>2161</v>
      </c>
      <c r="H413" s="12">
        <v>2726000</v>
      </c>
      <c r="I413" s="11" t="s">
        <v>402</v>
      </c>
    </row>
    <row r="414" spans="1:9" ht="15" customHeight="1" x14ac:dyDescent="0.25">
      <c r="A414" s="14" t="s">
        <v>2885</v>
      </c>
      <c r="B414" s="11" t="s">
        <v>1516</v>
      </c>
      <c r="C414" s="11" t="s">
        <v>2262</v>
      </c>
      <c r="D414" s="11" t="s">
        <v>922</v>
      </c>
      <c r="E414" s="13">
        <v>15.2</v>
      </c>
      <c r="F414" s="13">
        <v>0</v>
      </c>
      <c r="G414" s="11" t="s">
        <v>2161</v>
      </c>
      <c r="H414" s="12">
        <v>1520000</v>
      </c>
      <c r="I414" s="11" t="s">
        <v>403</v>
      </c>
    </row>
    <row r="415" spans="1:9" ht="15" customHeight="1" x14ac:dyDescent="0.25">
      <c r="A415" s="14" t="s">
        <v>2886</v>
      </c>
      <c r="B415" s="11" t="s">
        <v>1515</v>
      </c>
      <c r="C415" s="11" t="s">
        <v>2262</v>
      </c>
      <c r="D415" s="11" t="s">
        <v>922</v>
      </c>
      <c r="E415" s="13">
        <v>15.5</v>
      </c>
      <c r="F415" s="13">
        <v>0</v>
      </c>
      <c r="G415" s="11" t="s">
        <v>2161</v>
      </c>
      <c r="H415" s="12">
        <v>2325000</v>
      </c>
      <c r="I415" s="11" t="s">
        <v>404</v>
      </c>
    </row>
    <row r="416" spans="1:9" ht="15" customHeight="1" x14ac:dyDescent="0.25">
      <c r="A416" s="14" t="s">
        <v>2887</v>
      </c>
      <c r="B416" s="11" t="s">
        <v>955</v>
      </c>
      <c r="C416" s="11" t="s">
        <v>2491</v>
      </c>
      <c r="D416" s="11" t="s">
        <v>922</v>
      </c>
      <c r="E416" s="13">
        <v>1</v>
      </c>
      <c r="F416" s="13">
        <v>0</v>
      </c>
      <c r="G416" s="11" t="s">
        <v>2161</v>
      </c>
      <c r="H416" s="12">
        <v>277500</v>
      </c>
      <c r="I416" s="11" t="s">
        <v>405</v>
      </c>
    </row>
    <row r="417" spans="1:9" ht="15" customHeight="1" x14ac:dyDescent="0.25">
      <c r="A417" s="14" t="s">
        <v>2888</v>
      </c>
      <c r="B417" s="11" t="s">
        <v>956</v>
      </c>
      <c r="C417" s="11" t="s">
        <v>2491</v>
      </c>
      <c r="D417" s="11" t="s">
        <v>922</v>
      </c>
      <c r="E417" s="13">
        <v>0</v>
      </c>
      <c r="F417" s="13">
        <v>0</v>
      </c>
      <c r="G417" s="11" t="s">
        <v>2169</v>
      </c>
      <c r="H417" s="12">
        <v>0</v>
      </c>
      <c r="I417" s="11" t="s">
        <v>957</v>
      </c>
    </row>
    <row r="418" spans="1:9" ht="15" customHeight="1" x14ac:dyDescent="0.25">
      <c r="A418" s="14" t="s">
        <v>2889</v>
      </c>
      <c r="B418" s="11" t="s">
        <v>958</v>
      </c>
      <c r="C418" s="11" t="s">
        <v>2491</v>
      </c>
      <c r="D418" s="11" t="s">
        <v>1005</v>
      </c>
      <c r="E418" s="13">
        <v>39</v>
      </c>
      <c r="F418" s="13">
        <v>0</v>
      </c>
      <c r="G418" s="11" t="s">
        <v>2161</v>
      </c>
      <c r="H418" s="12">
        <v>265416.66840000002</v>
      </c>
      <c r="I418" s="11" t="s">
        <v>173</v>
      </c>
    </row>
    <row r="419" spans="1:9" ht="15" customHeight="1" x14ac:dyDescent="0.25">
      <c r="A419" s="14" t="s">
        <v>2890</v>
      </c>
      <c r="B419" s="11" t="s">
        <v>961</v>
      </c>
      <c r="C419" s="11" t="s">
        <v>2491</v>
      </c>
      <c r="D419" s="11" t="s">
        <v>1005</v>
      </c>
      <c r="E419" s="13">
        <v>25</v>
      </c>
      <c r="F419" s="13">
        <v>0</v>
      </c>
      <c r="G419" s="11" t="s">
        <v>2161</v>
      </c>
      <c r="H419" s="12">
        <v>182729.125</v>
      </c>
      <c r="I419" s="11" t="s">
        <v>406</v>
      </c>
    </row>
    <row r="420" spans="1:9" ht="15" customHeight="1" x14ac:dyDescent="0.25">
      <c r="A420" s="14" t="s">
        <v>2891</v>
      </c>
      <c r="B420" s="11" t="s">
        <v>2892</v>
      </c>
      <c r="C420" s="11" t="s">
        <v>2491</v>
      </c>
      <c r="D420" s="11" t="s">
        <v>922</v>
      </c>
      <c r="E420" s="13">
        <v>50</v>
      </c>
      <c r="F420" s="13">
        <v>0</v>
      </c>
      <c r="G420" s="11" t="s">
        <v>2161</v>
      </c>
      <c r="H420" s="12">
        <v>3102450</v>
      </c>
      <c r="I420" s="11" t="s">
        <v>348</v>
      </c>
    </row>
    <row r="421" spans="1:9" ht="15" customHeight="1" x14ac:dyDescent="0.25">
      <c r="A421" s="14" t="s">
        <v>2893</v>
      </c>
      <c r="B421" s="11" t="s">
        <v>2894</v>
      </c>
      <c r="C421" s="11" t="s">
        <v>2172</v>
      </c>
      <c r="D421" s="11" t="s">
        <v>922</v>
      </c>
      <c r="E421" s="13">
        <v>70</v>
      </c>
      <c r="F421" s="13">
        <v>0</v>
      </c>
      <c r="G421" s="11" t="s">
        <v>2161</v>
      </c>
      <c r="H421" s="12">
        <v>8400000</v>
      </c>
      <c r="I421" s="11" t="s">
        <v>349</v>
      </c>
    </row>
    <row r="422" spans="1:9" ht="15" customHeight="1" x14ac:dyDescent="0.25">
      <c r="A422" s="14" t="s">
        <v>2895</v>
      </c>
      <c r="B422" s="11" t="s">
        <v>2896</v>
      </c>
      <c r="C422" s="11" t="s">
        <v>2491</v>
      </c>
      <c r="D422" s="11" t="s">
        <v>1005</v>
      </c>
      <c r="E422" s="13">
        <v>297</v>
      </c>
      <c r="F422" s="13">
        <v>0</v>
      </c>
      <c r="G422" s="11" t="s">
        <v>2161</v>
      </c>
      <c r="H422" s="12">
        <v>1782000</v>
      </c>
      <c r="I422" s="11" t="s">
        <v>350</v>
      </c>
    </row>
    <row r="423" spans="1:9" ht="15" customHeight="1" x14ac:dyDescent="0.25">
      <c r="A423" s="14" t="s">
        <v>2897</v>
      </c>
      <c r="B423" s="11" t="s">
        <v>962</v>
      </c>
      <c r="C423" s="11" t="s">
        <v>2491</v>
      </c>
      <c r="D423" s="11" t="s">
        <v>1005</v>
      </c>
      <c r="E423" s="13">
        <v>0</v>
      </c>
      <c r="F423" s="13">
        <v>0</v>
      </c>
      <c r="G423" s="11" t="s">
        <v>2169</v>
      </c>
      <c r="H423" s="12">
        <v>0</v>
      </c>
      <c r="I423" s="11" t="s">
        <v>963</v>
      </c>
    </row>
    <row r="424" spans="1:9" ht="15" customHeight="1" x14ac:dyDescent="0.25">
      <c r="A424" s="14" t="s">
        <v>2898</v>
      </c>
      <c r="B424" s="11" t="s">
        <v>966</v>
      </c>
      <c r="C424" s="11" t="s">
        <v>2491</v>
      </c>
      <c r="D424" s="11" t="s">
        <v>922</v>
      </c>
      <c r="E424" s="13">
        <v>160</v>
      </c>
      <c r="F424" s="13">
        <v>0</v>
      </c>
      <c r="G424" s="11" t="s">
        <v>2161</v>
      </c>
      <c r="H424" s="12">
        <v>20800000</v>
      </c>
      <c r="I424" s="11" t="s">
        <v>407</v>
      </c>
    </row>
    <row r="425" spans="1:9" ht="15" customHeight="1" x14ac:dyDescent="0.25">
      <c r="A425" s="14" t="s">
        <v>2899</v>
      </c>
      <c r="B425" s="11" t="s">
        <v>2900</v>
      </c>
      <c r="C425" s="11" t="s">
        <v>2491</v>
      </c>
      <c r="D425" s="11" t="s">
        <v>922</v>
      </c>
      <c r="E425" s="13">
        <v>0</v>
      </c>
      <c r="F425" s="13">
        <v>0</v>
      </c>
      <c r="G425" s="11" t="s">
        <v>2169</v>
      </c>
      <c r="H425" s="12">
        <v>0</v>
      </c>
      <c r="I425" s="11" t="s">
        <v>1534</v>
      </c>
    </row>
    <row r="426" spans="1:9" ht="15" customHeight="1" x14ac:dyDescent="0.25">
      <c r="A426" s="14" t="s">
        <v>2901</v>
      </c>
      <c r="B426" s="11" t="s">
        <v>2902</v>
      </c>
      <c r="C426" s="11" t="s">
        <v>2453</v>
      </c>
      <c r="D426" s="11" t="s">
        <v>2200</v>
      </c>
      <c r="E426" s="13">
        <v>16000</v>
      </c>
      <c r="F426" s="13">
        <v>0</v>
      </c>
      <c r="G426" s="11" t="s">
        <v>2161</v>
      </c>
      <c r="H426" s="12">
        <v>710400</v>
      </c>
      <c r="I426" s="11" t="s">
        <v>33</v>
      </c>
    </row>
    <row r="427" spans="1:9" ht="15" customHeight="1" x14ac:dyDescent="0.25">
      <c r="A427" s="14" t="s">
        <v>2903</v>
      </c>
      <c r="B427" s="11" t="s">
        <v>2904</v>
      </c>
      <c r="C427" s="11" t="s">
        <v>2453</v>
      </c>
      <c r="D427" s="11" t="s">
        <v>922</v>
      </c>
      <c r="E427" s="13">
        <v>0</v>
      </c>
      <c r="F427" s="13">
        <v>0</v>
      </c>
      <c r="G427" s="11" t="s">
        <v>2169</v>
      </c>
      <c r="H427" s="12">
        <v>0</v>
      </c>
      <c r="I427" s="11" t="s">
        <v>968</v>
      </c>
    </row>
    <row r="428" spans="1:9" ht="15" customHeight="1" x14ac:dyDescent="0.25">
      <c r="A428" s="14" t="s">
        <v>2905</v>
      </c>
      <c r="B428" s="11" t="s">
        <v>971</v>
      </c>
      <c r="C428" s="11" t="s">
        <v>2187</v>
      </c>
      <c r="D428" s="11" t="s">
        <v>1005</v>
      </c>
      <c r="E428" s="13">
        <v>0</v>
      </c>
      <c r="F428" s="13">
        <v>0</v>
      </c>
      <c r="G428" s="11" t="s">
        <v>2169</v>
      </c>
      <c r="H428" s="12">
        <v>0</v>
      </c>
      <c r="I428" s="11" t="s">
        <v>972</v>
      </c>
    </row>
    <row r="429" spans="1:9" ht="15" customHeight="1" x14ac:dyDescent="0.25">
      <c r="A429" s="14" t="s">
        <v>2906</v>
      </c>
      <c r="B429" s="11" t="s">
        <v>977</v>
      </c>
      <c r="C429" s="11" t="s">
        <v>2187</v>
      </c>
      <c r="D429" s="11" t="s">
        <v>1005</v>
      </c>
      <c r="E429" s="13">
        <v>0</v>
      </c>
      <c r="F429" s="13">
        <v>0</v>
      </c>
      <c r="G429" s="11" t="s">
        <v>2169</v>
      </c>
      <c r="H429" s="12">
        <v>0</v>
      </c>
      <c r="I429" s="11" t="s">
        <v>51</v>
      </c>
    </row>
    <row r="430" spans="1:9" ht="15" customHeight="1" x14ac:dyDescent="0.25">
      <c r="A430" s="14" t="s">
        <v>2907</v>
      </c>
      <c r="B430" s="11" t="s">
        <v>980</v>
      </c>
      <c r="C430" s="11" t="s">
        <v>2187</v>
      </c>
      <c r="D430" s="11" t="s">
        <v>1005</v>
      </c>
      <c r="E430" s="13">
        <v>0</v>
      </c>
      <c r="F430" s="13">
        <v>0</v>
      </c>
      <c r="G430" s="11" t="s">
        <v>2169</v>
      </c>
      <c r="H430" s="12">
        <v>0</v>
      </c>
      <c r="I430" s="11" t="s">
        <v>115</v>
      </c>
    </row>
    <row r="431" spans="1:9" ht="15" customHeight="1" x14ac:dyDescent="0.25">
      <c r="A431" s="14" t="s">
        <v>2908</v>
      </c>
      <c r="B431" s="11" t="s">
        <v>981</v>
      </c>
      <c r="C431" s="11" t="s">
        <v>2187</v>
      </c>
      <c r="D431" s="11" t="s">
        <v>1005</v>
      </c>
      <c r="E431" s="13">
        <v>0</v>
      </c>
      <c r="F431" s="13">
        <v>0</v>
      </c>
      <c r="G431" s="11" t="s">
        <v>2169</v>
      </c>
      <c r="H431" s="12">
        <v>0</v>
      </c>
      <c r="I431" s="11" t="s">
        <v>982</v>
      </c>
    </row>
    <row r="432" spans="1:9" ht="15" customHeight="1" x14ac:dyDescent="0.25">
      <c r="A432" s="14" t="s">
        <v>2909</v>
      </c>
      <c r="B432" s="11" t="s">
        <v>2910</v>
      </c>
      <c r="C432" s="11" t="s">
        <v>2911</v>
      </c>
      <c r="D432" s="11" t="s">
        <v>2391</v>
      </c>
      <c r="E432" s="13">
        <v>0</v>
      </c>
      <c r="F432" s="13">
        <v>0</v>
      </c>
      <c r="G432" s="11" t="s">
        <v>2169</v>
      </c>
      <c r="H432" s="12">
        <v>0</v>
      </c>
      <c r="I432" s="11" t="s">
        <v>1832</v>
      </c>
    </row>
    <row r="433" spans="1:9" ht="15" customHeight="1" x14ac:dyDescent="0.25">
      <c r="A433" s="14" t="s">
        <v>2912</v>
      </c>
      <c r="B433" s="11" t="s">
        <v>2913</v>
      </c>
      <c r="C433" s="11" t="s">
        <v>2318</v>
      </c>
      <c r="D433" s="11" t="s">
        <v>2200</v>
      </c>
      <c r="E433" s="13">
        <v>0</v>
      </c>
      <c r="F433" s="13">
        <v>0</v>
      </c>
      <c r="G433" s="11" t="s">
        <v>2169</v>
      </c>
      <c r="H433" s="12">
        <v>0</v>
      </c>
      <c r="I433" s="11" t="s">
        <v>1824</v>
      </c>
    </row>
    <row r="434" spans="1:9" ht="15" customHeight="1" x14ac:dyDescent="0.25">
      <c r="A434" s="14" t="s">
        <v>2914</v>
      </c>
      <c r="B434" s="11" t="s">
        <v>985</v>
      </c>
      <c r="C434" s="11" t="s">
        <v>2251</v>
      </c>
      <c r="D434" s="11" t="s">
        <v>922</v>
      </c>
      <c r="E434" s="13">
        <v>0</v>
      </c>
      <c r="F434" s="13">
        <v>0</v>
      </c>
      <c r="G434" s="11" t="s">
        <v>2169</v>
      </c>
      <c r="H434" s="12">
        <v>0</v>
      </c>
      <c r="I434" s="11" t="s">
        <v>986</v>
      </c>
    </row>
    <row r="435" spans="1:9" ht="15" customHeight="1" x14ac:dyDescent="0.25">
      <c r="A435" s="14" t="s">
        <v>2915</v>
      </c>
      <c r="B435" s="11" t="s">
        <v>2916</v>
      </c>
      <c r="C435" s="11" t="s">
        <v>2460</v>
      </c>
      <c r="D435" s="11" t="s">
        <v>1005</v>
      </c>
      <c r="E435" s="13">
        <v>0</v>
      </c>
      <c r="F435" s="13">
        <v>0</v>
      </c>
      <c r="G435" s="11" t="s">
        <v>2169</v>
      </c>
      <c r="H435" s="12">
        <v>0</v>
      </c>
      <c r="I435" s="11" t="s">
        <v>2917</v>
      </c>
    </row>
    <row r="436" spans="1:9" ht="15" customHeight="1" x14ac:dyDescent="0.25">
      <c r="A436" s="14" t="s">
        <v>2918</v>
      </c>
      <c r="B436" s="11" t="s">
        <v>2919</v>
      </c>
      <c r="C436" s="11" t="s">
        <v>2491</v>
      </c>
      <c r="D436" s="11" t="s">
        <v>1222</v>
      </c>
      <c r="E436" s="13">
        <v>570</v>
      </c>
      <c r="F436" s="13">
        <v>0</v>
      </c>
      <c r="G436" s="11" t="s">
        <v>2161</v>
      </c>
      <c r="H436" s="12">
        <v>114000</v>
      </c>
      <c r="I436" s="11" t="s">
        <v>351</v>
      </c>
    </row>
    <row r="437" spans="1:9" ht="15" customHeight="1" x14ac:dyDescent="0.25">
      <c r="A437" s="14" t="s">
        <v>2920</v>
      </c>
      <c r="B437" s="11" t="s">
        <v>2921</v>
      </c>
      <c r="C437" s="11" t="s">
        <v>2491</v>
      </c>
      <c r="D437" s="11" t="s">
        <v>1222</v>
      </c>
      <c r="E437" s="13">
        <v>0</v>
      </c>
      <c r="F437" s="13">
        <v>0</v>
      </c>
      <c r="G437" s="11" t="s">
        <v>2169</v>
      </c>
      <c r="H437" s="12">
        <v>0</v>
      </c>
      <c r="I437" s="11" t="s">
        <v>1586</v>
      </c>
    </row>
    <row r="438" spans="1:9" ht="15" customHeight="1" x14ac:dyDescent="0.25">
      <c r="A438" s="14" t="s">
        <v>2922</v>
      </c>
      <c r="B438" s="11" t="s">
        <v>2923</v>
      </c>
      <c r="C438" s="11" t="s">
        <v>2491</v>
      </c>
      <c r="D438" s="11" t="s">
        <v>1222</v>
      </c>
      <c r="E438" s="13">
        <v>0</v>
      </c>
      <c r="F438" s="13">
        <v>0</v>
      </c>
      <c r="G438" s="11" t="s">
        <v>2169</v>
      </c>
      <c r="H438" s="12">
        <v>0</v>
      </c>
      <c r="I438" s="11" t="s">
        <v>1629</v>
      </c>
    </row>
    <row r="439" spans="1:9" ht="15" customHeight="1" x14ac:dyDescent="0.25">
      <c r="A439" s="14" t="s">
        <v>2924</v>
      </c>
      <c r="B439" s="11" t="s">
        <v>2925</v>
      </c>
      <c r="C439" s="11" t="s">
        <v>2491</v>
      </c>
      <c r="D439" s="11" t="s">
        <v>1222</v>
      </c>
      <c r="E439" s="13">
        <v>120</v>
      </c>
      <c r="F439" s="13">
        <v>0</v>
      </c>
      <c r="G439" s="11" t="s">
        <v>2161</v>
      </c>
      <c r="H439" s="12">
        <v>110000.004</v>
      </c>
      <c r="I439" s="11" t="s">
        <v>170</v>
      </c>
    </row>
    <row r="440" spans="1:9" ht="15" customHeight="1" x14ac:dyDescent="0.25">
      <c r="A440" s="14" t="s">
        <v>2926</v>
      </c>
      <c r="B440" s="11" t="s">
        <v>2927</v>
      </c>
      <c r="C440" s="11" t="s">
        <v>2491</v>
      </c>
      <c r="D440" s="11" t="s">
        <v>1222</v>
      </c>
      <c r="E440" s="13">
        <v>900</v>
      </c>
      <c r="F440" s="13">
        <v>0</v>
      </c>
      <c r="G440" s="11" t="s">
        <v>2161</v>
      </c>
      <c r="H440" s="12">
        <v>277499.96999999997</v>
      </c>
      <c r="I440" s="11" t="s">
        <v>159</v>
      </c>
    </row>
    <row r="441" spans="1:9" ht="15" customHeight="1" x14ac:dyDescent="0.25">
      <c r="A441" s="14" t="s">
        <v>2928</v>
      </c>
      <c r="B441" s="11" t="s">
        <v>2929</v>
      </c>
      <c r="C441" s="11" t="s">
        <v>2491</v>
      </c>
      <c r="D441" s="11" t="s">
        <v>1222</v>
      </c>
      <c r="E441" s="13">
        <v>0</v>
      </c>
      <c r="F441" s="13">
        <v>0</v>
      </c>
      <c r="G441" s="11" t="s">
        <v>2169</v>
      </c>
      <c r="H441" s="12">
        <v>0</v>
      </c>
      <c r="I441" s="11" t="s">
        <v>1639</v>
      </c>
    </row>
    <row r="442" spans="1:9" ht="15" customHeight="1" x14ac:dyDescent="0.25">
      <c r="A442" s="14" t="s">
        <v>2930</v>
      </c>
      <c r="B442" s="11" t="s">
        <v>2931</v>
      </c>
      <c r="C442" s="11" t="s">
        <v>2491</v>
      </c>
      <c r="D442" s="11" t="s">
        <v>1222</v>
      </c>
      <c r="E442" s="13">
        <v>60</v>
      </c>
      <c r="F442" s="13">
        <v>0</v>
      </c>
      <c r="G442" s="11" t="s">
        <v>2161</v>
      </c>
      <c r="H442" s="12">
        <v>30000</v>
      </c>
      <c r="I442" s="11" t="s">
        <v>357</v>
      </c>
    </row>
    <row r="443" spans="1:9" ht="15" customHeight="1" x14ac:dyDescent="0.25">
      <c r="A443" s="14" t="s">
        <v>2932</v>
      </c>
      <c r="B443" s="11" t="s">
        <v>2933</v>
      </c>
      <c r="C443" s="11" t="s">
        <v>2491</v>
      </c>
      <c r="D443" s="11" t="s">
        <v>1222</v>
      </c>
      <c r="E443" s="13">
        <v>0</v>
      </c>
      <c r="F443" s="13">
        <v>0</v>
      </c>
      <c r="G443" s="11" t="s">
        <v>2169</v>
      </c>
      <c r="H443" s="12">
        <v>0</v>
      </c>
      <c r="I443" s="11" t="s">
        <v>1635</v>
      </c>
    </row>
    <row r="444" spans="1:9" ht="15" customHeight="1" x14ac:dyDescent="0.25">
      <c r="A444" s="14" t="s">
        <v>2934</v>
      </c>
      <c r="B444" s="11" t="s">
        <v>2935</v>
      </c>
      <c r="C444" s="11" t="s">
        <v>2491</v>
      </c>
      <c r="D444" s="11" t="s">
        <v>1222</v>
      </c>
      <c r="E444" s="13">
        <v>300</v>
      </c>
      <c r="F444" s="13">
        <v>0</v>
      </c>
      <c r="G444" s="11" t="s">
        <v>2161</v>
      </c>
      <c r="H444" s="12">
        <v>150000</v>
      </c>
      <c r="I444" s="11" t="s">
        <v>352</v>
      </c>
    </row>
    <row r="445" spans="1:9" ht="15" customHeight="1" x14ac:dyDescent="0.25">
      <c r="A445" s="14" t="s">
        <v>2936</v>
      </c>
      <c r="B445" s="11" t="s">
        <v>2937</v>
      </c>
      <c r="C445" s="11" t="s">
        <v>2326</v>
      </c>
      <c r="D445" s="11" t="s">
        <v>1222</v>
      </c>
      <c r="E445" s="13">
        <v>240</v>
      </c>
      <c r="F445" s="13">
        <v>0</v>
      </c>
      <c r="G445" s="11" t="s">
        <v>2161</v>
      </c>
      <c r="H445" s="12">
        <v>120000</v>
      </c>
      <c r="I445" s="11" t="s">
        <v>31</v>
      </c>
    </row>
    <row r="446" spans="1:9" ht="15" customHeight="1" x14ac:dyDescent="0.25">
      <c r="A446" s="14" t="s">
        <v>2938</v>
      </c>
      <c r="B446" s="11" t="s">
        <v>2939</v>
      </c>
      <c r="C446" s="11" t="s">
        <v>2491</v>
      </c>
      <c r="D446" s="11" t="s">
        <v>1222</v>
      </c>
      <c r="E446" s="13">
        <v>60</v>
      </c>
      <c r="F446" s="13">
        <v>0</v>
      </c>
      <c r="G446" s="11" t="s">
        <v>2161</v>
      </c>
      <c r="H446" s="12">
        <v>30000</v>
      </c>
      <c r="I446" s="11" t="s">
        <v>353</v>
      </c>
    </row>
    <row r="447" spans="1:9" ht="15" customHeight="1" x14ac:dyDescent="0.25">
      <c r="A447" s="14" t="s">
        <v>2940</v>
      </c>
      <c r="B447" s="11" t="s">
        <v>2941</v>
      </c>
      <c r="C447" s="11" t="s">
        <v>2491</v>
      </c>
      <c r="D447" s="11" t="s">
        <v>1222</v>
      </c>
      <c r="E447" s="13">
        <v>0</v>
      </c>
      <c r="F447" s="13">
        <v>0</v>
      </c>
      <c r="G447" s="11" t="s">
        <v>2169</v>
      </c>
      <c r="H447" s="12">
        <v>0</v>
      </c>
      <c r="I447" s="11" t="s">
        <v>1695</v>
      </c>
    </row>
    <row r="448" spans="1:9" ht="15" customHeight="1" x14ac:dyDescent="0.25">
      <c r="A448" s="14" t="s">
        <v>2942</v>
      </c>
      <c r="B448" s="11" t="s">
        <v>2943</v>
      </c>
      <c r="C448" s="11" t="s">
        <v>2491</v>
      </c>
      <c r="D448" s="11" t="s">
        <v>1222</v>
      </c>
      <c r="E448" s="13">
        <v>2250</v>
      </c>
      <c r="F448" s="13">
        <v>0</v>
      </c>
      <c r="G448" s="11" t="s">
        <v>2161</v>
      </c>
      <c r="H448" s="12">
        <v>1387500.075</v>
      </c>
      <c r="I448" s="11" t="s">
        <v>61</v>
      </c>
    </row>
    <row r="449" spans="1:9" ht="15" customHeight="1" x14ac:dyDescent="0.25">
      <c r="A449" s="14" t="s">
        <v>2944</v>
      </c>
      <c r="B449" s="11" t="s">
        <v>2945</v>
      </c>
      <c r="C449" s="11" t="s">
        <v>2491</v>
      </c>
      <c r="D449" s="11" t="s">
        <v>1222</v>
      </c>
      <c r="E449" s="13">
        <v>600</v>
      </c>
      <c r="F449" s="13">
        <v>0</v>
      </c>
      <c r="G449" s="11" t="s">
        <v>2161</v>
      </c>
      <c r="H449" s="12">
        <v>300000</v>
      </c>
      <c r="I449" s="11" t="s">
        <v>354</v>
      </c>
    </row>
    <row r="450" spans="1:9" ht="15" customHeight="1" x14ac:dyDescent="0.25">
      <c r="A450" s="14" t="s">
        <v>2946</v>
      </c>
      <c r="B450" s="11" t="s">
        <v>2947</v>
      </c>
      <c r="C450" s="11" t="s">
        <v>2491</v>
      </c>
      <c r="D450" s="11" t="s">
        <v>1222</v>
      </c>
      <c r="E450" s="13">
        <v>0</v>
      </c>
      <c r="F450" s="13">
        <v>0</v>
      </c>
      <c r="G450" s="11" t="s">
        <v>2169</v>
      </c>
      <c r="H450" s="12">
        <v>0</v>
      </c>
      <c r="I450" s="11" t="s">
        <v>1693</v>
      </c>
    </row>
    <row r="451" spans="1:9" ht="15" customHeight="1" x14ac:dyDescent="0.25">
      <c r="A451" s="14" t="s">
        <v>2948</v>
      </c>
      <c r="B451" s="11" t="s">
        <v>2949</v>
      </c>
      <c r="C451" s="11" t="s">
        <v>2491</v>
      </c>
      <c r="D451" s="11" t="s">
        <v>1222</v>
      </c>
      <c r="E451" s="13">
        <v>180</v>
      </c>
      <c r="F451" s="13">
        <v>0</v>
      </c>
      <c r="G451" s="11" t="s">
        <v>2161</v>
      </c>
      <c r="H451" s="12">
        <v>90000</v>
      </c>
      <c r="I451" s="11" t="s">
        <v>355</v>
      </c>
    </row>
    <row r="452" spans="1:9" ht="15" customHeight="1" x14ac:dyDescent="0.25">
      <c r="A452" s="14" t="s">
        <v>2950</v>
      </c>
      <c r="B452" s="11" t="s">
        <v>2951</v>
      </c>
      <c r="C452" s="11" t="s">
        <v>2491</v>
      </c>
      <c r="D452" s="11" t="s">
        <v>1222</v>
      </c>
      <c r="E452" s="13">
        <v>0</v>
      </c>
      <c r="F452" s="13">
        <v>0</v>
      </c>
      <c r="G452" s="11" t="s">
        <v>2169</v>
      </c>
      <c r="H452" s="12">
        <v>0</v>
      </c>
      <c r="I452" s="11" t="s">
        <v>1631</v>
      </c>
    </row>
    <row r="453" spans="1:9" ht="15" customHeight="1" x14ac:dyDescent="0.25">
      <c r="A453" s="14" t="s">
        <v>2952</v>
      </c>
      <c r="B453" s="11" t="s">
        <v>2953</v>
      </c>
      <c r="C453" s="11" t="s">
        <v>2491</v>
      </c>
      <c r="D453" s="11" t="s">
        <v>1222</v>
      </c>
      <c r="E453" s="13">
        <v>540</v>
      </c>
      <c r="F453" s="13">
        <v>0</v>
      </c>
      <c r="G453" s="11" t="s">
        <v>2161</v>
      </c>
      <c r="H453" s="12">
        <v>495000.01799999998</v>
      </c>
      <c r="I453" s="11" t="s">
        <v>163</v>
      </c>
    </row>
    <row r="454" spans="1:9" ht="15" customHeight="1" x14ac:dyDescent="0.25">
      <c r="A454" s="14" t="s">
        <v>2954</v>
      </c>
      <c r="B454" s="11" t="s">
        <v>2955</v>
      </c>
      <c r="C454" s="11" t="s">
        <v>2491</v>
      </c>
      <c r="D454" s="11" t="s">
        <v>1222</v>
      </c>
      <c r="E454" s="13">
        <v>0</v>
      </c>
      <c r="F454" s="13">
        <v>0</v>
      </c>
      <c r="G454" s="11" t="s">
        <v>2169</v>
      </c>
      <c r="H454" s="12">
        <v>0</v>
      </c>
      <c r="I454" s="11" t="s">
        <v>1637</v>
      </c>
    </row>
    <row r="455" spans="1:9" ht="15" customHeight="1" x14ac:dyDescent="0.25">
      <c r="A455" s="14" t="s">
        <v>2956</v>
      </c>
      <c r="B455" s="11" t="s">
        <v>2957</v>
      </c>
      <c r="C455" s="11" t="s">
        <v>2491</v>
      </c>
      <c r="D455" s="11" t="s">
        <v>1222</v>
      </c>
      <c r="E455" s="13">
        <v>300</v>
      </c>
      <c r="F455" s="13">
        <v>0</v>
      </c>
      <c r="G455" s="11" t="s">
        <v>2161</v>
      </c>
      <c r="H455" s="12">
        <v>150000</v>
      </c>
      <c r="I455" s="11" t="s">
        <v>356</v>
      </c>
    </row>
    <row r="456" spans="1:9" ht="15" customHeight="1" x14ac:dyDescent="0.25">
      <c r="A456" s="14" t="s">
        <v>2958</v>
      </c>
      <c r="B456" s="11" t="s">
        <v>2959</v>
      </c>
      <c r="C456" s="11" t="s">
        <v>2491</v>
      </c>
      <c r="D456" s="11" t="s">
        <v>1005</v>
      </c>
      <c r="E456" s="13">
        <v>7</v>
      </c>
      <c r="F456" s="13">
        <v>0</v>
      </c>
      <c r="G456" s="11" t="s">
        <v>2161</v>
      </c>
      <c r="H456" s="12">
        <v>25083.3331</v>
      </c>
      <c r="I456" s="11" t="s">
        <v>176</v>
      </c>
    </row>
    <row r="457" spans="1:9" ht="15" customHeight="1" x14ac:dyDescent="0.25">
      <c r="A457" s="14" t="s">
        <v>2960</v>
      </c>
      <c r="B457" s="11" t="s">
        <v>2961</v>
      </c>
      <c r="C457" s="11" t="s">
        <v>2491</v>
      </c>
      <c r="D457" s="11" t="s">
        <v>1222</v>
      </c>
      <c r="E457" s="13">
        <v>0</v>
      </c>
      <c r="F457" s="13">
        <v>0</v>
      </c>
      <c r="G457" s="11" t="s">
        <v>2169</v>
      </c>
      <c r="H457" s="12">
        <v>0</v>
      </c>
      <c r="I457" s="11" t="s">
        <v>1556</v>
      </c>
    </row>
    <row r="458" spans="1:9" ht="15" customHeight="1" x14ac:dyDescent="0.25">
      <c r="A458" s="14" t="s">
        <v>2962</v>
      </c>
      <c r="B458" s="11" t="s">
        <v>2963</v>
      </c>
      <c r="C458" s="11" t="s">
        <v>2491</v>
      </c>
      <c r="D458" s="11" t="s">
        <v>2200</v>
      </c>
      <c r="E458" s="13">
        <v>1</v>
      </c>
      <c r="F458" s="13">
        <v>0</v>
      </c>
      <c r="G458" s="11" t="s">
        <v>2161</v>
      </c>
      <c r="H458" s="12">
        <v>6000</v>
      </c>
      <c r="I458" s="11" t="s">
        <v>358</v>
      </c>
    </row>
    <row r="459" spans="1:9" ht="15" customHeight="1" x14ac:dyDescent="0.25">
      <c r="A459" s="14" t="s">
        <v>2964</v>
      </c>
      <c r="B459" s="11" t="s">
        <v>987</v>
      </c>
      <c r="C459" s="11" t="s">
        <v>2491</v>
      </c>
      <c r="D459" s="11" t="s">
        <v>1005</v>
      </c>
      <c r="E459" s="13">
        <v>194</v>
      </c>
      <c r="F459" s="13">
        <v>0</v>
      </c>
      <c r="G459" s="11" t="s">
        <v>2161</v>
      </c>
      <c r="H459" s="12">
        <v>695166.66020000004</v>
      </c>
      <c r="I459" s="11" t="s">
        <v>168</v>
      </c>
    </row>
    <row r="460" spans="1:9" ht="15" customHeight="1" x14ac:dyDescent="0.25">
      <c r="A460" s="14" t="s">
        <v>2965</v>
      </c>
      <c r="B460" s="11" t="s">
        <v>2966</v>
      </c>
      <c r="C460" s="11" t="s">
        <v>2491</v>
      </c>
      <c r="D460" s="11" t="s">
        <v>1222</v>
      </c>
      <c r="E460" s="13">
        <v>0</v>
      </c>
      <c r="F460" s="13">
        <v>0</v>
      </c>
      <c r="G460" s="11" t="s">
        <v>2169</v>
      </c>
      <c r="H460" s="12">
        <v>0</v>
      </c>
      <c r="I460" s="11" t="s">
        <v>1664</v>
      </c>
    </row>
    <row r="461" spans="1:9" ht="15" customHeight="1" x14ac:dyDescent="0.25">
      <c r="A461" s="14" t="s">
        <v>2967</v>
      </c>
      <c r="B461" s="11" t="s">
        <v>2968</v>
      </c>
      <c r="C461" s="11" t="s">
        <v>2491</v>
      </c>
      <c r="D461" s="11" t="s">
        <v>2200</v>
      </c>
      <c r="E461" s="13">
        <v>24000</v>
      </c>
      <c r="F461" s="13">
        <v>0</v>
      </c>
      <c r="G461" s="11" t="s">
        <v>2161</v>
      </c>
      <c r="H461" s="12">
        <v>144000</v>
      </c>
      <c r="I461" s="11" t="s">
        <v>135</v>
      </c>
    </row>
    <row r="462" spans="1:9" ht="15" customHeight="1" x14ac:dyDescent="0.25">
      <c r="A462" s="14" t="s">
        <v>2969</v>
      </c>
      <c r="B462" s="11" t="s">
        <v>2970</v>
      </c>
      <c r="C462" s="11" t="s">
        <v>2491</v>
      </c>
      <c r="D462" s="11" t="s">
        <v>1005</v>
      </c>
      <c r="E462" s="13">
        <v>24</v>
      </c>
      <c r="F462" s="13">
        <v>0</v>
      </c>
      <c r="G462" s="11" t="s">
        <v>2161</v>
      </c>
      <c r="H462" s="12">
        <v>144000</v>
      </c>
      <c r="I462" s="11" t="s">
        <v>127</v>
      </c>
    </row>
    <row r="463" spans="1:9" ht="15" customHeight="1" x14ac:dyDescent="0.25">
      <c r="A463" s="14" t="s">
        <v>2971</v>
      </c>
      <c r="B463" s="11" t="s">
        <v>2972</v>
      </c>
      <c r="C463" s="11" t="s">
        <v>2187</v>
      </c>
      <c r="D463" s="11" t="s">
        <v>1005</v>
      </c>
      <c r="E463" s="13">
        <v>0</v>
      </c>
      <c r="F463" s="13">
        <v>0</v>
      </c>
      <c r="G463" s="11" t="s">
        <v>2169</v>
      </c>
      <c r="H463" s="12">
        <v>0</v>
      </c>
      <c r="I463" s="11" t="s">
        <v>1680</v>
      </c>
    </row>
    <row r="464" spans="1:9" ht="15" customHeight="1" x14ac:dyDescent="0.25">
      <c r="A464" s="14" t="s">
        <v>2973</v>
      </c>
      <c r="B464" s="11" t="s">
        <v>2974</v>
      </c>
      <c r="C464" s="11" t="s">
        <v>2190</v>
      </c>
      <c r="D464" s="11" t="s">
        <v>1005</v>
      </c>
      <c r="E464" s="13">
        <v>2200</v>
      </c>
      <c r="F464" s="13">
        <v>0</v>
      </c>
      <c r="G464" s="11" t="s">
        <v>2161</v>
      </c>
      <c r="H464" s="12">
        <v>198000</v>
      </c>
      <c r="I464" s="11" t="s">
        <v>409</v>
      </c>
    </row>
    <row r="465" spans="1:9" ht="15" customHeight="1" x14ac:dyDescent="0.25">
      <c r="A465" s="14" t="s">
        <v>2975</v>
      </c>
      <c r="B465" s="11" t="s">
        <v>2976</v>
      </c>
      <c r="C465" s="11" t="s">
        <v>2190</v>
      </c>
      <c r="D465" s="11" t="s">
        <v>1005</v>
      </c>
      <c r="E465" s="13">
        <v>4536</v>
      </c>
      <c r="F465" s="13">
        <v>0</v>
      </c>
      <c r="G465" s="11" t="s">
        <v>2161</v>
      </c>
      <c r="H465" s="12">
        <v>453600</v>
      </c>
      <c r="I465" s="11" t="s">
        <v>408</v>
      </c>
    </row>
    <row r="466" spans="1:9" ht="15" customHeight="1" x14ac:dyDescent="0.25">
      <c r="A466" s="14" t="s">
        <v>2977</v>
      </c>
      <c r="B466" s="11" t="s">
        <v>1347</v>
      </c>
      <c r="C466" s="11" t="s">
        <v>2160</v>
      </c>
      <c r="D466" s="11" t="s">
        <v>922</v>
      </c>
      <c r="E466" s="13">
        <v>0</v>
      </c>
      <c r="F466" s="13">
        <v>0</v>
      </c>
      <c r="G466" s="11" t="s">
        <v>2169</v>
      </c>
      <c r="H466" s="12">
        <v>0</v>
      </c>
      <c r="I466" s="11" t="s">
        <v>1348</v>
      </c>
    </row>
    <row r="467" spans="1:9" ht="15" customHeight="1" x14ac:dyDescent="0.25">
      <c r="A467" s="14" t="s">
        <v>2978</v>
      </c>
      <c r="B467" s="11" t="s">
        <v>1349</v>
      </c>
      <c r="C467" s="11" t="s">
        <v>2160</v>
      </c>
      <c r="D467" s="11" t="s">
        <v>922</v>
      </c>
      <c r="E467" s="13">
        <v>0</v>
      </c>
      <c r="F467" s="13">
        <v>0</v>
      </c>
      <c r="G467" s="11" t="s">
        <v>2169</v>
      </c>
      <c r="H467" s="12">
        <v>0</v>
      </c>
      <c r="I467" s="11" t="s">
        <v>1350</v>
      </c>
    </row>
    <row r="468" spans="1:9" ht="15" customHeight="1" x14ac:dyDescent="0.25">
      <c r="A468" s="14" t="s">
        <v>2979</v>
      </c>
      <c r="B468" s="11" t="s">
        <v>1353</v>
      </c>
      <c r="C468" s="11" t="s">
        <v>2160</v>
      </c>
      <c r="D468" s="11" t="s">
        <v>922</v>
      </c>
      <c r="E468" s="13">
        <v>130.6</v>
      </c>
      <c r="F468" s="13">
        <v>0</v>
      </c>
      <c r="G468" s="11" t="s">
        <v>2161</v>
      </c>
      <c r="H468" s="12">
        <v>1371300</v>
      </c>
      <c r="I468" s="11" t="s">
        <v>410</v>
      </c>
    </row>
    <row r="469" spans="1:9" ht="15" customHeight="1" x14ac:dyDescent="0.25">
      <c r="A469" s="14" t="s">
        <v>2980</v>
      </c>
      <c r="B469" s="11" t="s">
        <v>1354</v>
      </c>
      <c r="C469" s="11" t="s">
        <v>2160</v>
      </c>
      <c r="D469" s="11" t="s">
        <v>922</v>
      </c>
      <c r="E469" s="13">
        <v>0</v>
      </c>
      <c r="F469" s="13">
        <v>0</v>
      </c>
      <c r="G469" s="11" t="s">
        <v>2169</v>
      </c>
      <c r="H469" s="12">
        <v>0</v>
      </c>
      <c r="I469" s="11" t="s">
        <v>1355</v>
      </c>
    </row>
    <row r="470" spans="1:9" ht="15" customHeight="1" x14ac:dyDescent="0.25">
      <c r="A470" s="14" t="s">
        <v>2981</v>
      </c>
      <c r="B470" s="11" t="s">
        <v>2982</v>
      </c>
      <c r="C470" s="11" t="s">
        <v>2190</v>
      </c>
      <c r="D470" s="11" t="s">
        <v>1005</v>
      </c>
      <c r="E470" s="13">
        <v>37200</v>
      </c>
      <c r="F470" s="13">
        <v>0</v>
      </c>
      <c r="G470" s="11" t="s">
        <v>2161</v>
      </c>
      <c r="H470" s="12">
        <v>5580000</v>
      </c>
      <c r="I470" s="11" t="s">
        <v>359</v>
      </c>
    </row>
    <row r="471" spans="1:9" ht="15" customHeight="1" x14ac:dyDescent="0.25">
      <c r="A471" s="14" t="s">
        <v>2983</v>
      </c>
      <c r="B471" s="11" t="s">
        <v>990</v>
      </c>
      <c r="C471" s="11" t="s">
        <v>2190</v>
      </c>
      <c r="D471" s="11" t="s">
        <v>1005</v>
      </c>
      <c r="E471" s="13">
        <v>7500</v>
      </c>
      <c r="F471" s="13">
        <v>0</v>
      </c>
      <c r="G471" s="11" t="s">
        <v>2161</v>
      </c>
      <c r="H471" s="12">
        <v>3750000</v>
      </c>
      <c r="I471" s="11" t="s">
        <v>411</v>
      </c>
    </row>
    <row r="472" spans="1:9" ht="15" customHeight="1" x14ac:dyDescent="0.25">
      <c r="A472" s="14" t="s">
        <v>2984</v>
      </c>
      <c r="B472" s="11" t="s">
        <v>2985</v>
      </c>
      <c r="C472" s="11" t="s">
        <v>2190</v>
      </c>
      <c r="D472" s="11" t="s">
        <v>1005</v>
      </c>
      <c r="E472" s="13">
        <v>48</v>
      </c>
      <c r="F472" s="13">
        <v>0</v>
      </c>
      <c r="G472" s="11" t="s">
        <v>2161</v>
      </c>
      <c r="H472" s="12">
        <v>216000</v>
      </c>
      <c r="I472" s="11" t="s">
        <v>360</v>
      </c>
    </row>
    <row r="473" spans="1:9" ht="15" customHeight="1" x14ac:dyDescent="0.25">
      <c r="A473" s="14" t="s">
        <v>2986</v>
      </c>
      <c r="B473" s="11" t="s">
        <v>2987</v>
      </c>
      <c r="C473" s="11" t="s">
        <v>2187</v>
      </c>
      <c r="D473" s="11" t="s">
        <v>1005</v>
      </c>
      <c r="E473" s="13">
        <v>0</v>
      </c>
      <c r="F473" s="13">
        <v>0</v>
      </c>
      <c r="G473" s="11" t="s">
        <v>2169</v>
      </c>
      <c r="H473" s="12">
        <v>0</v>
      </c>
      <c r="I473" s="11" t="s">
        <v>764</v>
      </c>
    </row>
    <row r="474" spans="1:9" ht="15" customHeight="1" x14ac:dyDescent="0.25">
      <c r="A474" s="14" t="s">
        <v>2988</v>
      </c>
      <c r="B474" s="11" t="s">
        <v>2989</v>
      </c>
      <c r="C474" s="11" t="s">
        <v>2300</v>
      </c>
      <c r="D474" s="11" t="s">
        <v>922</v>
      </c>
      <c r="E474" s="13">
        <v>175</v>
      </c>
      <c r="F474" s="13">
        <v>0</v>
      </c>
      <c r="G474" s="11" t="s">
        <v>2161</v>
      </c>
      <c r="H474" s="12">
        <v>5950000</v>
      </c>
      <c r="I474" s="11" t="s">
        <v>140</v>
      </c>
    </row>
    <row r="475" spans="1:9" ht="15" customHeight="1" x14ac:dyDescent="0.25">
      <c r="A475" s="14" t="s">
        <v>2990</v>
      </c>
      <c r="B475" s="11" t="s">
        <v>2991</v>
      </c>
      <c r="C475" s="11" t="s">
        <v>2300</v>
      </c>
      <c r="D475" s="11" t="s">
        <v>1005</v>
      </c>
      <c r="E475" s="13">
        <v>0</v>
      </c>
      <c r="F475" s="13">
        <v>0</v>
      </c>
      <c r="G475" s="11" t="s">
        <v>2169</v>
      </c>
      <c r="H475" s="12">
        <v>0</v>
      </c>
      <c r="I475" s="11" t="s">
        <v>1682</v>
      </c>
    </row>
    <row r="476" spans="1:9" ht="15" customHeight="1" x14ac:dyDescent="0.25">
      <c r="A476" s="14" t="s">
        <v>2992</v>
      </c>
      <c r="B476" s="11" t="s">
        <v>2993</v>
      </c>
      <c r="C476" s="11" t="s">
        <v>2300</v>
      </c>
      <c r="D476" s="11" t="s">
        <v>1005</v>
      </c>
      <c r="E476" s="13">
        <v>0</v>
      </c>
      <c r="F476" s="13">
        <v>0</v>
      </c>
      <c r="G476" s="11" t="s">
        <v>2169</v>
      </c>
      <c r="H476" s="12">
        <v>0</v>
      </c>
      <c r="I476" s="11" t="s">
        <v>2994</v>
      </c>
    </row>
    <row r="477" spans="1:9" ht="15" customHeight="1" x14ac:dyDescent="0.25">
      <c r="A477" s="14" t="s">
        <v>2995</v>
      </c>
      <c r="B477" s="11" t="s">
        <v>992</v>
      </c>
      <c r="C477" s="11" t="s">
        <v>2300</v>
      </c>
      <c r="D477" s="11" t="s">
        <v>1005</v>
      </c>
      <c r="E477" s="13">
        <v>1600</v>
      </c>
      <c r="F477" s="13">
        <v>0</v>
      </c>
      <c r="G477" s="11" t="s">
        <v>2161</v>
      </c>
      <c r="H477" s="12">
        <v>304000</v>
      </c>
      <c r="I477" s="11" t="s">
        <v>412</v>
      </c>
    </row>
    <row r="478" spans="1:9" ht="15" customHeight="1" x14ac:dyDescent="0.25">
      <c r="A478" s="14" t="s">
        <v>2996</v>
      </c>
      <c r="B478" s="11" t="s">
        <v>2997</v>
      </c>
      <c r="C478" s="11" t="s">
        <v>2300</v>
      </c>
      <c r="D478" s="11" t="s">
        <v>1005</v>
      </c>
      <c r="E478" s="13">
        <v>1000</v>
      </c>
      <c r="F478" s="13">
        <v>0</v>
      </c>
      <c r="G478" s="11" t="s">
        <v>2161</v>
      </c>
      <c r="H478" s="12">
        <v>360000</v>
      </c>
      <c r="I478" s="11" t="s">
        <v>107</v>
      </c>
    </row>
    <row r="479" spans="1:9" ht="15" customHeight="1" x14ac:dyDescent="0.25">
      <c r="A479" s="14" t="s">
        <v>2998</v>
      </c>
      <c r="B479" s="11" t="s">
        <v>2999</v>
      </c>
      <c r="C479" s="11" t="s">
        <v>2326</v>
      </c>
      <c r="D479" s="11" t="s">
        <v>1005</v>
      </c>
      <c r="E479" s="13">
        <v>0</v>
      </c>
      <c r="F479" s="13">
        <v>0</v>
      </c>
      <c r="G479" s="11" t="s">
        <v>2169</v>
      </c>
      <c r="H479" s="12">
        <v>0</v>
      </c>
      <c r="I479" s="11" t="s">
        <v>3000</v>
      </c>
    </row>
    <row r="480" spans="1:9" ht="15" customHeight="1" x14ac:dyDescent="0.25">
      <c r="A480" s="14" t="s">
        <v>3001</v>
      </c>
      <c r="B480" s="11" t="s">
        <v>3002</v>
      </c>
      <c r="C480" s="11" t="s">
        <v>2300</v>
      </c>
      <c r="D480" s="11" t="s">
        <v>1005</v>
      </c>
      <c r="E480" s="13">
        <v>0</v>
      </c>
      <c r="F480" s="13">
        <v>0</v>
      </c>
      <c r="G480" s="11" t="s">
        <v>2169</v>
      </c>
      <c r="H480" s="12">
        <v>0</v>
      </c>
      <c r="I480" s="11" t="s">
        <v>3003</v>
      </c>
    </row>
    <row r="481" spans="1:9" ht="15" customHeight="1" x14ac:dyDescent="0.25">
      <c r="A481" s="14" t="s">
        <v>3004</v>
      </c>
      <c r="B481" s="11" t="s">
        <v>994</v>
      </c>
      <c r="C481" s="11" t="s">
        <v>2300</v>
      </c>
      <c r="D481" s="11" t="s">
        <v>922</v>
      </c>
      <c r="E481" s="13">
        <v>75</v>
      </c>
      <c r="F481" s="13">
        <v>0</v>
      </c>
      <c r="G481" s="11" t="s">
        <v>2161</v>
      </c>
      <c r="H481" s="12">
        <v>3210000</v>
      </c>
      <c r="I481" s="11" t="s">
        <v>413</v>
      </c>
    </row>
    <row r="482" spans="1:9" ht="15" customHeight="1" x14ac:dyDescent="0.25">
      <c r="A482" s="14" t="s">
        <v>3005</v>
      </c>
      <c r="B482" s="11" t="s">
        <v>995</v>
      </c>
      <c r="C482" s="11" t="s">
        <v>2300</v>
      </c>
      <c r="D482" s="11" t="s">
        <v>922</v>
      </c>
      <c r="E482" s="13">
        <v>161</v>
      </c>
      <c r="F482" s="13">
        <v>0</v>
      </c>
      <c r="G482" s="11" t="s">
        <v>2161</v>
      </c>
      <c r="H482" s="12">
        <v>6890800</v>
      </c>
      <c r="I482" s="11" t="s">
        <v>414</v>
      </c>
    </row>
    <row r="483" spans="1:9" ht="15" customHeight="1" x14ac:dyDescent="0.25">
      <c r="A483" s="14" t="s">
        <v>3006</v>
      </c>
      <c r="B483" s="11" t="s">
        <v>996</v>
      </c>
      <c r="C483" s="11" t="s">
        <v>2300</v>
      </c>
      <c r="D483" s="11" t="s">
        <v>922</v>
      </c>
      <c r="E483" s="13">
        <v>49</v>
      </c>
      <c r="F483" s="13">
        <v>0</v>
      </c>
      <c r="G483" s="11" t="s">
        <v>2161</v>
      </c>
      <c r="H483" s="12">
        <v>2097200</v>
      </c>
      <c r="I483" s="11" t="s">
        <v>415</v>
      </c>
    </row>
    <row r="484" spans="1:9" ht="15" customHeight="1" x14ac:dyDescent="0.25">
      <c r="A484" s="14" t="s">
        <v>3007</v>
      </c>
      <c r="B484" s="11" t="s">
        <v>997</v>
      </c>
      <c r="C484" s="11" t="s">
        <v>2300</v>
      </c>
      <c r="D484" s="11" t="s">
        <v>922</v>
      </c>
      <c r="E484" s="13">
        <v>44</v>
      </c>
      <c r="F484" s="13">
        <v>0</v>
      </c>
      <c r="G484" s="11" t="s">
        <v>2161</v>
      </c>
      <c r="H484" s="12">
        <v>1210000</v>
      </c>
      <c r="I484" s="11" t="s">
        <v>416</v>
      </c>
    </row>
    <row r="485" spans="1:9" ht="15" customHeight="1" x14ac:dyDescent="0.25">
      <c r="A485" s="14" t="s">
        <v>3008</v>
      </c>
      <c r="B485" s="11" t="s">
        <v>998</v>
      </c>
      <c r="C485" s="11" t="s">
        <v>2300</v>
      </c>
      <c r="D485" s="11" t="s">
        <v>922</v>
      </c>
      <c r="E485" s="13">
        <v>12</v>
      </c>
      <c r="F485" s="13">
        <v>0</v>
      </c>
      <c r="G485" s="11" t="s">
        <v>2161</v>
      </c>
      <c r="H485" s="12">
        <v>253800</v>
      </c>
      <c r="I485" s="11" t="s">
        <v>101</v>
      </c>
    </row>
    <row r="486" spans="1:9" ht="15" customHeight="1" x14ac:dyDescent="0.25">
      <c r="A486" s="14" t="s">
        <v>3009</v>
      </c>
      <c r="B486" s="11" t="s">
        <v>3010</v>
      </c>
      <c r="C486" s="11" t="s">
        <v>2300</v>
      </c>
      <c r="D486" s="11" t="s">
        <v>922</v>
      </c>
      <c r="E486" s="13">
        <v>0</v>
      </c>
      <c r="F486" s="13">
        <v>0</v>
      </c>
      <c r="G486" s="11" t="s">
        <v>2169</v>
      </c>
      <c r="H486" s="12">
        <v>0</v>
      </c>
      <c r="I486" s="11" t="s">
        <v>1641</v>
      </c>
    </row>
    <row r="487" spans="1:9" ht="15" customHeight="1" x14ac:dyDescent="0.25">
      <c r="A487" s="14" t="s">
        <v>3011</v>
      </c>
      <c r="B487" s="11" t="s">
        <v>3012</v>
      </c>
      <c r="C487" s="11" t="s">
        <v>2300</v>
      </c>
      <c r="D487" s="11" t="s">
        <v>1005</v>
      </c>
      <c r="E487" s="13">
        <v>156763</v>
      </c>
      <c r="F487" s="13">
        <v>0</v>
      </c>
      <c r="G487" s="11" t="s">
        <v>2161</v>
      </c>
      <c r="H487" s="12">
        <v>146730168</v>
      </c>
      <c r="I487" s="11" t="s">
        <v>361</v>
      </c>
    </row>
    <row r="488" spans="1:9" ht="15" customHeight="1" x14ac:dyDescent="0.25">
      <c r="A488" s="14" t="s">
        <v>3013</v>
      </c>
      <c r="B488" s="11" t="s">
        <v>3014</v>
      </c>
      <c r="C488" s="11" t="s">
        <v>2300</v>
      </c>
      <c r="D488" s="11" t="s">
        <v>1005</v>
      </c>
      <c r="E488" s="13">
        <v>6500</v>
      </c>
      <c r="F488" s="13">
        <v>0</v>
      </c>
      <c r="G488" s="11" t="s">
        <v>2161</v>
      </c>
      <c r="H488" s="12">
        <v>7839000</v>
      </c>
      <c r="I488" s="11" t="s">
        <v>362</v>
      </c>
    </row>
    <row r="489" spans="1:9" ht="15" customHeight="1" x14ac:dyDescent="0.25">
      <c r="A489" s="14" t="s">
        <v>3015</v>
      </c>
      <c r="B489" s="11" t="s">
        <v>999</v>
      </c>
      <c r="C489" s="11" t="s">
        <v>2300</v>
      </c>
      <c r="D489" s="11" t="s">
        <v>1005</v>
      </c>
      <c r="E489" s="13">
        <v>1400</v>
      </c>
      <c r="F489" s="13">
        <v>0</v>
      </c>
      <c r="G489" s="11" t="s">
        <v>2161</v>
      </c>
      <c r="H489" s="12">
        <v>1234800</v>
      </c>
      <c r="I489" s="11" t="s">
        <v>64</v>
      </c>
    </row>
    <row r="490" spans="1:9" ht="15" customHeight="1" x14ac:dyDescent="0.25">
      <c r="A490" s="14" t="s">
        <v>3016</v>
      </c>
      <c r="B490" s="11" t="s">
        <v>1000</v>
      </c>
      <c r="C490" s="11" t="s">
        <v>2300</v>
      </c>
      <c r="D490" s="11" t="s">
        <v>1005</v>
      </c>
      <c r="E490" s="13">
        <v>90000</v>
      </c>
      <c r="F490" s="13">
        <v>0</v>
      </c>
      <c r="G490" s="11" t="s">
        <v>2161</v>
      </c>
      <c r="H490" s="12">
        <v>102060000</v>
      </c>
      <c r="I490" s="11" t="s">
        <v>417</v>
      </c>
    </row>
    <row r="491" spans="1:9" ht="15" customHeight="1" x14ac:dyDescent="0.25">
      <c r="A491" s="14" t="s">
        <v>3017</v>
      </c>
      <c r="B491" s="11" t="s">
        <v>1001</v>
      </c>
      <c r="C491" s="11" t="s">
        <v>2776</v>
      </c>
      <c r="D491" s="11" t="s">
        <v>2274</v>
      </c>
      <c r="E491" s="13">
        <v>307</v>
      </c>
      <c r="F491" s="13">
        <v>0</v>
      </c>
      <c r="G491" s="11" t="s">
        <v>2161</v>
      </c>
      <c r="H491" s="12">
        <v>4912000</v>
      </c>
      <c r="I491" s="11" t="s">
        <v>418</v>
      </c>
    </row>
    <row r="492" spans="1:9" ht="15" customHeight="1" x14ac:dyDescent="0.25">
      <c r="A492" s="14" t="s">
        <v>3018</v>
      </c>
      <c r="B492" s="11" t="s">
        <v>1002</v>
      </c>
      <c r="C492" s="11" t="s">
        <v>2776</v>
      </c>
      <c r="D492" s="11" t="s">
        <v>2274</v>
      </c>
      <c r="E492" s="13">
        <v>0</v>
      </c>
      <c r="F492" s="13">
        <v>0</v>
      </c>
      <c r="G492" s="11" t="s">
        <v>2169</v>
      </c>
      <c r="H492" s="12">
        <v>0</v>
      </c>
      <c r="I492" s="11" t="s">
        <v>1003</v>
      </c>
    </row>
    <row r="493" spans="1:9" ht="15" customHeight="1" x14ac:dyDescent="0.25">
      <c r="A493" s="14" t="s">
        <v>3019</v>
      </c>
      <c r="B493" s="11" t="s">
        <v>3020</v>
      </c>
      <c r="C493" s="11" t="s">
        <v>2278</v>
      </c>
      <c r="D493" s="11" t="s">
        <v>922</v>
      </c>
      <c r="E493" s="13">
        <v>0</v>
      </c>
      <c r="F493" s="13">
        <v>0</v>
      </c>
      <c r="G493" s="11" t="s">
        <v>2169</v>
      </c>
      <c r="H493" s="12">
        <v>0</v>
      </c>
      <c r="I493" s="11" t="s">
        <v>813</v>
      </c>
    </row>
    <row r="494" spans="1:9" ht="15" customHeight="1" x14ac:dyDescent="0.25">
      <c r="A494" s="14" t="s">
        <v>3021</v>
      </c>
      <c r="B494" s="11" t="s">
        <v>3022</v>
      </c>
      <c r="C494" s="11" t="s">
        <v>2278</v>
      </c>
      <c r="D494" s="11" t="s">
        <v>922</v>
      </c>
      <c r="E494" s="13">
        <v>0</v>
      </c>
      <c r="F494" s="13">
        <v>0</v>
      </c>
      <c r="G494" s="11" t="s">
        <v>2169</v>
      </c>
      <c r="H494" s="12">
        <v>0</v>
      </c>
      <c r="I494" s="11" t="s">
        <v>143</v>
      </c>
    </row>
    <row r="495" spans="1:9" ht="15" customHeight="1" x14ac:dyDescent="0.25">
      <c r="A495" s="14" t="s">
        <v>3023</v>
      </c>
      <c r="B495" s="11" t="s">
        <v>3024</v>
      </c>
      <c r="C495" s="11" t="s">
        <v>2453</v>
      </c>
      <c r="D495" s="11" t="s">
        <v>2200</v>
      </c>
      <c r="E495" s="13">
        <v>0</v>
      </c>
      <c r="F495" s="13">
        <v>0</v>
      </c>
      <c r="G495" s="11" t="s">
        <v>2169</v>
      </c>
      <c r="H495" s="12">
        <v>0</v>
      </c>
      <c r="I495" s="11" t="s">
        <v>1712</v>
      </c>
    </row>
    <row r="496" spans="1:9" ht="15" customHeight="1" x14ac:dyDescent="0.25">
      <c r="A496" s="14" t="s">
        <v>3025</v>
      </c>
      <c r="B496" s="11" t="s">
        <v>1007</v>
      </c>
      <c r="C496" s="11" t="s">
        <v>2190</v>
      </c>
      <c r="D496" s="11" t="s">
        <v>1005</v>
      </c>
      <c r="E496" s="13">
        <v>0</v>
      </c>
      <c r="F496" s="13">
        <v>0</v>
      </c>
      <c r="G496" s="11" t="s">
        <v>2169</v>
      </c>
      <c r="H496" s="12">
        <v>0</v>
      </c>
      <c r="I496" s="11" t="s">
        <v>1008</v>
      </c>
    </row>
    <row r="497" spans="1:9" ht="15" customHeight="1" x14ac:dyDescent="0.25">
      <c r="A497" s="14" t="s">
        <v>3026</v>
      </c>
      <c r="B497" s="11" t="s">
        <v>1009</v>
      </c>
      <c r="C497" s="11" t="s">
        <v>2190</v>
      </c>
      <c r="D497" s="11" t="s">
        <v>2274</v>
      </c>
      <c r="E497" s="13">
        <v>0</v>
      </c>
      <c r="F497" s="13">
        <v>0</v>
      </c>
      <c r="G497" s="11" t="s">
        <v>2169</v>
      </c>
      <c r="H497" s="12">
        <v>0</v>
      </c>
      <c r="I497" s="11" t="s">
        <v>1010</v>
      </c>
    </row>
    <row r="498" spans="1:9" ht="15" customHeight="1" x14ac:dyDescent="0.25">
      <c r="A498" s="14" t="s">
        <v>3027</v>
      </c>
      <c r="B498" s="11" t="s">
        <v>3028</v>
      </c>
      <c r="C498" s="11" t="s">
        <v>2326</v>
      </c>
      <c r="D498" s="11" t="s">
        <v>1005</v>
      </c>
      <c r="E498" s="13">
        <v>320</v>
      </c>
      <c r="F498" s="13">
        <v>0</v>
      </c>
      <c r="G498" s="11" t="s">
        <v>2161</v>
      </c>
      <c r="H498" s="12">
        <v>576000</v>
      </c>
      <c r="I498" s="11" t="s">
        <v>363</v>
      </c>
    </row>
    <row r="499" spans="1:9" ht="15" customHeight="1" x14ac:dyDescent="0.25">
      <c r="A499" s="14" t="s">
        <v>3029</v>
      </c>
      <c r="B499" s="11" t="s">
        <v>3030</v>
      </c>
      <c r="C499" s="11" t="s">
        <v>2326</v>
      </c>
      <c r="D499" s="11" t="s">
        <v>1005</v>
      </c>
      <c r="E499" s="13">
        <v>90</v>
      </c>
      <c r="F499" s="13">
        <v>0</v>
      </c>
      <c r="G499" s="11" t="s">
        <v>2161</v>
      </c>
      <c r="H499" s="12">
        <v>78300</v>
      </c>
      <c r="I499" s="11" t="s">
        <v>364</v>
      </c>
    </row>
    <row r="500" spans="1:9" ht="15" customHeight="1" x14ac:dyDescent="0.25">
      <c r="A500" s="14" t="s">
        <v>3031</v>
      </c>
      <c r="B500" s="11" t="s">
        <v>1011</v>
      </c>
      <c r="C500" s="11" t="s">
        <v>2251</v>
      </c>
      <c r="D500" s="11" t="s">
        <v>922</v>
      </c>
      <c r="E500" s="13">
        <v>25</v>
      </c>
      <c r="F500" s="13">
        <v>0</v>
      </c>
      <c r="G500" s="11" t="s">
        <v>2161</v>
      </c>
      <c r="H500" s="12">
        <v>1500000</v>
      </c>
      <c r="I500" s="11" t="s">
        <v>419</v>
      </c>
    </row>
    <row r="501" spans="1:9" ht="15" customHeight="1" x14ac:dyDescent="0.25">
      <c r="A501" s="14" t="s">
        <v>3032</v>
      </c>
      <c r="B501" s="11" t="s">
        <v>3033</v>
      </c>
      <c r="C501" s="11" t="s">
        <v>2251</v>
      </c>
      <c r="D501" s="11" t="s">
        <v>922</v>
      </c>
      <c r="E501" s="13">
        <v>0</v>
      </c>
      <c r="F501" s="13">
        <v>0</v>
      </c>
      <c r="G501" s="11" t="s">
        <v>2169</v>
      </c>
      <c r="H501" s="12">
        <v>0</v>
      </c>
      <c r="I501" s="11" t="s">
        <v>2092</v>
      </c>
    </row>
    <row r="502" spans="1:9" ht="15" customHeight="1" x14ac:dyDescent="0.25">
      <c r="A502" s="14" t="s">
        <v>3034</v>
      </c>
      <c r="B502" s="11" t="s">
        <v>3035</v>
      </c>
      <c r="C502" s="11" t="s">
        <v>2175</v>
      </c>
      <c r="D502" s="11" t="s">
        <v>1005</v>
      </c>
      <c r="E502" s="13">
        <v>0</v>
      </c>
      <c r="F502" s="13">
        <v>0</v>
      </c>
      <c r="G502" s="11" t="s">
        <v>2169</v>
      </c>
      <c r="H502" s="12">
        <v>0</v>
      </c>
      <c r="I502" s="11" t="s">
        <v>2020</v>
      </c>
    </row>
    <row r="503" spans="1:9" ht="15" customHeight="1" x14ac:dyDescent="0.25">
      <c r="A503" s="14" t="s">
        <v>3036</v>
      </c>
      <c r="B503" s="11" t="s">
        <v>3037</v>
      </c>
      <c r="C503" s="11" t="s">
        <v>2175</v>
      </c>
      <c r="D503" s="11" t="s">
        <v>1005</v>
      </c>
      <c r="E503" s="13">
        <v>0</v>
      </c>
      <c r="F503" s="13">
        <v>0</v>
      </c>
      <c r="G503" s="11" t="s">
        <v>2169</v>
      </c>
      <c r="H503" s="12">
        <v>0</v>
      </c>
      <c r="I503" s="11" t="s">
        <v>2036</v>
      </c>
    </row>
    <row r="504" spans="1:9" ht="15" customHeight="1" x14ac:dyDescent="0.25">
      <c r="A504" s="14" t="s">
        <v>3038</v>
      </c>
      <c r="B504" s="11" t="s">
        <v>3039</v>
      </c>
      <c r="C504" s="11" t="s">
        <v>2278</v>
      </c>
      <c r="D504" s="11" t="s">
        <v>922</v>
      </c>
      <c r="E504" s="13">
        <v>0</v>
      </c>
      <c r="F504" s="13">
        <v>0</v>
      </c>
      <c r="G504" s="11" t="s">
        <v>2169</v>
      </c>
      <c r="H504" s="12">
        <v>0</v>
      </c>
      <c r="I504" s="11" t="s">
        <v>3040</v>
      </c>
    </row>
    <row r="505" spans="1:9" ht="15" customHeight="1" x14ac:dyDescent="0.25">
      <c r="A505" s="14" t="s">
        <v>3041</v>
      </c>
      <c r="B505" s="11" t="s">
        <v>3042</v>
      </c>
      <c r="C505" s="11" t="s">
        <v>2175</v>
      </c>
      <c r="D505" s="11" t="s">
        <v>1005</v>
      </c>
      <c r="E505" s="13">
        <v>0</v>
      </c>
      <c r="F505" s="13">
        <v>0</v>
      </c>
      <c r="G505" s="11" t="s">
        <v>2169</v>
      </c>
      <c r="H505" s="12">
        <v>0</v>
      </c>
      <c r="I505" s="11" t="s">
        <v>2098</v>
      </c>
    </row>
    <row r="506" spans="1:9" ht="15" customHeight="1" x14ac:dyDescent="0.25">
      <c r="A506" s="14" t="s">
        <v>3043</v>
      </c>
      <c r="B506" s="11" t="s">
        <v>3044</v>
      </c>
      <c r="C506" s="11" t="s">
        <v>2175</v>
      </c>
      <c r="D506" s="11" t="s">
        <v>1005</v>
      </c>
      <c r="E506" s="13">
        <v>0</v>
      </c>
      <c r="F506" s="13">
        <v>0</v>
      </c>
      <c r="G506" s="11" t="s">
        <v>2169</v>
      </c>
      <c r="H506" s="12">
        <v>0</v>
      </c>
      <c r="I506" s="11" t="s">
        <v>2094</v>
      </c>
    </row>
    <row r="507" spans="1:9" ht="15" customHeight="1" x14ac:dyDescent="0.25">
      <c r="A507" s="14" t="s">
        <v>3045</v>
      </c>
      <c r="B507" s="11" t="s">
        <v>3046</v>
      </c>
      <c r="C507" s="11" t="s">
        <v>2175</v>
      </c>
      <c r="D507" s="11" t="s">
        <v>1005</v>
      </c>
      <c r="E507" s="13">
        <v>0</v>
      </c>
      <c r="F507" s="13">
        <v>0</v>
      </c>
      <c r="G507" s="11" t="s">
        <v>2169</v>
      </c>
      <c r="H507" s="12">
        <v>0</v>
      </c>
      <c r="I507" s="11" t="s">
        <v>2096</v>
      </c>
    </row>
    <row r="508" spans="1:9" ht="15" customHeight="1" x14ac:dyDescent="0.25">
      <c r="A508" s="14" t="s">
        <v>3047</v>
      </c>
      <c r="B508" s="11" t="s">
        <v>3048</v>
      </c>
      <c r="C508" s="11" t="s">
        <v>2175</v>
      </c>
      <c r="D508" s="11" t="s">
        <v>1005</v>
      </c>
      <c r="E508" s="13">
        <v>0</v>
      </c>
      <c r="F508" s="13">
        <v>0</v>
      </c>
      <c r="G508" s="11" t="s">
        <v>2169</v>
      </c>
      <c r="H508" s="12">
        <v>0</v>
      </c>
      <c r="I508" s="11" t="s">
        <v>2100</v>
      </c>
    </row>
    <row r="509" spans="1:9" ht="15" customHeight="1" x14ac:dyDescent="0.25">
      <c r="A509" s="14" t="s">
        <v>3049</v>
      </c>
      <c r="B509" s="11" t="s">
        <v>3050</v>
      </c>
      <c r="C509" s="11" t="s">
        <v>2175</v>
      </c>
      <c r="D509" s="11" t="s">
        <v>1005</v>
      </c>
      <c r="E509" s="13">
        <v>15</v>
      </c>
      <c r="F509" s="13">
        <v>0</v>
      </c>
      <c r="G509" s="11" t="s">
        <v>2161</v>
      </c>
      <c r="H509" s="12">
        <v>537270</v>
      </c>
      <c r="I509" s="11" t="s">
        <v>365</v>
      </c>
    </row>
    <row r="510" spans="1:9" ht="15" customHeight="1" x14ac:dyDescent="0.25">
      <c r="A510" s="14" t="s">
        <v>3051</v>
      </c>
      <c r="B510" s="11" t="s">
        <v>3052</v>
      </c>
      <c r="C510" s="11" t="s">
        <v>2172</v>
      </c>
      <c r="D510" s="11" t="s">
        <v>922</v>
      </c>
      <c r="E510" s="13">
        <v>19.95</v>
      </c>
      <c r="F510" s="13">
        <v>0</v>
      </c>
      <c r="G510" s="11" t="s">
        <v>2161</v>
      </c>
      <c r="H510" s="12">
        <v>508625.25</v>
      </c>
      <c r="I510" s="11" t="s">
        <v>366</v>
      </c>
    </row>
    <row r="511" spans="1:9" ht="15" customHeight="1" x14ac:dyDescent="0.25">
      <c r="A511" s="14" t="s">
        <v>3053</v>
      </c>
      <c r="B511" s="11" t="s">
        <v>3054</v>
      </c>
      <c r="C511" s="11" t="s">
        <v>2175</v>
      </c>
      <c r="D511" s="11" t="s">
        <v>1005</v>
      </c>
      <c r="E511" s="13">
        <v>120</v>
      </c>
      <c r="F511" s="13">
        <v>0</v>
      </c>
      <c r="G511" s="11" t="s">
        <v>2161</v>
      </c>
      <c r="H511" s="12">
        <v>868080</v>
      </c>
      <c r="I511" s="11" t="s">
        <v>367</v>
      </c>
    </row>
    <row r="512" spans="1:9" ht="15" customHeight="1" x14ac:dyDescent="0.25">
      <c r="A512" s="14" t="s">
        <v>3055</v>
      </c>
      <c r="B512" s="11" t="s">
        <v>3056</v>
      </c>
      <c r="C512" s="11" t="s">
        <v>2175</v>
      </c>
      <c r="D512" s="11" t="s">
        <v>1005</v>
      </c>
      <c r="E512" s="13">
        <v>0</v>
      </c>
      <c r="F512" s="13">
        <v>0</v>
      </c>
      <c r="G512" s="11" t="s">
        <v>2169</v>
      </c>
      <c r="H512" s="12">
        <v>0</v>
      </c>
      <c r="I512" s="11" t="s">
        <v>1918</v>
      </c>
    </row>
    <row r="513" spans="1:9" ht="15" customHeight="1" x14ac:dyDescent="0.25">
      <c r="A513" s="14" t="s">
        <v>3057</v>
      </c>
      <c r="B513" s="11" t="s">
        <v>3058</v>
      </c>
      <c r="C513" s="11" t="s">
        <v>2175</v>
      </c>
      <c r="D513" s="11" t="s">
        <v>1005</v>
      </c>
      <c r="E513" s="13">
        <v>88</v>
      </c>
      <c r="F513" s="13">
        <v>0</v>
      </c>
      <c r="G513" s="11" t="s">
        <v>2161</v>
      </c>
      <c r="H513" s="12">
        <v>2692712</v>
      </c>
      <c r="I513" s="11" t="s">
        <v>368</v>
      </c>
    </row>
    <row r="514" spans="1:9" ht="15" customHeight="1" x14ac:dyDescent="0.25">
      <c r="A514" s="14" t="s">
        <v>3059</v>
      </c>
      <c r="B514" s="11" t="s">
        <v>3060</v>
      </c>
      <c r="C514" s="11" t="s">
        <v>2175</v>
      </c>
      <c r="D514" s="11" t="s">
        <v>1005</v>
      </c>
      <c r="E514" s="13">
        <v>83</v>
      </c>
      <c r="F514" s="13">
        <v>0</v>
      </c>
      <c r="G514" s="11" t="s">
        <v>2161</v>
      </c>
      <c r="H514" s="12">
        <v>12191750.9365</v>
      </c>
      <c r="I514" s="11" t="s">
        <v>29</v>
      </c>
    </row>
    <row r="515" spans="1:9" ht="15" customHeight="1" x14ac:dyDescent="0.25">
      <c r="A515" s="14" t="s">
        <v>3061</v>
      </c>
      <c r="B515" s="11" t="s">
        <v>3062</v>
      </c>
      <c r="C515" s="11" t="s">
        <v>2175</v>
      </c>
      <c r="D515" s="11" t="s">
        <v>1005</v>
      </c>
      <c r="E515" s="13">
        <v>0</v>
      </c>
      <c r="F515" s="13">
        <v>0</v>
      </c>
      <c r="G515" s="11" t="s">
        <v>2169</v>
      </c>
      <c r="H515" s="12">
        <v>0</v>
      </c>
      <c r="I515" s="11" t="s">
        <v>2024</v>
      </c>
    </row>
    <row r="516" spans="1:9" ht="15" customHeight="1" x14ac:dyDescent="0.25">
      <c r="A516" s="14" t="s">
        <v>3063</v>
      </c>
      <c r="B516" s="11" t="s">
        <v>3064</v>
      </c>
      <c r="C516" s="11" t="s">
        <v>2175</v>
      </c>
      <c r="D516" s="11" t="s">
        <v>1005</v>
      </c>
      <c r="E516" s="13">
        <v>0</v>
      </c>
      <c r="F516" s="13">
        <v>0</v>
      </c>
      <c r="G516" s="11" t="s">
        <v>2169</v>
      </c>
      <c r="H516" s="12">
        <v>0</v>
      </c>
      <c r="I516" s="11" t="s">
        <v>2080</v>
      </c>
    </row>
    <row r="517" spans="1:9" ht="15" customHeight="1" x14ac:dyDescent="0.25">
      <c r="A517" s="14" t="s">
        <v>3065</v>
      </c>
      <c r="B517" s="11" t="s">
        <v>3066</v>
      </c>
      <c r="C517" s="11" t="s">
        <v>2175</v>
      </c>
      <c r="D517" s="11" t="s">
        <v>1005</v>
      </c>
      <c r="E517" s="13">
        <v>0</v>
      </c>
      <c r="F517" s="13">
        <v>0</v>
      </c>
      <c r="G517" s="11" t="s">
        <v>2169</v>
      </c>
      <c r="H517" s="12">
        <v>0</v>
      </c>
      <c r="I517" s="11" t="s">
        <v>1928</v>
      </c>
    </row>
    <row r="518" spans="1:9" ht="15" customHeight="1" x14ac:dyDescent="0.25">
      <c r="A518" s="14" t="s">
        <v>3067</v>
      </c>
      <c r="B518" s="11" t="s">
        <v>3068</v>
      </c>
      <c r="C518" s="11" t="s">
        <v>2175</v>
      </c>
      <c r="D518" s="11" t="s">
        <v>1005</v>
      </c>
      <c r="E518" s="13">
        <v>30</v>
      </c>
      <c r="F518" s="13">
        <v>0</v>
      </c>
      <c r="G518" s="11" t="s">
        <v>2161</v>
      </c>
      <c r="H518" s="12">
        <v>293220</v>
      </c>
      <c r="I518" s="11" t="s">
        <v>369</v>
      </c>
    </row>
    <row r="519" spans="1:9" ht="15" customHeight="1" x14ac:dyDescent="0.25">
      <c r="A519" s="14" t="s">
        <v>3069</v>
      </c>
      <c r="B519" s="11" t="s">
        <v>3070</v>
      </c>
      <c r="C519" s="11" t="s">
        <v>2175</v>
      </c>
      <c r="D519" s="11" t="s">
        <v>1005</v>
      </c>
      <c r="E519" s="13">
        <v>0</v>
      </c>
      <c r="F519" s="13">
        <v>0</v>
      </c>
      <c r="G519" s="11" t="s">
        <v>2169</v>
      </c>
      <c r="H519" s="12">
        <v>0</v>
      </c>
      <c r="I519" s="11" t="s">
        <v>1945</v>
      </c>
    </row>
    <row r="520" spans="1:9" ht="15" customHeight="1" x14ac:dyDescent="0.25">
      <c r="A520" s="14" t="s">
        <v>3071</v>
      </c>
      <c r="B520" s="11" t="s">
        <v>3072</v>
      </c>
      <c r="C520" s="11" t="s">
        <v>2175</v>
      </c>
      <c r="D520" s="11" t="s">
        <v>1005</v>
      </c>
      <c r="E520" s="13">
        <v>136</v>
      </c>
      <c r="F520" s="13">
        <v>0</v>
      </c>
      <c r="G520" s="11" t="s">
        <v>2161</v>
      </c>
      <c r="H520" s="12">
        <v>2333624</v>
      </c>
      <c r="I520" s="11" t="s">
        <v>370</v>
      </c>
    </row>
    <row r="521" spans="1:9" ht="15" customHeight="1" x14ac:dyDescent="0.25">
      <c r="A521" s="14" t="s">
        <v>3073</v>
      </c>
      <c r="B521" s="11" t="s">
        <v>3074</v>
      </c>
      <c r="C521" s="11" t="s">
        <v>2175</v>
      </c>
      <c r="D521" s="11" t="s">
        <v>1005</v>
      </c>
      <c r="E521" s="13">
        <v>0</v>
      </c>
      <c r="F521" s="13">
        <v>0</v>
      </c>
      <c r="G521" s="11" t="s">
        <v>2169</v>
      </c>
      <c r="H521" s="12">
        <v>0</v>
      </c>
      <c r="I521" s="11" t="s">
        <v>1933</v>
      </c>
    </row>
    <row r="522" spans="1:9" ht="15" customHeight="1" x14ac:dyDescent="0.25">
      <c r="A522" s="14" t="s">
        <v>3075</v>
      </c>
      <c r="B522" s="11" t="s">
        <v>3076</v>
      </c>
      <c r="C522" s="11" t="s">
        <v>2175</v>
      </c>
      <c r="D522" s="11" t="s">
        <v>1005</v>
      </c>
      <c r="E522" s="13">
        <v>0</v>
      </c>
      <c r="F522" s="13">
        <v>0</v>
      </c>
      <c r="G522" s="11" t="s">
        <v>2169</v>
      </c>
      <c r="H522" s="12">
        <v>0</v>
      </c>
      <c r="I522" s="11" t="s">
        <v>1935</v>
      </c>
    </row>
    <row r="523" spans="1:9" ht="15" customHeight="1" x14ac:dyDescent="0.25">
      <c r="A523" s="14" t="s">
        <v>3077</v>
      </c>
      <c r="B523" s="11" t="s">
        <v>3078</v>
      </c>
      <c r="C523" s="11" t="s">
        <v>2175</v>
      </c>
      <c r="D523" s="11" t="s">
        <v>1005</v>
      </c>
      <c r="E523" s="13">
        <v>0</v>
      </c>
      <c r="F523" s="13">
        <v>0</v>
      </c>
      <c r="G523" s="11" t="s">
        <v>2169</v>
      </c>
      <c r="H523" s="12">
        <v>0</v>
      </c>
      <c r="I523" s="11" t="s">
        <v>1937</v>
      </c>
    </row>
    <row r="524" spans="1:9" ht="15" customHeight="1" x14ac:dyDescent="0.25">
      <c r="A524" s="14" t="s">
        <v>3079</v>
      </c>
      <c r="B524" s="11" t="s">
        <v>3080</v>
      </c>
      <c r="C524" s="11" t="s">
        <v>2175</v>
      </c>
      <c r="D524" s="11" t="s">
        <v>1005</v>
      </c>
      <c r="E524" s="13">
        <v>0</v>
      </c>
      <c r="F524" s="13">
        <v>0</v>
      </c>
      <c r="G524" s="11" t="s">
        <v>2169</v>
      </c>
      <c r="H524" s="12">
        <v>0</v>
      </c>
      <c r="I524" s="11" t="s">
        <v>1939</v>
      </c>
    </row>
    <row r="525" spans="1:9" ht="15" customHeight="1" x14ac:dyDescent="0.25">
      <c r="A525" s="14" t="s">
        <v>3081</v>
      </c>
      <c r="B525" s="11" t="s">
        <v>3082</v>
      </c>
      <c r="C525" s="11" t="s">
        <v>2175</v>
      </c>
      <c r="D525" s="11" t="s">
        <v>1005</v>
      </c>
      <c r="E525" s="13">
        <v>42</v>
      </c>
      <c r="F525" s="13">
        <v>0</v>
      </c>
      <c r="G525" s="11" t="s">
        <v>2161</v>
      </c>
      <c r="H525" s="12">
        <v>414918</v>
      </c>
      <c r="I525" s="11" t="s">
        <v>371</v>
      </c>
    </row>
    <row r="526" spans="1:9" ht="15" customHeight="1" x14ac:dyDescent="0.25">
      <c r="A526" s="14" t="s">
        <v>3083</v>
      </c>
      <c r="B526" s="11" t="s">
        <v>3084</v>
      </c>
      <c r="C526" s="11" t="s">
        <v>2175</v>
      </c>
      <c r="D526" s="11" t="s">
        <v>1005</v>
      </c>
      <c r="E526" s="13">
        <v>54</v>
      </c>
      <c r="F526" s="13">
        <v>0</v>
      </c>
      <c r="G526" s="11" t="s">
        <v>2161</v>
      </c>
      <c r="H526" s="12">
        <v>390636</v>
      </c>
      <c r="I526" s="11" t="s">
        <v>372</v>
      </c>
    </row>
    <row r="527" spans="1:9" ht="15" customHeight="1" x14ac:dyDescent="0.25">
      <c r="A527" s="14" t="s">
        <v>3085</v>
      </c>
      <c r="B527" s="11" t="s">
        <v>3086</v>
      </c>
      <c r="C527" s="11" t="s">
        <v>2175</v>
      </c>
      <c r="D527" s="11" t="s">
        <v>1005</v>
      </c>
      <c r="E527" s="13">
        <v>129</v>
      </c>
      <c r="F527" s="13">
        <v>0</v>
      </c>
      <c r="G527" s="11" t="s">
        <v>2161</v>
      </c>
      <c r="H527" s="12">
        <v>657384</v>
      </c>
      <c r="I527" s="11" t="s">
        <v>373</v>
      </c>
    </row>
    <row r="528" spans="1:9" ht="15" customHeight="1" x14ac:dyDescent="0.25">
      <c r="A528" s="14" t="s">
        <v>3087</v>
      </c>
      <c r="B528" s="11" t="s">
        <v>3088</v>
      </c>
      <c r="C528" s="11" t="s">
        <v>2175</v>
      </c>
      <c r="D528" s="11" t="s">
        <v>1005</v>
      </c>
      <c r="E528" s="13">
        <v>0</v>
      </c>
      <c r="F528" s="13">
        <v>0</v>
      </c>
      <c r="G528" s="11" t="s">
        <v>2169</v>
      </c>
      <c r="H528" s="12">
        <v>0</v>
      </c>
      <c r="I528" s="11" t="s">
        <v>1947</v>
      </c>
    </row>
    <row r="529" spans="1:9" ht="15" customHeight="1" x14ac:dyDescent="0.25">
      <c r="A529" s="14" t="s">
        <v>3089</v>
      </c>
      <c r="B529" s="11" t="s">
        <v>3090</v>
      </c>
      <c r="C529" s="11" t="s">
        <v>2175</v>
      </c>
      <c r="D529" s="11" t="s">
        <v>1005</v>
      </c>
      <c r="E529" s="13">
        <v>0</v>
      </c>
      <c r="F529" s="13">
        <v>0</v>
      </c>
      <c r="G529" s="11" t="s">
        <v>2169</v>
      </c>
      <c r="H529" s="12">
        <v>0</v>
      </c>
      <c r="I529" s="11" t="s">
        <v>1949</v>
      </c>
    </row>
    <row r="530" spans="1:9" ht="15" customHeight="1" x14ac:dyDescent="0.25">
      <c r="A530" s="14" t="s">
        <v>3091</v>
      </c>
      <c r="B530" s="11" t="s">
        <v>3092</v>
      </c>
      <c r="C530" s="11" t="s">
        <v>2175</v>
      </c>
      <c r="D530" s="11" t="s">
        <v>1005</v>
      </c>
      <c r="E530" s="13">
        <v>41</v>
      </c>
      <c r="F530" s="13">
        <v>0</v>
      </c>
      <c r="G530" s="11" t="s">
        <v>2161</v>
      </c>
      <c r="H530" s="12">
        <v>70766</v>
      </c>
      <c r="I530" s="11" t="s">
        <v>374</v>
      </c>
    </row>
    <row r="531" spans="1:9" ht="15" customHeight="1" x14ac:dyDescent="0.25">
      <c r="A531" s="14" t="s">
        <v>3093</v>
      </c>
      <c r="B531" s="11" t="s">
        <v>3094</v>
      </c>
      <c r="C531" s="11" t="s">
        <v>2175</v>
      </c>
      <c r="D531" s="11" t="s">
        <v>1005</v>
      </c>
      <c r="E531" s="13">
        <v>156</v>
      </c>
      <c r="F531" s="13">
        <v>0</v>
      </c>
      <c r="G531" s="11" t="s">
        <v>2161</v>
      </c>
      <c r="H531" s="12">
        <v>2558868</v>
      </c>
      <c r="I531" s="11" t="s">
        <v>375</v>
      </c>
    </row>
    <row r="532" spans="1:9" ht="15" customHeight="1" x14ac:dyDescent="0.25">
      <c r="A532" s="14" t="s">
        <v>3095</v>
      </c>
      <c r="B532" s="11" t="s">
        <v>3096</v>
      </c>
      <c r="C532" s="11" t="s">
        <v>2480</v>
      </c>
      <c r="D532" s="11" t="s">
        <v>922</v>
      </c>
      <c r="E532" s="13">
        <v>0</v>
      </c>
      <c r="F532" s="13">
        <v>0</v>
      </c>
      <c r="G532" s="11" t="s">
        <v>2169</v>
      </c>
      <c r="H532" s="12">
        <v>0</v>
      </c>
      <c r="I532" s="11" t="s">
        <v>3097</v>
      </c>
    </row>
    <row r="533" spans="1:9" ht="15" customHeight="1" x14ac:dyDescent="0.25">
      <c r="A533" s="14" t="s">
        <v>3098</v>
      </c>
      <c r="B533" s="11" t="s">
        <v>2105</v>
      </c>
      <c r="C533" s="11" t="s">
        <v>2460</v>
      </c>
      <c r="D533" s="11" t="s">
        <v>922</v>
      </c>
      <c r="E533" s="13">
        <v>15</v>
      </c>
      <c r="F533" s="13">
        <v>0</v>
      </c>
      <c r="G533" s="11" t="s">
        <v>2161</v>
      </c>
      <c r="H533" s="12">
        <v>580930.00049999997</v>
      </c>
      <c r="I533" s="11" t="s">
        <v>175</v>
      </c>
    </row>
    <row r="534" spans="1:9" ht="15" customHeight="1" x14ac:dyDescent="0.25">
      <c r="A534" s="14" t="s">
        <v>3099</v>
      </c>
      <c r="B534" s="11" t="s">
        <v>3100</v>
      </c>
      <c r="C534" s="11" t="s">
        <v>2175</v>
      </c>
      <c r="D534" s="11" t="s">
        <v>922</v>
      </c>
      <c r="E534" s="13">
        <v>0</v>
      </c>
      <c r="F534" s="13">
        <v>0</v>
      </c>
      <c r="G534" s="11" t="s">
        <v>2169</v>
      </c>
      <c r="H534" s="12">
        <v>0</v>
      </c>
      <c r="I534" s="11" t="s">
        <v>2109</v>
      </c>
    </row>
    <row r="535" spans="1:9" ht="15" customHeight="1" x14ac:dyDescent="0.25">
      <c r="A535" s="14" t="s">
        <v>3101</v>
      </c>
      <c r="B535" s="11" t="s">
        <v>2106</v>
      </c>
      <c r="C535" s="11" t="s">
        <v>2460</v>
      </c>
      <c r="D535" s="11" t="s">
        <v>922</v>
      </c>
      <c r="E535" s="13">
        <v>0</v>
      </c>
      <c r="F535" s="13">
        <v>0</v>
      </c>
      <c r="G535" s="11" t="s">
        <v>2169</v>
      </c>
      <c r="H535" s="12">
        <v>0</v>
      </c>
      <c r="I535" s="11" t="s">
        <v>2107</v>
      </c>
    </row>
    <row r="536" spans="1:9" ht="15" customHeight="1" x14ac:dyDescent="0.25">
      <c r="A536" s="14" t="s">
        <v>3102</v>
      </c>
      <c r="B536" s="11" t="s">
        <v>3103</v>
      </c>
      <c r="C536" s="11" t="s">
        <v>2175</v>
      </c>
      <c r="D536" s="11" t="s">
        <v>1005</v>
      </c>
      <c r="E536" s="13">
        <v>7</v>
      </c>
      <c r="F536" s="13">
        <v>0</v>
      </c>
      <c r="G536" s="11" t="s">
        <v>2161</v>
      </c>
      <c r="H536" s="12">
        <v>532756</v>
      </c>
      <c r="I536" s="11" t="s">
        <v>376</v>
      </c>
    </row>
    <row r="537" spans="1:9" ht="15" customHeight="1" x14ac:dyDescent="0.25">
      <c r="A537" s="14" t="s">
        <v>3104</v>
      </c>
      <c r="B537" s="11" t="s">
        <v>3105</v>
      </c>
      <c r="C537" s="11" t="s">
        <v>2175</v>
      </c>
      <c r="D537" s="11" t="s">
        <v>1005</v>
      </c>
      <c r="E537" s="13">
        <v>120</v>
      </c>
      <c r="F537" s="13">
        <v>0</v>
      </c>
      <c r="G537" s="11" t="s">
        <v>2161</v>
      </c>
      <c r="H537" s="12">
        <v>2801640</v>
      </c>
      <c r="I537" s="11" t="s">
        <v>377</v>
      </c>
    </row>
    <row r="538" spans="1:9" ht="15" customHeight="1" x14ac:dyDescent="0.25">
      <c r="A538" s="14" t="s">
        <v>3106</v>
      </c>
      <c r="B538" s="11" t="s">
        <v>3107</v>
      </c>
      <c r="C538" s="11" t="s">
        <v>2175</v>
      </c>
      <c r="D538" s="11" t="s">
        <v>1005</v>
      </c>
      <c r="E538" s="13">
        <v>0</v>
      </c>
      <c r="F538" s="13">
        <v>0</v>
      </c>
      <c r="G538" s="11" t="s">
        <v>2169</v>
      </c>
      <c r="H538" s="12">
        <v>0</v>
      </c>
      <c r="I538" s="11" t="s">
        <v>1962</v>
      </c>
    </row>
    <row r="539" spans="1:9" ht="15" customHeight="1" x14ac:dyDescent="0.25">
      <c r="A539" s="14" t="s">
        <v>3108</v>
      </c>
      <c r="B539" s="11" t="s">
        <v>3109</v>
      </c>
      <c r="C539" s="11" t="s">
        <v>2175</v>
      </c>
      <c r="D539" s="11" t="s">
        <v>1005</v>
      </c>
      <c r="E539" s="13">
        <v>88</v>
      </c>
      <c r="F539" s="13">
        <v>0</v>
      </c>
      <c r="G539" s="11" t="s">
        <v>2161</v>
      </c>
      <c r="H539" s="12">
        <v>3124704</v>
      </c>
      <c r="I539" s="11" t="s">
        <v>378</v>
      </c>
    </row>
    <row r="540" spans="1:9" ht="15" customHeight="1" x14ac:dyDescent="0.25">
      <c r="A540" s="14" t="s">
        <v>3110</v>
      </c>
      <c r="B540" s="11" t="s">
        <v>3111</v>
      </c>
      <c r="C540" s="11" t="s">
        <v>2175</v>
      </c>
      <c r="D540" s="11" t="s">
        <v>1005</v>
      </c>
      <c r="E540" s="13">
        <v>0</v>
      </c>
      <c r="F540" s="13">
        <v>0</v>
      </c>
      <c r="G540" s="11" t="s">
        <v>2169</v>
      </c>
      <c r="H540" s="12">
        <v>0</v>
      </c>
      <c r="I540" s="11" t="s">
        <v>1969</v>
      </c>
    </row>
    <row r="541" spans="1:9" ht="15" customHeight="1" x14ac:dyDescent="0.25">
      <c r="A541" s="14" t="s">
        <v>3112</v>
      </c>
      <c r="B541" s="11" t="s">
        <v>3113</v>
      </c>
      <c r="C541" s="11" t="s">
        <v>2175</v>
      </c>
      <c r="D541" s="11" t="s">
        <v>1005</v>
      </c>
      <c r="E541" s="13">
        <v>4</v>
      </c>
      <c r="F541" s="13">
        <v>0</v>
      </c>
      <c r="G541" s="11" t="s">
        <v>2161</v>
      </c>
      <c r="H541" s="12">
        <v>509208</v>
      </c>
      <c r="I541" s="11" t="s">
        <v>379</v>
      </c>
    </row>
    <row r="542" spans="1:9" ht="15" customHeight="1" x14ac:dyDescent="0.25">
      <c r="A542" s="14" t="s">
        <v>3114</v>
      </c>
      <c r="B542" s="11" t="s">
        <v>3115</v>
      </c>
      <c r="C542" s="11" t="s">
        <v>2175</v>
      </c>
      <c r="D542" s="11" t="s">
        <v>1005</v>
      </c>
      <c r="E542" s="13">
        <v>5</v>
      </c>
      <c r="F542" s="13">
        <v>0</v>
      </c>
      <c r="G542" s="11" t="s">
        <v>2161</v>
      </c>
      <c r="H542" s="12">
        <v>108180</v>
      </c>
      <c r="I542" s="11" t="s">
        <v>380</v>
      </c>
    </row>
    <row r="543" spans="1:9" ht="15" customHeight="1" x14ac:dyDescent="0.25">
      <c r="A543" s="14" t="s">
        <v>3116</v>
      </c>
      <c r="B543" s="11" t="s">
        <v>3117</v>
      </c>
      <c r="C543" s="11" t="s">
        <v>2175</v>
      </c>
      <c r="D543" s="11" t="s">
        <v>1005</v>
      </c>
      <c r="E543" s="13">
        <v>30</v>
      </c>
      <c r="F543" s="13">
        <v>0</v>
      </c>
      <c r="G543" s="11" t="s">
        <v>2161</v>
      </c>
      <c r="H543" s="12">
        <v>1281630</v>
      </c>
      <c r="I543" s="11" t="s">
        <v>381</v>
      </c>
    </row>
    <row r="544" spans="1:9" ht="15" customHeight="1" x14ac:dyDescent="0.25">
      <c r="A544" s="14" t="s">
        <v>3118</v>
      </c>
      <c r="B544" s="11" t="s">
        <v>3119</v>
      </c>
      <c r="C544" s="11" t="s">
        <v>2175</v>
      </c>
      <c r="D544" s="11" t="s">
        <v>1005</v>
      </c>
      <c r="E544" s="13">
        <v>12</v>
      </c>
      <c r="F544" s="13">
        <v>0</v>
      </c>
      <c r="G544" s="11" t="s">
        <v>2161</v>
      </c>
      <c r="H544" s="12">
        <v>871500</v>
      </c>
      <c r="I544" s="11" t="s">
        <v>382</v>
      </c>
    </row>
    <row r="545" spans="1:9" ht="15" customHeight="1" x14ac:dyDescent="0.25">
      <c r="A545" s="14" t="s">
        <v>3120</v>
      </c>
      <c r="B545" s="11" t="s">
        <v>3121</v>
      </c>
      <c r="C545" s="11" t="s">
        <v>2175</v>
      </c>
      <c r="D545" s="11" t="s">
        <v>1005</v>
      </c>
      <c r="E545" s="13">
        <v>0</v>
      </c>
      <c r="F545" s="13">
        <v>0</v>
      </c>
      <c r="G545" s="11" t="s">
        <v>2169</v>
      </c>
      <c r="H545" s="12">
        <v>0</v>
      </c>
      <c r="I545" s="11" t="s">
        <v>2006</v>
      </c>
    </row>
    <row r="546" spans="1:9" ht="15" customHeight="1" x14ac:dyDescent="0.25">
      <c r="A546" s="14" t="s">
        <v>3122</v>
      </c>
      <c r="B546" s="11" t="s">
        <v>3123</v>
      </c>
      <c r="C546" s="11" t="s">
        <v>2175</v>
      </c>
      <c r="D546" s="11" t="s">
        <v>1005</v>
      </c>
      <c r="E546" s="13">
        <v>136</v>
      </c>
      <c r="F546" s="13">
        <v>0</v>
      </c>
      <c r="G546" s="11" t="s">
        <v>2161</v>
      </c>
      <c r="H546" s="12">
        <v>2667096</v>
      </c>
      <c r="I546" s="11" t="s">
        <v>383</v>
      </c>
    </row>
    <row r="547" spans="1:9" ht="15" customHeight="1" x14ac:dyDescent="0.25">
      <c r="A547" s="14" t="s">
        <v>3124</v>
      </c>
      <c r="B547" s="11" t="s">
        <v>3125</v>
      </c>
      <c r="C547" s="11" t="s">
        <v>2175</v>
      </c>
      <c r="D547" s="11" t="s">
        <v>1005</v>
      </c>
      <c r="E547" s="13">
        <v>4</v>
      </c>
      <c r="F547" s="13">
        <v>0</v>
      </c>
      <c r="G547" s="11" t="s">
        <v>2161</v>
      </c>
      <c r="H547" s="12">
        <v>54400</v>
      </c>
      <c r="I547" s="11" t="s">
        <v>384</v>
      </c>
    </row>
    <row r="548" spans="1:9" ht="15" customHeight="1" x14ac:dyDescent="0.25">
      <c r="A548" s="14" t="s">
        <v>3126</v>
      </c>
      <c r="B548" s="11" t="s">
        <v>3127</v>
      </c>
      <c r="C548" s="11" t="s">
        <v>2175</v>
      </c>
      <c r="D548" s="11" t="s">
        <v>1005</v>
      </c>
      <c r="E548" s="13">
        <v>6</v>
      </c>
      <c r="F548" s="13">
        <v>0</v>
      </c>
      <c r="G548" s="11" t="s">
        <v>2161</v>
      </c>
      <c r="H548" s="12">
        <v>647532</v>
      </c>
      <c r="I548" s="11" t="s">
        <v>385</v>
      </c>
    </row>
    <row r="549" spans="1:9" ht="15" customHeight="1" x14ac:dyDescent="0.25">
      <c r="A549" s="14" t="s">
        <v>3128</v>
      </c>
      <c r="B549" s="11" t="s">
        <v>3129</v>
      </c>
      <c r="C549" s="11" t="s">
        <v>2175</v>
      </c>
      <c r="D549" s="11" t="s">
        <v>1005</v>
      </c>
      <c r="E549" s="13">
        <v>0</v>
      </c>
      <c r="F549" s="13">
        <v>0</v>
      </c>
      <c r="G549" s="11" t="s">
        <v>2169</v>
      </c>
      <c r="H549" s="12">
        <v>0</v>
      </c>
      <c r="I549" s="11" t="s">
        <v>1993</v>
      </c>
    </row>
    <row r="550" spans="1:9" ht="15" customHeight="1" x14ac:dyDescent="0.25">
      <c r="A550" s="14" t="s">
        <v>3130</v>
      </c>
      <c r="B550" s="11" t="s">
        <v>3131</v>
      </c>
      <c r="C550" s="11" t="s">
        <v>2175</v>
      </c>
      <c r="D550" s="11" t="s">
        <v>1005</v>
      </c>
      <c r="E550" s="13">
        <v>2</v>
      </c>
      <c r="F550" s="13">
        <v>0</v>
      </c>
      <c r="G550" s="11" t="s">
        <v>2161</v>
      </c>
      <c r="H550" s="12">
        <v>44572</v>
      </c>
      <c r="I550" s="11" t="s">
        <v>386</v>
      </c>
    </row>
    <row r="551" spans="1:9" ht="15" customHeight="1" x14ac:dyDescent="0.25">
      <c r="A551" s="14" t="s">
        <v>3132</v>
      </c>
      <c r="B551" s="11" t="s">
        <v>3133</v>
      </c>
      <c r="C551" s="11" t="s">
        <v>2175</v>
      </c>
      <c r="D551" s="11" t="s">
        <v>1005</v>
      </c>
      <c r="E551" s="13">
        <v>42</v>
      </c>
      <c r="F551" s="13">
        <v>0</v>
      </c>
      <c r="G551" s="11" t="s">
        <v>2161</v>
      </c>
      <c r="H551" s="12">
        <v>1876224</v>
      </c>
      <c r="I551" s="11" t="s">
        <v>387</v>
      </c>
    </row>
    <row r="552" spans="1:9" ht="15" customHeight="1" x14ac:dyDescent="0.25">
      <c r="A552" s="14" t="s">
        <v>3134</v>
      </c>
      <c r="B552" s="11" t="s">
        <v>3135</v>
      </c>
      <c r="C552" s="11" t="s">
        <v>2175</v>
      </c>
      <c r="D552" s="11" t="s">
        <v>1005</v>
      </c>
      <c r="E552" s="13">
        <v>54</v>
      </c>
      <c r="F552" s="13">
        <v>0</v>
      </c>
      <c r="G552" s="11" t="s">
        <v>2161</v>
      </c>
      <c r="H552" s="12">
        <v>3264462</v>
      </c>
      <c r="I552" s="11" t="s">
        <v>388</v>
      </c>
    </row>
    <row r="553" spans="1:9" ht="15" customHeight="1" x14ac:dyDescent="0.25">
      <c r="A553" s="14" t="s">
        <v>3136</v>
      </c>
      <c r="B553" s="11" t="s">
        <v>3137</v>
      </c>
      <c r="C553" s="11" t="s">
        <v>2175</v>
      </c>
      <c r="D553" s="11" t="s">
        <v>1005</v>
      </c>
      <c r="E553" s="13">
        <v>129</v>
      </c>
      <c r="F553" s="13">
        <v>0</v>
      </c>
      <c r="G553" s="11" t="s">
        <v>2161</v>
      </c>
      <c r="H553" s="12">
        <v>3583362</v>
      </c>
      <c r="I553" s="11" t="s">
        <v>389</v>
      </c>
    </row>
    <row r="554" spans="1:9" ht="15" customHeight="1" x14ac:dyDescent="0.25">
      <c r="A554" s="14" t="s">
        <v>3138</v>
      </c>
      <c r="B554" s="11" t="s">
        <v>3139</v>
      </c>
      <c r="C554" s="11" t="s">
        <v>2175</v>
      </c>
      <c r="D554" s="11" t="s">
        <v>1005</v>
      </c>
      <c r="E554" s="13">
        <v>15</v>
      </c>
      <c r="F554" s="13">
        <v>0</v>
      </c>
      <c r="G554" s="11" t="s">
        <v>2161</v>
      </c>
      <c r="H554" s="12">
        <v>3784515</v>
      </c>
      <c r="I554" s="11" t="s">
        <v>390</v>
      </c>
    </row>
    <row r="555" spans="1:9" ht="15" customHeight="1" x14ac:dyDescent="0.25">
      <c r="A555" s="14" t="s">
        <v>3140</v>
      </c>
      <c r="B555" s="11" t="s">
        <v>3141</v>
      </c>
      <c r="C555" s="11" t="s">
        <v>2175</v>
      </c>
      <c r="D555" s="11" t="s">
        <v>1005</v>
      </c>
      <c r="E555" s="13">
        <v>0</v>
      </c>
      <c r="F555" s="13">
        <v>0</v>
      </c>
      <c r="G555" s="11" t="s">
        <v>2169</v>
      </c>
      <c r="H555" s="12">
        <v>0</v>
      </c>
      <c r="I555" s="11" t="s">
        <v>2009</v>
      </c>
    </row>
    <row r="556" spans="1:9" ht="15" customHeight="1" x14ac:dyDescent="0.25">
      <c r="A556" s="14" t="s">
        <v>3142</v>
      </c>
      <c r="B556" s="11" t="s">
        <v>3143</v>
      </c>
      <c r="C556" s="11" t="s">
        <v>2175</v>
      </c>
      <c r="D556" s="11" t="s">
        <v>1005</v>
      </c>
      <c r="E556" s="13">
        <v>21</v>
      </c>
      <c r="F556" s="13">
        <v>0</v>
      </c>
      <c r="G556" s="11" t="s">
        <v>2161</v>
      </c>
      <c r="H556" s="12">
        <v>352086</v>
      </c>
      <c r="I556" s="11" t="s">
        <v>391</v>
      </c>
    </row>
    <row r="557" spans="1:9" ht="15" customHeight="1" x14ac:dyDescent="0.25">
      <c r="A557" s="14" t="s">
        <v>3144</v>
      </c>
      <c r="B557" s="11" t="s">
        <v>3145</v>
      </c>
      <c r="C557" s="11" t="s">
        <v>2175</v>
      </c>
      <c r="D557" s="11" t="s">
        <v>1005</v>
      </c>
      <c r="E557" s="13">
        <v>156</v>
      </c>
      <c r="F557" s="13">
        <v>0</v>
      </c>
      <c r="G557" s="11" t="s">
        <v>2161</v>
      </c>
      <c r="H557" s="12">
        <v>2459496</v>
      </c>
      <c r="I557" s="11" t="s">
        <v>392</v>
      </c>
    </row>
    <row r="558" spans="1:9" ht="15" customHeight="1" x14ac:dyDescent="0.25">
      <c r="A558" s="14" t="s">
        <v>3146</v>
      </c>
      <c r="B558" s="11" t="s">
        <v>3147</v>
      </c>
      <c r="C558" s="11" t="s">
        <v>2175</v>
      </c>
      <c r="D558" s="11" t="s">
        <v>1005</v>
      </c>
      <c r="E558" s="13">
        <v>40</v>
      </c>
      <c r="F558" s="13">
        <v>0</v>
      </c>
      <c r="G558" s="11" t="s">
        <v>2161</v>
      </c>
      <c r="H558" s="12">
        <v>127880</v>
      </c>
      <c r="I558" s="11" t="s">
        <v>393</v>
      </c>
    </row>
    <row r="559" spans="1:9" ht="15" customHeight="1" x14ac:dyDescent="0.25">
      <c r="A559" s="14" t="s">
        <v>3148</v>
      </c>
      <c r="B559" s="11" t="s">
        <v>3149</v>
      </c>
      <c r="C559" s="11" t="s">
        <v>2480</v>
      </c>
      <c r="D559" s="11" t="s">
        <v>922</v>
      </c>
      <c r="E559" s="13">
        <v>0</v>
      </c>
      <c r="F559" s="13">
        <v>0</v>
      </c>
      <c r="G559" s="11" t="s">
        <v>2169</v>
      </c>
      <c r="H559" s="12">
        <v>0</v>
      </c>
      <c r="I559" s="11" t="s">
        <v>3150</v>
      </c>
    </row>
    <row r="560" spans="1:9" ht="15" customHeight="1" x14ac:dyDescent="0.25">
      <c r="A560" s="14" t="s">
        <v>3151</v>
      </c>
      <c r="B560" s="11" t="s">
        <v>3152</v>
      </c>
      <c r="C560" s="11" t="s">
        <v>2380</v>
      </c>
      <c r="D560" s="11" t="s">
        <v>922</v>
      </c>
      <c r="E560" s="13">
        <v>0</v>
      </c>
      <c r="F560" s="13">
        <v>0</v>
      </c>
      <c r="G560" s="11" t="s">
        <v>2169</v>
      </c>
      <c r="H560" s="12">
        <v>0</v>
      </c>
      <c r="I560" s="11" t="s">
        <v>3153</v>
      </c>
    </row>
    <row r="561" spans="1:9" ht="15" customHeight="1" x14ac:dyDescent="0.25">
      <c r="A561" s="14" t="s">
        <v>3154</v>
      </c>
      <c r="B561" s="11" t="s">
        <v>3155</v>
      </c>
      <c r="C561" s="11" t="s">
        <v>2480</v>
      </c>
      <c r="D561" s="11" t="s">
        <v>922</v>
      </c>
      <c r="E561" s="13">
        <v>0</v>
      </c>
      <c r="F561" s="13">
        <v>0</v>
      </c>
      <c r="G561" s="11" t="s">
        <v>2169</v>
      </c>
      <c r="H561" s="12">
        <v>0</v>
      </c>
      <c r="I561" s="11" t="s">
        <v>3156</v>
      </c>
    </row>
    <row r="562" spans="1:9" ht="15" customHeight="1" x14ac:dyDescent="0.25">
      <c r="A562" s="14" t="s">
        <v>3157</v>
      </c>
      <c r="B562" s="11" t="s">
        <v>1761</v>
      </c>
      <c r="C562" s="11" t="s">
        <v>2460</v>
      </c>
      <c r="D562" s="11" t="s">
        <v>1005</v>
      </c>
      <c r="E562" s="13">
        <v>0</v>
      </c>
      <c r="F562" s="13">
        <v>0</v>
      </c>
      <c r="G562" s="11" t="s">
        <v>2169</v>
      </c>
      <c r="H562" s="12">
        <v>0</v>
      </c>
      <c r="I562" s="11" t="s">
        <v>1762</v>
      </c>
    </row>
    <row r="563" spans="1:9" ht="15" customHeight="1" x14ac:dyDescent="0.25">
      <c r="A563" s="14" t="s">
        <v>3158</v>
      </c>
      <c r="B563" s="11" t="s">
        <v>3159</v>
      </c>
      <c r="C563" s="11" t="s">
        <v>2491</v>
      </c>
      <c r="D563" s="11" t="s">
        <v>1005</v>
      </c>
      <c r="E563" s="13">
        <v>6</v>
      </c>
      <c r="F563" s="13">
        <v>0</v>
      </c>
      <c r="G563" s="11" t="s">
        <v>2161</v>
      </c>
      <c r="H563" s="12">
        <v>24000</v>
      </c>
      <c r="I563" s="11" t="s">
        <v>147</v>
      </c>
    </row>
    <row r="564" spans="1:9" ht="15" customHeight="1" x14ac:dyDescent="0.25">
      <c r="A564" s="14" t="s">
        <v>3160</v>
      </c>
      <c r="B564" s="11" t="s">
        <v>3161</v>
      </c>
      <c r="C564" s="11" t="s">
        <v>2160</v>
      </c>
      <c r="D564" s="11" t="s">
        <v>922</v>
      </c>
      <c r="E564" s="13">
        <v>0</v>
      </c>
      <c r="F564" s="13">
        <v>0</v>
      </c>
      <c r="G564" s="11" t="s">
        <v>2169</v>
      </c>
      <c r="H564" s="12">
        <v>0</v>
      </c>
      <c r="I564" s="11" t="s">
        <v>3162</v>
      </c>
    </row>
    <row r="565" spans="1:9" ht="15" customHeight="1" x14ac:dyDescent="0.25">
      <c r="A565" s="14" t="s">
        <v>3163</v>
      </c>
      <c r="B565" s="11" t="s">
        <v>1022</v>
      </c>
      <c r="C565" s="11" t="s">
        <v>2190</v>
      </c>
      <c r="D565" s="11" t="s">
        <v>1222</v>
      </c>
      <c r="E565" s="13">
        <v>0</v>
      </c>
      <c r="F565" s="13">
        <v>0</v>
      </c>
      <c r="G565" s="11" t="s">
        <v>2169</v>
      </c>
      <c r="H565" s="12">
        <v>0</v>
      </c>
      <c r="I565" s="11" t="s">
        <v>67</v>
      </c>
    </row>
    <row r="566" spans="1:9" ht="15" customHeight="1" x14ac:dyDescent="0.25">
      <c r="A566" s="14" t="s">
        <v>3164</v>
      </c>
      <c r="B566" s="11" t="s">
        <v>3165</v>
      </c>
      <c r="C566" s="11" t="s">
        <v>2491</v>
      </c>
      <c r="D566" s="11" t="s">
        <v>1005</v>
      </c>
      <c r="E566" s="13">
        <v>0</v>
      </c>
      <c r="F566" s="13">
        <v>0</v>
      </c>
      <c r="G566" s="11" t="s">
        <v>2169</v>
      </c>
      <c r="H566" s="12">
        <v>0</v>
      </c>
      <c r="I566" s="11" t="s">
        <v>3166</v>
      </c>
    </row>
    <row r="567" spans="1:9" ht="15" customHeight="1" x14ac:dyDescent="0.25">
      <c r="A567" s="14" t="s">
        <v>3167</v>
      </c>
      <c r="B567" s="11" t="s">
        <v>1023</v>
      </c>
      <c r="C567" s="11" t="s">
        <v>2318</v>
      </c>
      <c r="D567" s="11" t="s">
        <v>2200</v>
      </c>
      <c r="E567" s="13">
        <v>0</v>
      </c>
      <c r="F567" s="13">
        <v>0</v>
      </c>
      <c r="G567" s="11" t="s">
        <v>2169</v>
      </c>
      <c r="H567" s="12">
        <v>0</v>
      </c>
      <c r="I567" s="11" t="s">
        <v>1024</v>
      </c>
    </row>
    <row r="568" spans="1:9" ht="15" customHeight="1" x14ac:dyDescent="0.25">
      <c r="A568" s="14" t="s">
        <v>3168</v>
      </c>
      <c r="B568" s="11" t="s">
        <v>1027</v>
      </c>
      <c r="C568" s="11" t="s">
        <v>2195</v>
      </c>
      <c r="D568" s="11" t="s">
        <v>1005</v>
      </c>
      <c r="E568" s="13">
        <v>0</v>
      </c>
      <c r="F568" s="13">
        <v>0</v>
      </c>
      <c r="G568" s="11" t="s">
        <v>2169</v>
      </c>
      <c r="H568" s="12">
        <v>0</v>
      </c>
      <c r="I568" s="11" t="s">
        <v>1028</v>
      </c>
    </row>
    <row r="569" spans="1:9" ht="15" customHeight="1" x14ac:dyDescent="0.25">
      <c r="A569" s="14" t="s">
        <v>3169</v>
      </c>
      <c r="B569" s="11" t="s">
        <v>3170</v>
      </c>
      <c r="C569" s="11" t="s">
        <v>2326</v>
      </c>
      <c r="D569" s="11" t="s">
        <v>1005</v>
      </c>
      <c r="E569" s="13">
        <v>12</v>
      </c>
      <c r="F569" s="13">
        <v>0</v>
      </c>
      <c r="G569" s="11" t="s">
        <v>2161</v>
      </c>
      <c r="H569" s="12">
        <v>696000</v>
      </c>
      <c r="I569" s="11" t="s">
        <v>420</v>
      </c>
    </row>
    <row r="570" spans="1:9" ht="15" customHeight="1" x14ac:dyDescent="0.25">
      <c r="A570" s="14" t="s">
        <v>3171</v>
      </c>
      <c r="B570" s="11" t="s">
        <v>3172</v>
      </c>
      <c r="C570" s="11" t="s">
        <v>2326</v>
      </c>
      <c r="D570" s="11" t="s">
        <v>1005</v>
      </c>
      <c r="E570" s="13">
        <v>180</v>
      </c>
      <c r="F570" s="13">
        <v>0</v>
      </c>
      <c r="G570" s="11" t="s">
        <v>2161</v>
      </c>
      <c r="H570" s="12">
        <v>7380000</v>
      </c>
      <c r="I570" s="11" t="s">
        <v>421</v>
      </c>
    </row>
    <row r="571" spans="1:9" ht="15" customHeight="1" x14ac:dyDescent="0.25">
      <c r="A571" s="14" t="s">
        <v>3173</v>
      </c>
      <c r="B571" s="11" t="s">
        <v>3174</v>
      </c>
      <c r="C571" s="11" t="s">
        <v>2160</v>
      </c>
      <c r="D571" s="11" t="s">
        <v>1005</v>
      </c>
      <c r="E571" s="13">
        <v>6</v>
      </c>
      <c r="F571" s="13">
        <v>0</v>
      </c>
      <c r="G571" s="11" t="s">
        <v>2161</v>
      </c>
      <c r="H571" s="12">
        <v>30000</v>
      </c>
      <c r="I571" s="11" t="s">
        <v>422</v>
      </c>
    </row>
    <row r="572" spans="1:9" ht="15" customHeight="1" x14ac:dyDescent="0.25">
      <c r="A572" s="14" t="s">
        <v>3175</v>
      </c>
      <c r="B572" s="11" t="s">
        <v>1036</v>
      </c>
      <c r="C572" s="11" t="s">
        <v>2190</v>
      </c>
      <c r="D572" s="11" t="s">
        <v>1005</v>
      </c>
      <c r="E572" s="13">
        <v>168</v>
      </c>
      <c r="F572" s="13">
        <v>0</v>
      </c>
      <c r="G572" s="11" t="s">
        <v>2161</v>
      </c>
      <c r="H572" s="12">
        <v>664944</v>
      </c>
      <c r="I572" s="11" t="s">
        <v>440</v>
      </c>
    </row>
    <row r="573" spans="1:9" ht="15" customHeight="1" x14ac:dyDescent="0.25">
      <c r="A573" s="14" t="s">
        <v>3176</v>
      </c>
      <c r="B573" s="11" t="s">
        <v>1037</v>
      </c>
      <c r="C573" s="11" t="s">
        <v>2160</v>
      </c>
      <c r="D573" s="11" t="s">
        <v>1005</v>
      </c>
      <c r="E573" s="13">
        <v>0</v>
      </c>
      <c r="F573" s="13">
        <v>0</v>
      </c>
      <c r="G573" s="11" t="s">
        <v>2169</v>
      </c>
      <c r="H573" s="12">
        <v>0</v>
      </c>
      <c r="I573" s="11" t="s">
        <v>1038</v>
      </c>
    </row>
    <row r="574" spans="1:9" ht="15" customHeight="1" x14ac:dyDescent="0.25">
      <c r="A574" s="14" t="s">
        <v>3177</v>
      </c>
      <c r="B574" s="11" t="s">
        <v>1039</v>
      </c>
      <c r="C574" s="11" t="s">
        <v>2160</v>
      </c>
      <c r="D574" s="11" t="s">
        <v>1005</v>
      </c>
      <c r="E574" s="13">
        <v>0</v>
      </c>
      <c r="F574" s="13">
        <v>0</v>
      </c>
      <c r="G574" s="11" t="s">
        <v>2169</v>
      </c>
      <c r="H574" s="12">
        <v>0</v>
      </c>
      <c r="I574" s="11" t="s">
        <v>1040</v>
      </c>
    </row>
    <row r="575" spans="1:9" ht="15" customHeight="1" x14ac:dyDescent="0.25">
      <c r="A575" s="14" t="s">
        <v>3178</v>
      </c>
      <c r="B575" s="11" t="s">
        <v>1041</v>
      </c>
      <c r="C575" s="11" t="s">
        <v>2160</v>
      </c>
      <c r="D575" s="11" t="s">
        <v>1005</v>
      </c>
      <c r="E575" s="13">
        <v>0</v>
      </c>
      <c r="F575" s="13">
        <v>0</v>
      </c>
      <c r="G575" s="11" t="s">
        <v>2169</v>
      </c>
      <c r="H575" s="12">
        <v>0</v>
      </c>
      <c r="I575" s="11" t="s">
        <v>1042</v>
      </c>
    </row>
    <row r="576" spans="1:9" ht="15" customHeight="1" x14ac:dyDescent="0.25">
      <c r="A576" s="14" t="s">
        <v>3179</v>
      </c>
      <c r="B576" s="11" t="s">
        <v>3180</v>
      </c>
      <c r="C576" s="11" t="s">
        <v>2318</v>
      </c>
      <c r="D576" s="11" t="s">
        <v>1222</v>
      </c>
      <c r="E576" s="13">
        <v>1000</v>
      </c>
      <c r="F576" s="13">
        <v>0</v>
      </c>
      <c r="G576" s="11" t="s">
        <v>2161</v>
      </c>
      <c r="H576" s="12">
        <v>58000</v>
      </c>
      <c r="I576" s="11" t="s">
        <v>423</v>
      </c>
    </row>
    <row r="577" spans="1:9" ht="15" customHeight="1" x14ac:dyDescent="0.25">
      <c r="A577" s="14" t="s">
        <v>3181</v>
      </c>
      <c r="B577" s="11" t="s">
        <v>1511</v>
      </c>
      <c r="C577" s="11" t="s">
        <v>2172</v>
      </c>
      <c r="D577" s="11" t="s">
        <v>922</v>
      </c>
      <c r="E577" s="13">
        <v>0</v>
      </c>
      <c r="F577" s="13">
        <v>0</v>
      </c>
      <c r="G577" s="11" t="s">
        <v>2169</v>
      </c>
      <c r="H577" s="12">
        <v>0</v>
      </c>
      <c r="I577" s="11" t="s">
        <v>1512</v>
      </c>
    </row>
    <row r="578" spans="1:9" ht="15" customHeight="1" x14ac:dyDescent="0.25">
      <c r="A578" s="14" t="s">
        <v>3182</v>
      </c>
      <c r="B578" s="11" t="s">
        <v>3183</v>
      </c>
      <c r="C578" s="11" t="s">
        <v>2172</v>
      </c>
      <c r="D578" s="11" t="s">
        <v>922</v>
      </c>
      <c r="E578" s="13">
        <v>90</v>
      </c>
      <c r="F578" s="13">
        <v>0</v>
      </c>
      <c r="G578" s="11" t="s">
        <v>2161</v>
      </c>
      <c r="H578" s="12">
        <v>3150000</v>
      </c>
      <c r="I578" s="11" t="s">
        <v>57</v>
      </c>
    </row>
    <row r="579" spans="1:9" ht="15" customHeight="1" x14ac:dyDescent="0.25">
      <c r="A579" s="14" t="s">
        <v>3184</v>
      </c>
      <c r="B579" s="11" t="s">
        <v>3185</v>
      </c>
      <c r="C579" s="11" t="s">
        <v>2172</v>
      </c>
      <c r="D579" s="11" t="s">
        <v>922</v>
      </c>
      <c r="E579" s="13">
        <v>0</v>
      </c>
      <c r="F579" s="13">
        <v>0</v>
      </c>
      <c r="G579" s="11" t="s">
        <v>2169</v>
      </c>
      <c r="H579" s="12">
        <v>0</v>
      </c>
      <c r="I579" s="11" t="s">
        <v>1733</v>
      </c>
    </row>
    <row r="580" spans="1:9" ht="15" customHeight="1" x14ac:dyDescent="0.25">
      <c r="A580" s="14" t="s">
        <v>3186</v>
      </c>
      <c r="B580" s="11" t="s">
        <v>3187</v>
      </c>
      <c r="C580" s="11" t="s">
        <v>2262</v>
      </c>
      <c r="D580" s="11" t="s">
        <v>2200</v>
      </c>
      <c r="E580" s="13">
        <v>0</v>
      </c>
      <c r="F580" s="13">
        <v>0</v>
      </c>
      <c r="G580" s="11" t="s">
        <v>2169</v>
      </c>
      <c r="H580" s="12">
        <v>0</v>
      </c>
      <c r="I580" s="11" t="s">
        <v>1852</v>
      </c>
    </row>
    <row r="581" spans="1:9" ht="15" customHeight="1" x14ac:dyDescent="0.25">
      <c r="A581" s="14" t="s">
        <v>3188</v>
      </c>
      <c r="B581" s="11" t="s">
        <v>3189</v>
      </c>
      <c r="C581" s="11" t="s">
        <v>2190</v>
      </c>
      <c r="D581" s="11" t="s">
        <v>1005</v>
      </c>
      <c r="E581" s="13">
        <v>0</v>
      </c>
      <c r="F581" s="13">
        <v>0</v>
      </c>
      <c r="G581" s="11" t="s">
        <v>2169</v>
      </c>
      <c r="H581" s="12">
        <v>0</v>
      </c>
      <c r="I581" s="11" t="s">
        <v>1454</v>
      </c>
    </row>
    <row r="582" spans="1:9" ht="15" customHeight="1" x14ac:dyDescent="0.25">
      <c r="A582" s="14" t="s">
        <v>3190</v>
      </c>
      <c r="B582" s="11" t="s">
        <v>1047</v>
      </c>
      <c r="C582" s="11" t="s">
        <v>2190</v>
      </c>
      <c r="D582" s="11" t="s">
        <v>1005</v>
      </c>
      <c r="E582" s="13">
        <v>100</v>
      </c>
      <c r="F582" s="13">
        <v>0</v>
      </c>
      <c r="G582" s="11" t="s">
        <v>2161</v>
      </c>
      <c r="H582" s="12">
        <v>13600</v>
      </c>
      <c r="I582" s="11" t="s">
        <v>441</v>
      </c>
    </row>
    <row r="583" spans="1:9" ht="15" customHeight="1" x14ac:dyDescent="0.25">
      <c r="A583" s="14" t="s">
        <v>3191</v>
      </c>
      <c r="B583" s="11" t="s">
        <v>3192</v>
      </c>
      <c r="C583" s="11" t="s">
        <v>2190</v>
      </c>
      <c r="D583" s="11" t="s">
        <v>1005</v>
      </c>
      <c r="E583" s="13">
        <v>6200</v>
      </c>
      <c r="F583" s="13">
        <v>0</v>
      </c>
      <c r="G583" s="11" t="s">
        <v>2161</v>
      </c>
      <c r="H583" s="12">
        <v>1041600</v>
      </c>
      <c r="I583" s="11" t="s">
        <v>424</v>
      </c>
    </row>
    <row r="584" spans="1:9" ht="15" customHeight="1" x14ac:dyDescent="0.25">
      <c r="A584" s="14" t="s">
        <v>3193</v>
      </c>
      <c r="B584" s="11" t="s">
        <v>3194</v>
      </c>
      <c r="C584" s="11" t="s">
        <v>2262</v>
      </c>
      <c r="D584" s="11" t="s">
        <v>2200</v>
      </c>
      <c r="E584" s="13">
        <v>0</v>
      </c>
      <c r="F584" s="13">
        <v>0</v>
      </c>
      <c r="G584" s="11" t="s">
        <v>2169</v>
      </c>
      <c r="H584" s="12">
        <v>0</v>
      </c>
      <c r="I584" s="11" t="s">
        <v>3195</v>
      </c>
    </row>
    <row r="585" spans="1:9" ht="15" customHeight="1" x14ac:dyDescent="0.25">
      <c r="A585" s="14" t="s">
        <v>3196</v>
      </c>
      <c r="B585" s="11" t="s">
        <v>3197</v>
      </c>
      <c r="C585" s="11" t="s">
        <v>2190</v>
      </c>
      <c r="D585" s="11" t="s">
        <v>1005</v>
      </c>
      <c r="E585" s="13">
        <v>0</v>
      </c>
      <c r="F585" s="13">
        <v>0</v>
      </c>
      <c r="G585" s="11" t="s">
        <v>2169</v>
      </c>
      <c r="H585" s="12">
        <v>0</v>
      </c>
      <c r="I585" s="11" t="s">
        <v>1717</v>
      </c>
    </row>
    <row r="586" spans="1:9" ht="15" customHeight="1" x14ac:dyDescent="0.25">
      <c r="A586" s="14" t="s">
        <v>3198</v>
      </c>
      <c r="B586" s="11" t="s">
        <v>3199</v>
      </c>
      <c r="C586" s="11" t="s">
        <v>2251</v>
      </c>
      <c r="D586" s="11" t="s">
        <v>922</v>
      </c>
      <c r="E586" s="13">
        <v>0</v>
      </c>
      <c r="F586" s="13">
        <v>0</v>
      </c>
      <c r="G586" s="11" t="s">
        <v>2169</v>
      </c>
      <c r="H586" s="12">
        <v>0</v>
      </c>
      <c r="I586" s="11" t="s">
        <v>1330</v>
      </c>
    </row>
    <row r="587" spans="1:9" ht="15" customHeight="1" x14ac:dyDescent="0.25">
      <c r="A587" s="14" t="s">
        <v>3200</v>
      </c>
      <c r="B587" s="11" t="s">
        <v>3201</v>
      </c>
      <c r="C587" s="11" t="s">
        <v>2175</v>
      </c>
      <c r="D587" s="11" t="s">
        <v>1005</v>
      </c>
      <c r="E587" s="13">
        <v>0</v>
      </c>
      <c r="F587" s="13">
        <v>0</v>
      </c>
      <c r="G587" s="11" t="s">
        <v>2169</v>
      </c>
      <c r="H587" s="12">
        <v>0</v>
      </c>
      <c r="I587" s="11" t="s">
        <v>1876</v>
      </c>
    </row>
    <row r="588" spans="1:9" ht="15" customHeight="1" x14ac:dyDescent="0.25">
      <c r="A588" s="14" t="s">
        <v>3202</v>
      </c>
      <c r="B588" s="11" t="s">
        <v>3203</v>
      </c>
      <c r="C588" s="11" t="s">
        <v>2251</v>
      </c>
      <c r="D588" s="11" t="s">
        <v>1005</v>
      </c>
      <c r="E588" s="13">
        <v>0</v>
      </c>
      <c r="F588" s="13">
        <v>0</v>
      </c>
      <c r="G588" s="11" t="s">
        <v>2169</v>
      </c>
      <c r="H588" s="12">
        <v>0</v>
      </c>
      <c r="I588" s="11" t="s">
        <v>1810</v>
      </c>
    </row>
    <row r="589" spans="1:9" ht="15" customHeight="1" x14ac:dyDescent="0.25">
      <c r="A589" s="14" t="s">
        <v>3204</v>
      </c>
      <c r="B589" s="11" t="s">
        <v>1052</v>
      </c>
      <c r="C589" s="11" t="s">
        <v>2251</v>
      </c>
      <c r="D589" s="11" t="s">
        <v>922</v>
      </c>
      <c r="E589" s="13">
        <v>150</v>
      </c>
      <c r="F589" s="13">
        <v>0</v>
      </c>
      <c r="G589" s="11" t="s">
        <v>2161</v>
      </c>
      <c r="H589" s="12">
        <v>1200000</v>
      </c>
      <c r="I589" s="11" t="s">
        <v>442</v>
      </c>
    </row>
    <row r="590" spans="1:9" ht="15" customHeight="1" x14ac:dyDescent="0.25">
      <c r="A590" s="14" t="s">
        <v>3205</v>
      </c>
      <c r="B590" s="11" t="s">
        <v>3206</v>
      </c>
      <c r="C590" s="11" t="s">
        <v>2254</v>
      </c>
      <c r="D590" s="11" t="s">
        <v>1005</v>
      </c>
      <c r="E590" s="13">
        <v>124</v>
      </c>
      <c r="F590" s="13">
        <v>0</v>
      </c>
      <c r="G590" s="11" t="s">
        <v>2161</v>
      </c>
      <c r="H590" s="12">
        <v>1550000</v>
      </c>
      <c r="I590" s="11" t="s">
        <v>425</v>
      </c>
    </row>
    <row r="591" spans="1:9" ht="15" customHeight="1" x14ac:dyDescent="0.25">
      <c r="A591" s="14" t="s">
        <v>3207</v>
      </c>
      <c r="B591" s="11" t="s">
        <v>3208</v>
      </c>
      <c r="C591" s="11" t="s">
        <v>2195</v>
      </c>
      <c r="D591" s="11" t="s">
        <v>2200</v>
      </c>
      <c r="E591" s="13">
        <v>1000</v>
      </c>
      <c r="F591" s="13">
        <v>0</v>
      </c>
      <c r="G591" s="11" t="s">
        <v>2161</v>
      </c>
      <c r="H591" s="12">
        <v>26216</v>
      </c>
      <c r="I591" s="11" t="s">
        <v>54</v>
      </c>
    </row>
    <row r="592" spans="1:9" ht="15" customHeight="1" x14ac:dyDescent="0.25">
      <c r="A592" s="14" t="s">
        <v>3209</v>
      </c>
      <c r="B592" s="11" t="s">
        <v>3210</v>
      </c>
      <c r="C592" s="11" t="s">
        <v>2195</v>
      </c>
      <c r="D592" s="11" t="s">
        <v>2200</v>
      </c>
      <c r="E592" s="13">
        <v>12500</v>
      </c>
      <c r="F592" s="13">
        <v>0</v>
      </c>
      <c r="G592" s="11" t="s">
        <v>2161</v>
      </c>
      <c r="H592" s="12">
        <v>400000</v>
      </c>
      <c r="I592" s="11" t="s">
        <v>426</v>
      </c>
    </row>
    <row r="593" spans="1:9" ht="15" customHeight="1" x14ac:dyDescent="0.25">
      <c r="A593" s="14" t="s">
        <v>3211</v>
      </c>
      <c r="B593" s="11" t="s">
        <v>3212</v>
      </c>
      <c r="C593" s="11" t="s">
        <v>2175</v>
      </c>
      <c r="D593" s="11" t="s">
        <v>1005</v>
      </c>
      <c r="E593" s="13">
        <v>100</v>
      </c>
      <c r="F593" s="13">
        <v>0</v>
      </c>
      <c r="G593" s="11" t="s">
        <v>2161</v>
      </c>
      <c r="H593" s="12">
        <v>958300</v>
      </c>
      <c r="I593" s="11" t="s">
        <v>427</v>
      </c>
    </row>
    <row r="594" spans="1:9" ht="15" customHeight="1" x14ac:dyDescent="0.25">
      <c r="A594" s="14" t="s">
        <v>3213</v>
      </c>
      <c r="B594" s="11" t="s">
        <v>3214</v>
      </c>
      <c r="C594" s="11" t="s">
        <v>2175</v>
      </c>
      <c r="D594" s="11" t="s">
        <v>1005</v>
      </c>
      <c r="E594" s="13">
        <v>176</v>
      </c>
      <c r="F594" s="13">
        <v>0</v>
      </c>
      <c r="G594" s="11" t="s">
        <v>2161</v>
      </c>
      <c r="H594" s="12">
        <v>2520848</v>
      </c>
      <c r="I594" s="11" t="s">
        <v>428</v>
      </c>
    </row>
    <row r="595" spans="1:9" ht="15" customHeight="1" x14ac:dyDescent="0.25">
      <c r="A595" s="14" t="s">
        <v>3215</v>
      </c>
      <c r="B595" s="11" t="s">
        <v>3216</v>
      </c>
      <c r="C595" s="11" t="s">
        <v>2175</v>
      </c>
      <c r="D595" s="11" t="s">
        <v>1005</v>
      </c>
      <c r="E595" s="13">
        <v>80</v>
      </c>
      <c r="F595" s="13">
        <v>0</v>
      </c>
      <c r="G595" s="11" t="s">
        <v>2161</v>
      </c>
      <c r="H595" s="12">
        <v>529600</v>
      </c>
      <c r="I595" s="11" t="s">
        <v>429</v>
      </c>
    </row>
    <row r="596" spans="1:9" ht="15" customHeight="1" x14ac:dyDescent="0.25">
      <c r="A596" s="14" t="s">
        <v>3217</v>
      </c>
      <c r="B596" s="11" t="s">
        <v>3218</v>
      </c>
      <c r="C596" s="11" t="s">
        <v>2175</v>
      </c>
      <c r="D596" s="11" t="s">
        <v>1005</v>
      </c>
      <c r="E596" s="13">
        <v>0</v>
      </c>
      <c r="F596" s="13">
        <v>0</v>
      </c>
      <c r="G596" s="11" t="s">
        <v>2169</v>
      </c>
      <c r="H596" s="12">
        <v>0</v>
      </c>
      <c r="I596" s="11" t="s">
        <v>2026</v>
      </c>
    </row>
    <row r="597" spans="1:9" ht="15" customHeight="1" x14ac:dyDescent="0.25">
      <c r="A597" s="14" t="s">
        <v>3219</v>
      </c>
      <c r="B597" s="11" t="s">
        <v>3220</v>
      </c>
      <c r="C597" s="11" t="s">
        <v>2175</v>
      </c>
      <c r="D597" s="11" t="s">
        <v>1005</v>
      </c>
      <c r="E597" s="13">
        <v>0</v>
      </c>
      <c r="F597" s="13">
        <v>0</v>
      </c>
      <c r="G597" s="11" t="s">
        <v>2169</v>
      </c>
      <c r="H597" s="12">
        <v>0</v>
      </c>
      <c r="I597" s="11" t="s">
        <v>2082</v>
      </c>
    </row>
    <row r="598" spans="1:9" ht="15" customHeight="1" x14ac:dyDescent="0.25">
      <c r="A598" s="14" t="s">
        <v>3221</v>
      </c>
      <c r="B598" s="11" t="s">
        <v>3222</v>
      </c>
      <c r="C598" s="11" t="s">
        <v>2175</v>
      </c>
      <c r="D598" s="11" t="s">
        <v>1005</v>
      </c>
      <c r="E598" s="13">
        <v>0</v>
      </c>
      <c r="F598" s="13">
        <v>0</v>
      </c>
      <c r="G598" s="11" t="s">
        <v>2169</v>
      </c>
      <c r="H598" s="12">
        <v>0</v>
      </c>
      <c r="I598" s="11" t="s">
        <v>1889</v>
      </c>
    </row>
    <row r="599" spans="1:9" ht="15" customHeight="1" x14ac:dyDescent="0.25">
      <c r="A599" s="14" t="s">
        <v>3223</v>
      </c>
      <c r="B599" s="11" t="s">
        <v>3224</v>
      </c>
      <c r="C599" s="11" t="s">
        <v>2175</v>
      </c>
      <c r="D599" s="11" t="s">
        <v>1005</v>
      </c>
      <c r="E599" s="13">
        <v>0</v>
      </c>
      <c r="F599" s="13">
        <v>0</v>
      </c>
      <c r="G599" s="11" t="s">
        <v>2169</v>
      </c>
      <c r="H599" s="12">
        <v>0</v>
      </c>
      <c r="I599" s="11" t="s">
        <v>1893</v>
      </c>
    </row>
    <row r="600" spans="1:9" ht="15" customHeight="1" x14ac:dyDescent="0.25">
      <c r="A600" s="14" t="s">
        <v>3225</v>
      </c>
      <c r="B600" s="11" t="s">
        <v>3226</v>
      </c>
      <c r="C600" s="11" t="s">
        <v>2175</v>
      </c>
      <c r="D600" s="11" t="s">
        <v>922</v>
      </c>
      <c r="E600" s="13">
        <v>0</v>
      </c>
      <c r="F600" s="13">
        <v>0</v>
      </c>
      <c r="G600" s="11" t="s">
        <v>2169</v>
      </c>
      <c r="H600" s="12">
        <v>0</v>
      </c>
      <c r="I600" s="11" t="s">
        <v>1895</v>
      </c>
    </row>
    <row r="601" spans="1:9" ht="15" customHeight="1" x14ac:dyDescent="0.25">
      <c r="A601" s="14" t="s">
        <v>3227</v>
      </c>
      <c r="B601" s="11" t="s">
        <v>3228</v>
      </c>
      <c r="C601" s="11" t="s">
        <v>2175</v>
      </c>
      <c r="D601" s="11" t="s">
        <v>1005</v>
      </c>
      <c r="E601" s="13">
        <v>10</v>
      </c>
      <c r="F601" s="13">
        <v>0</v>
      </c>
      <c r="G601" s="11" t="s">
        <v>2161</v>
      </c>
      <c r="H601" s="12">
        <v>40530</v>
      </c>
      <c r="I601" s="11" t="s">
        <v>430</v>
      </c>
    </row>
    <row r="602" spans="1:9" ht="15" customHeight="1" x14ac:dyDescent="0.25">
      <c r="A602" s="14" t="s">
        <v>3229</v>
      </c>
      <c r="B602" s="11" t="s">
        <v>3230</v>
      </c>
      <c r="C602" s="11" t="s">
        <v>2175</v>
      </c>
      <c r="D602" s="11" t="s">
        <v>1005</v>
      </c>
      <c r="E602" s="13">
        <v>256</v>
      </c>
      <c r="F602" s="13">
        <v>0</v>
      </c>
      <c r="G602" s="11" t="s">
        <v>2161</v>
      </c>
      <c r="H602" s="12">
        <v>2149888</v>
      </c>
      <c r="I602" s="11" t="s">
        <v>431</v>
      </c>
    </row>
    <row r="603" spans="1:9" ht="15" customHeight="1" x14ac:dyDescent="0.25">
      <c r="A603" s="14" t="s">
        <v>3231</v>
      </c>
      <c r="B603" s="11" t="s">
        <v>3232</v>
      </c>
      <c r="C603" s="11" t="s">
        <v>2175</v>
      </c>
      <c r="D603" s="11" t="s">
        <v>1005</v>
      </c>
      <c r="E603" s="13">
        <v>0</v>
      </c>
      <c r="F603" s="13">
        <v>0</v>
      </c>
      <c r="G603" s="11" t="s">
        <v>2169</v>
      </c>
      <c r="H603" s="12">
        <v>0</v>
      </c>
      <c r="I603" s="11" t="s">
        <v>1898</v>
      </c>
    </row>
    <row r="604" spans="1:9" ht="15" customHeight="1" x14ac:dyDescent="0.25">
      <c r="A604" s="14" t="s">
        <v>3233</v>
      </c>
      <c r="B604" s="11" t="s">
        <v>3234</v>
      </c>
      <c r="C604" s="11" t="s">
        <v>2175</v>
      </c>
      <c r="D604" s="11" t="s">
        <v>1005</v>
      </c>
      <c r="E604" s="13">
        <v>0</v>
      </c>
      <c r="F604" s="13">
        <v>0</v>
      </c>
      <c r="G604" s="11" t="s">
        <v>2169</v>
      </c>
      <c r="H604" s="12">
        <v>0</v>
      </c>
      <c r="I604" s="11" t="s">
        <v>1900</v>
      </c>
    </row>
    <row r="605" spans="1:9" ht="15" customHeight="1" x14ac:dyDescent="0.25">
      <c r="A605" s="14" t="s">
        <v>3235</v>
      </c>
      <c r="B605" s="11" t="s">
        <v>3236</v>
      </c>
      <c r="C605" s="11" t="s">
        <v>2175</v>
      </c>
      <c r="D605" s="11" t="s">
        <v>1005</v>
      </c>
      <c r="E605" s="13">
        <v>25</v>
      </c>
      <c r="F605" s="13">
        <v>0</v>
      </c>
      <c r="G605" s="11" t="s">
        <v>2161</v>
      </c>
      <c r="H605" s="12">
        <v>565200</v>
      </c>
      <c r="I605" s="11" t="s">
        <v>432</v>
      </c>
    </row>
    <row r="606" spans="1:9" ht="15" customHeight="1" x14ac:dyDescent="0.25">
      <c r="A606" s="14" t="s">
        <v>3237</v>
      </c>
      <c r="B606" s="11" t="s">
        <v>3238</v>
      </c>
      <c r="C606" s="11" t="s">
        <v>2175</v>
      </c>
      <c r="D606" s="11" t="s">
        <v>1005</v>
      </c>
      <c r="E606" s="13">
        <v>25</v>
      </c>
      <c r="F606" s="13">
        <v>0</v>
      </c>
      <c r="G606" s="11" t="s">
        <v>2161</v>
      </c>
      <c r="H606" s="12">
        <v>565200</v>
      </c>
      <c r="I606" s="11" t="s">
        <v>433</v>
      </c>
    </row>
    <row r="607" spans="1:9" ht="15" customHeight="1" x14ac:dyDescent="0.25">
      <c r="A607" s="14" t="s">
        <v>3239</v>
      </c>
      <c r="B607" s="11" t="s">
        <v>3240</v>
      </c>
      <c r="C607" s="11" t="s">
        <v>2175</v>
      </c>
      <c r="D607" s="11" t="s">
        <v>1005</v>
      </c>
      <c r="E607" s="13">
        <v>312</v>
      </c>
      <c r="F607" s="13">
        <v>0</v>
      </c>
      <c r="G607" s="11" t="s">
        <v>2161</v>
      </c>
      <c r="H607" s="12">
        <v>2496936</v>
      </c>
      <c r="I607" s="11" t="s">
        <v>434</v>
      </c>
    </row>
    <row r="608" spans="1:9" ht="15" customHeight="1" x14ac:dyDescent="0.25">
      <c r="A608" s="14" t="s">
        <v>3241</v>
      </c>
      <c r="B608" s="11" t="s">
        <v>1057</v>
      </c>
      <c r="C608" s="11" t="s">
        <v>2160</v>
      </c>
      <c r="D608" s="11" t="s">
        <v>922</v>
      </c>
      <c r="E608" s="13">
        <v>0</v>
      </c>
      <c r="F608" s="13">
        <v>0</v>
      </c>
      <c r="G608" s="11" t="s">
        <v>2169</v>
      </c>
      <c r="H608" s="12">
        <v>0</v>
      </c>
      <c r="I608" s="11" t="s">
        <v>1058</v>
      </c>
    </row>
    <row r="609" spans="1:9" ht="15" customHeight="1" x14ac:dyDescent="0.25">
      <c r="A609" s="14" t="s">
        <v>3242</v>
      </c>
      <c r="B609" s="11" t="s">
        <v>1061</v>
      </c>
      <c r="C609" s="11" t="s">
        <v>2251</v>
      </c>
      <c r="D609" s="11" t="s">
        <v>922</v>
      </c>
      <c r="E609" s="13">
        <v>25</v>
      </c>
      <c r="F609" s="13">
        <v>0</v>
      </c>
      <c r="G609" s="11" t="s">
        <v>2161</v>
      </c>
      <c r="H609" s="12">
        <v>810000</v>
      </c>
      <c r="I609" s="11" t="s">
        <v>443</v>
      </c>
    </row>
    <row r="610" spans="1:9" ht="15" customHeight="1" x14ac:dyDescent="0.25">
      <c r="A610" s="14" t="s">
        <v>3243</v>
      </c>
      <c r="B610" s="11" t="s">
        <v>3244</v>
      </c>
      <c r="C610" s="11" t="s">
        <v>2254</v>
      </c>
      <c r="D610" s="11" t="s">
        <v>1005</v>
      </c>
      <c r="E610" s="13">
        <v>55</v>
      </c>
      <c r="F610" s="13">
        <v>0</v>
      </c>
      <c r="G610" s="11" t="s">
        <v>2161</v>
      </c>
      <c r="H610" s="12">
        <v>385000</v>
      </c>
      <c r="I610" s="11" t="s">
        <v>435</v>
      </c>
    </row>
    <row r="611" spans="1:9" ht="15" customHeight="1" x14ac:dyDescent="0.25">
      <c r="A611" s="14" t="s">
        <v>3245</v>
      </c>
      <c r="B611" s="11" t="s">
        <v>1062</v>
      </c>
      <c r="C611" s="11" t="s">
        <v>2254</v>
      </c>
      <c r="D611" s="11" t="s">
        <v>1005</v>
      </c>
      <c r="E611" s="13">
        <v>10000</v>
      </c>
      <c r="F611" s="13">
        <v>0</v>
      </c>
      <c r="G611" s="11" t="s">
        <v>2161</v>
      </c>
      <c r="H611" s="12">
        <v>1800000</v>
      </c>
      <c r="I611" s="11" t="s">
        <v>444</v>
      </c>
    </row>
    <row r="612" spans="1:9" ht="15" customHeight="1" x14ac:dyDescent="0.25">
      <c r="A612" s="14" t="s">
        <v>3246</v>
      </c>
      <c r="B612" s="11" t="s">
        <v>1063</v>
      </c>
      <c r="C612" s="11" t="s">
        <v>2254</v>
      </c>
      <c r="D612" s="11" t="s">
        <v>1005</v>
      </c>
      <c r="E612" s="13">
        <v>57600</v>
      </c>
      <c r="F612" s="13">
        <v>0</v>
      </c>
      <c r="G612" s="11" t="s">
        <v>2161</v>
      </c>
      <c r="H612" s="12">
        <v>3974400</v>
      </c>
      <c r="I612" s="11" t="s">
        <v>445</v>
      </c>
    </row>
    <row r="613" spans="1:9" ht="15" customHeight="1" x14ac:dyDescent="0.25">
      <c r="A613" s="14" t="s">
        <v>3247</v>
      </c>
      <c r="B613" s="11" t="s">
        <v>3248</v>
      </c>
      <c r="C613" s="11" t="s">
        <v>2254</v>
      </c>
      <c r="D613" s="11" t="s">
        <v>1005</v>
      </c>
      <c r="E613" s="13">
        <v>0</v>
      </c>
      <c r="F613" s="13">
        <v>0</v>
      </c>
      <c r="G613" s="11" t="s">
        <v>2169</v>
      </c>
      <c r="H613" s="12">
        <v>0</v>
      </c>
      <c r="I613" s="11" t="s">
        <v>1740</v>
      </c>
    </row>
    <row r="614" spans="1:9" ht="15" customHeight="1" x14ac:dyDescent="0.25">
      <c r="A614" s="14" t="s">
        <v>3249</v>
      </c>
      <c r="B614" s="11" t="s">
        <v>3250</v>
      </c>
      <c r="C614" s="11" t="s">
        <v>2254</v>
      </c>
      <c r="D614" s="11" t="s">
        <v>1005</v>
      </c>
      <c r="E614" s="13">
        <v>5959</v>
      </c>
      <c r="F614" s="13">
        <v>0</v>
      </c>
      <c r="G614" s="11" t="s">
        <v>2161</v>
      </c>
      <c r="H614" s="12">
        <v>2329969</v>
      </c>
      <c r="I614" s="11" t="s">
        <v>436</v>
      </c>
    </row>
    <row r="615" spans="1:9" ht="15" customHeight="1" x14ac:dyDescent="0.25">
      <c r="A615" s="14" t="s">
        <v>3251</v>
      </c>
      <c r="B615" s="11" t="s">
        <v>3252</v>
      </c>
      <c r="C615" s="11" t="s">
        <v>2254</v>
      </c>
      <c r="D615" s="11" t="s">
        <v>1005</v>
      </c>
      <c r="E615" s="13">
        <v>0</v>
      </c>
      <c r="F615" s="13">
        <v>0</v>
      </c>
      <c r="G615" s="11" t="s">
        <v>2169</v>
      </c>
      <c r="H615" s="12">
        <v>0</v>
      </c>
      <c r="I615" s="11" t="s">
        <v>144</v>
      </c>
    </row>
    <row r="616" spans="1:9" ht="15" customHeight="1" x14ac:dyDescent="0.25">
      <c r="A616" s="14" t="s">
        <v>3253</v>
      </c>
      <c r="B616" s="11" t="s">
        <v>3254</v>
      </c>
      <c r="C616" s="11" t="s">
        <v>2254</v>
      </c>
      <c r="D616" s="11" t="s">
        <v>1005</v>
      </c>
      <c r="E616" s="13">
        <v>0</v>
      </c>
      <c r="F616" s="13">
        <v>0</v>
      </c>
      <c r="G616" s="11" t="s">
        <v>2169</v>
      </c>
      <c r="H616" s="12">
        <v>0</v>
      </c>
      <c r="I616" s="11" t="s">
        <v>53</v>
      </c>
    </row>
    <row r="617" spans="1:9" ht="15" customHeight="1" x14ac:dyDescent="0.25">
      <c r="A617" s="14" t="s">
        <v>3255</v>
      </c>
      <c r="B617" s="11" t="s">
        <v>3256</v>
      </c>
      <c r="C617" s="11" t="s">
        <v>2254</v>
      </c>
      <c r="D617" s="11" t="s">
        <v>1005</v>
      </c>
      <c r="E617" s="13">
        <v>1450</v>
      </c>
      <c r="F617" s="13">
        <v>0</v>
      </c>
      <c r="G617" s="11" t="s">
        <v>2161</v>
      </c>
      <c r="H617" s="12">
        <v>966666.71499999997</v>
      </c>
      <c r="I617" s="11" t="s">
        <v>69</v>
      </c>
    </row>
    <row r="618" spans="1:9" ht="15" customHeight="1" x14ac:dyDescent="0.25">
      <c r="A618" s="14" t="s">
        <v>3257</v>
      </c>
      <c r="B618" s="11" t="s">
        <v>3258</v>
      </c>
      <c r="C618" s="11" t="s">
        <v>2254</v>
      </c>
      <c r="D618" s="11" t="s">
        <v>1005</v>
      </c>
      <c r="E618" s="13">
        <v>0</v>
      </c>
      <c r="F618" s="13">
        <v>0</v>
      </c>
      <c r="G618" s="11" t="s">
        <v>2169</v>
      </c>
      <c r="H618" s="12">
        <v>0</v>
      </c>
      <c r="I618" s="11" t="s">
        <v>96</v>
      </c>
    </row>
    <row r="619" spans="1:9" ht="15" customHeight="1" x14ac:dyDescent="0.25">
      <c r="A619" s="14" t="s">
        <v>3259</v>
      </c>
      <c r="B619" s="11" t="s">
        <v>1323</v>
      </c>
      <c r="C619" s="11" t="s">
        <v>2254</v>
      </c>
      <c r="D619" s="11" t="s">
        <v>1005</v>
      </c>
      <c r="E619" s="13">
        <v>0</v>
      </c>
      <c r="F619" s="13">
        <v>0</v>
      </c>
      <c r="G619" s="11" t="s">
        <v>2169</v>
      </c>
      <c r="H619" s="12">
        <v>0</v>
      </c>
      <c r="I619" s="11" t="s">
        <v>1324</v>
      </c>
    </row>
    <row r="620" spans="1:9" ht="15" customHeight="1" x14ac:dyDescent="0.25">
      <c r="A620" s="14" t="s">
        <v>3260</v>
      </c>
      <c r="B620" s="11" t="s">
        <v>1064</v>
      </c>
      <c r="C620" s="11" t="s">
        <v>2254</v>
      </c>
      <c r="D620" s="11" t="s">
        <v>1005</v>
      </c>
      <c r="E620" s="13">
        <v>1800</v>
      </c>
      <c r="F620" s="13">
        <v>0</v>
      </c>
      <c r="G620" s="11" t="s">
        <v>2161</v>
      </c>
      <c r="H620" s="12">
        <v>360000</v>
      </c>
      <c r="I620" s="11" t="s">
        <v>446</v>
      </c>
    </row>
    <row r="621" spans="1:9" ht="15" customHeight="1" x14ac:dyDescent="0.25">
      <c r="A621" s="14" t="s">
        <v>3261</v>
      </c>
      <c r="B621" s="11" t="s">
        <v>3262</v>
      </c>
      <c r="C621" s="11" t="s">
        <v>2254</v>
      </c>
      <c r="D621" s="11" t="s">
        <v>1005</v>
      </c>
      <c r="E621" s="13">
        <v>21868</v>
      </c>
      <c r="F621" s="13">
        <v>0</v>
      </c>
      <c r="G621" s="11" t="s">
        <v>2161</v>
      </c>
      <c r="H621" s="12">
        <v>459228</v>
      </c>
      <c r="I621" s="11" t="s">
        <v>437</v>
      </c>
    </row>
    <row r="622" spans="1:9" ht="15" customHeight="1" x14ac:dyDescent="0.25">
      <c r="A622" s="14" t="s">
        <v>3263</v>
      </c>
      <c r="B622" s="11" t="s">
        <v>3264</v>
      </c>
      <c r="C622" s="11" t="s">
        <v>2160</v>
      </c>
      <c r="D622" s="11" t="s">
        <v>922</v>
      </c>
      <c r="E622" s="13">
        <v>7.85</v>
      </c>
      <c r="F622" s="13">
        <v>0</v>
      </c>
      <c r="G622" s="11" t="s">
        <v>2161</v>
      </c>
      <c r="H622" s="12">
        <v>706500</v>
      </c>
      <c r="I622" s="11" t="s">
        <v>438</v>
      </c>
    </row>
    <row r="623" spans="1:9" ht="15" customHeight="1" x14ac:dyDescent="0.25">
      <c r="A623" s="14" t="s">
        <v>3265</v>
      </c>
      <c r="B623" s="11" t="s">
        <v>3266</v>
      </c>
      <c r="C623" s="11" t="s">
        <v>2160</v>
      </c>
      <c r="D623" s="11" t="s">
        <v>922</v>
      </c>
      <c r="E623" s="13">
        <v>0</v>
      </c>
      <c r="F623" s="13">
        <v>0</v>
      </c>
      <c r="G623" s="11" t="s">
        <v>2169</v>
      </c>
      <c r="H623" s="12">
        <v>0</v>
      </c>
      <c r="I623" s="11" t="s">
        <v>3267</v>
      </c>
    </row>
    <row r="624" spans="1:9" ht="15" customHeight="1" x14ac:dyDescent="0.25">
      <c r="A624" s="14" t="s">
        <v>3268</v>
      </c>
      <c r="B624" s="11" t="s">
        <v>3269</v>
      </c>
      <c r="C624" s="11" t="s">
        <v>2160</v>
      </c>
      <c r="D624" s="11" t="s">
        <v>1222</v>
      </c>
      <c r="E624" s="13">
        <v>0</v>
      </c>
      <c r="F624" s="13">
        <v>0</v>
      </c>
      <c r="G624" s="11" t="s">
        <v>2169</v>
      </c>
      <c r="H624" s="12">
        <v>0</v>
      </c>
      <c r="I624" s="11" t="s">
        <v>1744</v>
      </c>
    </row>
    <row r="625" spans="1:9" ht="15" customHeight="1" x14ac:dyDescent="0.25">
      <c r="A625" s="14" t="s">
        <v>3270</v>
      </c>
      <c r="B625" s="11" t="s">
        <v>1076</v>
      </c>
      <c r="C625" s="11" t="s">
        <v>2380</v>
      </c>
      <c r="D625" s="11" t="s">
        <v>922</v>
      </c>
      <c r="E625" s="13">
        <v>375</v>
      </c>
      <c r="F625" s="13">
        <v>0</v>
      </c>
      <c r="G625" s="11" t="s">
        <v>2161</v>
      </c>
      <c r="H625" s="12">
        <v>12600000</v>
      </c>
      <c r="I625" s="11" t="s">
        <v>447</v>
      </c>
    </row>
    <row r="626" spans="1:9" ht="15" customHeight="1" x14ac:dyDescent="0.25">
      <c r="A626" s="14" t="s">
        <v>3271</v>
      </c>
      <c r="B626" s="11" t="s">
        <v>3272</v>
      </c>
      <c r="C626" s="11" t="s">
        <v>2380</v>
      </c>
      <c r="D626" s="11" t="s">
        <v>922</v>
      </c>
      <c r="E626" s="13">
        <v>425</v>
      </c>
      <c r="F626" s="13">
        <v>0</v>
      </c>
      <c r="G626" s="11" t="s">
        <v>2161</v>
      </c>
      <c r="H626" s="12">
        <v>12278233</v>
      </c>
      <c r="I626" s="11" t="s">
        <v>439</v>
      </c>
    </row>
    <row r="627" spans="1:9" ht="15" customHeight="1" x14ac:dyDescent="0.25">
      <c r="A627" s="14" t="s">
        <v>3273</v>
      </c>
      <c r="B627" s="11" t="s">
        <v>1077</v>
      </c>
      <c r="C627" s="11" t="s">
        <v>2380</v>
      </c>
      <c r="D627" s="11" t="s">
        <v>2391</v>
      </c>
      <c r="E627" s="13">
        <v>1014.6</v>
      </c>
      <c r="F627" s="13">
        <v>0</v>
      </c>
      <c r="G627" s="11" t="s">
        <v>2161</v>
      </c>
      <c r="H627" s="12">
        <v>20826000.010699999</v>
      </c>
      <c r="I627" s="11" t="s">
        <v>166</v>
      </c>
    </row>
    <row r="628" spans="1:9" ht="15" customHeight="1" x14ac:dyDescent="0.25">
      <c r="A628" s="14" t="s">
        <v>3274</v>
      </c>
      <c r="B628" s="11" t="s">
        <v>3275</v>
      </c>
      <c r="C628" s="11" t="s">
        <v>2380</v>
      </c>
      <c r="D628" s="11" t="s">
        <v>2739</v>
      </c>
      <c r="E628" s="13">
        <v>0</v>
      </c>
      <c r="F628" s="13">
        <v>0</v>
      </c>
      <c r="G628" s="11" t="s">
        <v>2169</v>
      </c>
      <c r="H628" s="12">
        <v>0</v>
      </c>
      <c r="I628" s="11" t="s">
        <v>1079</v>
      </c>
    </row>
    <row r="629" spans="1:9" ht="15" customHeight="1" x14ac:dyDescent="0.25">
      <c r="A629" s="14" t="s">
        <v>3276</v>
      </c>
      <c r="B629" s="11" t="s">
        <v>3277</v>
      </c>
      <c r="C629" s="11" t="s">
        <v>2380</v>
      </c>
      <c r="D629" s="11" t="s">
        <v>2739</v>
      </c>
      <c r="E629" s="13">
        <v>32</v>
      </c>
      <c r="F629" s="13">
        <v>0</v>
      </c>
      <c r="G629" s="11" t="s">
        <v>2161</v>
      </c>
      <c r="H629" s="12">
        <v>390000</v>
      </c>
      <c r="I629" s="11" t="s">
        <v>104</v>
      </c>
    </row>
    <row r="630" spans="1:9" ht="15" customHeight="1" x14ac:dyDescent="0.25">
      <c r="A630" s="14" t="s">
        <v>3278</v>
      </c>
      <c r="B630" s="11" t="s">
        <v>3279</v>
      </c>
      <c r="C630" s="11" t="s">
        <v>2380</v>
      </c>
      <c r="D630" s="11" t="s">
        <v>2391</v>
      </c>
      <c r="E630" s="13">
        <v>36</v>
      </c>
      <c r="F630" s="13">
        <v>0</v>
      </c>
      <c r="G630" s="11" t="s">
        <v>2161</v>
      </c>
      <c r="H630" s="12">
        <v>728299.60560000001</v>
      </c>
      <c r="I630" s="11" t="s">
        <v>74</v>
      </c>
    </row>
    <row r="631" spans="1:9" ht="15" customHeight="1" x14ac:dyDescent="0.25">
      <c r="A631" s="14" t="s">
        <v>3280</v>
      </c>
      <c r="B631" s="11" t="s">
        <v>3281</v>
      </c>
      <c r="C631" s="11" t="s">
        <v>2380</v>
      </c>
      <c r="D631" s="11" t="s">
        <v>1005</v>
      </c>
      <c r="E631" s="13">
        <v>0</v>
      </c>
      <c r="F631" s="13">
        <v>0</v>
      </c>
      <c r="G631" s="11" t="s">
        <v>2169</v>
      </c>
      <c r="H631" s="12">
        <v>0</v>
      </c>
      <c r="I631" s="11" t="s">
        <v>1081</v>
      </c>
    </row>
    <row r="632" spans="1:9" ht="15" customHeight="1" x14ac:dyDescent="0.25">
      <c r="A632" s="14" t="s">
        <v>3282</v>
      </c>
      <c r="B632" s="11" t="s">
        <v>1082</v>
      </c>
      <c r="C632" s="11" t="s">
        <v>2318</v>
      </c>
      <c r="D632" s="11" t="s">
        <v>2200</v>
      </c>
      <c r="E632" s="13">
        <v>0</v>
      </c>
      <c r="F632" s="13">
        <v>0</v>
      </c>
      <c r="G632" s="11" t="s">
        <v>2169</v>
      </c>
      <c r="H632" s="12">
        <v>0</v>
      </c>
      <c r="I632" s="11" t="s">
        <v>1083</v>
      </c>
    </row>
    <row r="633" spans="1:9" ht="15" customHeight="1" x14ac:dyDescent="0.25">
      <c r="A633" s="14" t="s">
        <v>3283</v>
      </c>
      <c r="B633" s="11" t="s">
        <v>1084</v>
      </c>
      <c r="C633" s="11" t="s">
        <v>2181</v>
      </c>
      <c r="D633" s="11" t="s">
        <v>1005</v>
      </c>
      <c r="E633" s="13">
        <v>276</v>
      </c>
      <c r="F633" s="13">
        <v>0</v>
      </c>
      <c r="G633" s="11" t="s">
        <v>2161</v>
      </c>
      <c r="H633" s="12">
        <v>414000</v>
      </c>
      <c r="I633" s="11" t="s">
        <v>456</v>
      </c>
    </row>
    <row r="634" spans="1:9" ht="15" customHeight="1" x14ac:dyDescent="0.25">
      <c r="A634" s="14" t="s">
        <v>3284</v>
      </c>
      <c r="B634" s="11" t="s">
        <v>1085</v>
      </c>
      <c r="C634" s="11" t="s">
        <v>2181</v>
      </c>
      <c r="D634" s="11" t="s">
        <v>1005</v>
      </c>
      <c r="E634" s="13">
        <v>2820</v>
      </c>
      <c r="F634" s="13">
        <v>0</v>
      </c>
      <c r="G634" s="11" t="s">
        <v>2161</v>
      </c>
      <c r="H634" s="12">
        <v>3995000.094</v>
      </c>
      <c r="I634" s="11" t="s">
        <v>155</v>
      </c>
    </row>
    <row r="635" spans="1:9" ht="15" customHeight="1" x14ac:dyDescent="0.25">
      <c r="A635" s="14" t="s">
        <v>3285</v>
      </c>
      <c r="B635" s="11" t="s">
        <v>1088</v>
      </c>
      <c r="C635" s="11" t="s">
        <v>2181</v>
      </c>
      <c r="D635" s="11" t="s">
        <v>1005</v>
      </c>
      <c r="E635" s="13">
        <v>2460</v>
      </c>
      <c r="F635" s="13">
        <v>0</v>
      </c>
      <c r="G635" s="11" t="s">
        <v>2161</v>
      </c>
      <c r="H635" s="12">
        <v>4715000.0820000004</v>
      </c>
      <c r="I635" s="11" t="s">
        <v>156</v>
      </c>
    </row>
    <row r="636" spans="1:9" ht="15" customHeight="1" x14ac:dyDescent="0.25">
      <c r="A636" s="14" t="s">
        <v>3286</v>
      </c>
      <c r="B636" s="11" t="s">
        <v>3287</v>
      </c>
      <c r="C636" s="11" t="s">
        <v>2181</v>
      </c>
      <c r="D636" s="11" t="s">
        <v>1005</v>
      </c>
      <c r="E636" s="13">
        <v>0</v>
      </c>
      <c r="F636" s="13">
        <v>0</v>
      </c>
      <c r="G636" s="11" t="s">
        <v>2169</v>
      </c>
      <c r="H636" s="12">
        <v>0</v>
      </c>
      <c r="I636" s="11" t="s">
        <v>1574</v>
      </c>
    </row>
    <row r="637" spans="1:9" ht="15" customHeight="1" x14ac:dyDescent="0.25">
      <c r="A637" s="14" t="s">
        <v>3288</v>
      </c>
      <c r="B637" s="11" t="s">
        <v>3289</v>
      </c>
      <c r="C637" s="11" t="s">
        <v>2181</v>
      </c>
      <c r="D637" s="11" t="s">
        <v>1005</v>
      </c>
      <c r="E637" s="13">
        <v>0</v>
      </c>
      <c r="F637" s="13">
        <v>0</v>
      </c>
      <c r="G637" s="11" t="s">
        <v>2169</v>
      </c>
      <c r="H637" s="12">
        <v>0</v>
      </c>
      <c r="I637" s="11" t="s">
        <v>1746</v>
      </c>
    </row>
    <row r="638" spans="1:9" ht="15" customHeight="1" x14ac:dyDescent="0.25">
      <c r="A638" s="14" t="s">
        <v>3290</v>
      </c>
      <c r="B638" s="11" t="s">
        <v>3291</v>
      </c>
      <c r="C638" s="11" t="s">
        <v>2181</v>
      </c>
      <c r="D638" s="11" t="s">
        <v>1005</v>
      </c>
      <c r="E638" s="13">
        <v>1380</v>
      </c>
      <c r="F638" s="13">
        <v>0</v>
      </c>
      <c r="G638" s="11" t="s">
        <v>2161</v>
      </c>
      <c r="H638" s="12">
        <v>5148461.4960000003</v>
      </c>
      <c r="I638" s="11" t="s">
        <v>106</v>
      </c>
    </row>
    <row r="639" spans="1:9" ht="15" customHeight="1" x14ac:dyDescent="0.25">
      <c r="A639" s="14" t="s">
        <v>3292</v>
      </c>
      <c r="B639" s="11" t="s">
        <v>3293</v>
      </c>
      <c r="C639" s="11" t="s">
        <v>2181</v>
      </c>
      <c r="D639" s="11" t="s">
        <v>1005</v>
      </c>
      <c r="E639" s="13">
        <v>0</v>
      </c>
      <c r="F639" s="13">
        <v>0</v>
      </c>
      <c r="G639" s="11" t="s">
        <v>2169</v>
      </c>
      <c r="H639" s="12">
        <v>0</v>
      </c>
      <c r="I639" s="11" t="s">
        <v>3294</v>
      </c>
    </row>
    <row r="640" spans="1:9" ht="15" customHeight="1" x14ac:dyDescent="0.25">
      <c r="A640" s="14" t="s">
        <v>3295</v>
      </c>
      <c r="B640" s="11" t="s">
        <v>3296</v>
      </c>
      <c r="C640" s="11" t="s">
        <v>2181</v>
      </c>
      <c r="D640" s="11" t="s">
        <v>1005</v>
      </c>
      <c r="E640" s="13">
        <v>0</v>
      </c>
      <c r="F640" s="13">
        <v>0</v>
      </c>
      <c r="G640" s="11" t="s">
        <v>2169</v>
      </c>
      <c r="H640" s="12">
        <v>0</v>
      </c>
      <c r="I640" s="11" t="s">
        <v>3297</v>
      </c>
    </row>
    <row r="641" spans="1:9" ht="15" customHeight="1" x14ac:dyDescent="0.25">
      <c r="A641" s="14" t="s">
        <v>3298</v>
      </c>
      <c r="B641" s="11" t="s">
        <v>3299</v>
      </c>
      <c r="C641" s="11" t="s">
        <v>2181</v>
      </c>
      <c r="D641" s="11" t="s">
        <v>1005</v>
      </c>
      <c r="E641" s="13">
        <v>0</v>
      </c>
      <c r="F641" s="13">
        <v>0</v>
      </c>
      <c r="G641" s="11" t="s">
        <v>2169</v>
      </c>
      <c r="H641" s="12">
        <v>0</v>
      </c>
      <c r="I641" s="11" t="s">
        <v>1790</v>
      </c>
    </row>
    <row r="642" spans="1:9" ht="15" customHeight="1" x14ac:dyDescent="0.25">
      <c r="A642" s="14" t="s">
        <v>3300</v>
      </c>
      <c r="B642" s="11" t="s">
        <v>3301</v>
      </c>
      <c r="C642" s="11" t="s">
        <v>2181</v>
      </c>
      <c r="D642" s="11" t="s">
        <v>1005</v>
      </c>
      <c r="E642" s="13">
        <v>0</v>
      </c>
      <c r="F642" s="13">
        <v>0</v>
      </c>
      <c r="G642" s="11" t="s">
        <v>2169</v>
      </c>
      <c r="H642" s="12">
        <v>0</v>
      </c>
      <c r="I642" s="11" t="s">
        <v>3302</v>
      </c>
    </row>
    <row r="643" spans="1:9" ht="15" customHeight="1" x14ac:dyDescent="0.25">
      <c r="A643" s="14" t="s">
        <v>3303</v>
      </c>
      <c r="B643" s="11" t="s">
        <v>3304</v>
      </c>
      <c r="C643" s="11" t="s">
        <v>2480</v>
      </c>
      <c r="D643" s="11" t="s">
        <v>922</v>
      </c>
      <c r="E643" s="13">
        <v>380</v>
      </c>
      <c r="F643" s="13">
        <v>0</v>
      </c>
      <c r="G643" s="11" t="s">
        <v>2161</v>
      </c>
      <c r="H643" s="12">
        <v>16272550</v>
      </c>
      <c r="I643" s="11" t="s">
        <v>457</v>
      </c>
    </row>
    <row r="644" spans="1:9" ht="15" customHeight="1" x14ac:dyDescent="0.25">
      <c r="A644" s="14" t="s">
        <v>3305</v>
      </c>
      <c r="B644" s="11" t="s">
        <v>3306</v>
      </c>
      <c r="C644" s="11" t="s">
        <v>2480</v>
      </c>
      <c r="D644" s="11" t="s">
        <v>922</v>
      </c>
      <c r="E644" s="13">
        <v>100</v>
      </c>
      <c r="F644" s="13">
        <v>0</v>
      </c>
      <c r="G644" s="11" t="s">
        <v>2161</v>
      </c>
      <c r="H644" s="12">
        <v>8580300</v>
      </c>
      <c r="I644" s="11" t="s">
        <v>30</v>
      </c>
    </row>
    <row r="645" spans="1:9" ht="15" customHeight="1" x14ac:dyDescent="0.25">
      <c r="A645" s="14" t="s">
        <v>3307</v>
      </c>
      <c r="B645" s="11" t="s">
        <v>3308</v>
      </c>
      <c r="C645" s="11" t="s">
        <v>2175</v>
      </c>
      <c r="D645" s="11" t="s">
        <v>1005</v>
      </c>
      <c r="E645" s="13">
        <v>61</v>
      </c>
      <c r="F645" s="13">
        <v>0</v>
      </c>
      <c r="G645" s="11" t="s">
        <v>2161</v>
      </c>
      <c r="H645" s="12">
        <v>144875</v>
      </c>
      <c r="I645" s="11" t="s">
        <v>448</v>
      </c>
    </row>
    <row r="646" spans="1:9" ht="15" customHeight="1" x14ac:dyDescent="0.25">
      <c r="A646" s="14" t="s">
        <v>3309</v>
      </c>
      <c r="B646" s="11" t="s">
        <v>3310</v>
      </c>
      <c r="C646" s="11" t="s">
        <v>2160</v>
      </c>
      <c r="D646" s="11" t="s">
        <v>922</v>
      </c>
      <c r="E646" s="13">
        <v>1065</v>
      </c>
      <c r="F646" s="13">
        <v>0</v>
      </c>
      <c r="G646" s="11" t="s">
        <v>2161</v>
      </c>
      <c r="H646" s="12">
        <v>28222500</v>
      </c>
      <c r="I646" s="11" t="s">
        <v>449</v>
      </c>
    </row>
    <row r="647" spans="1:9" ht="15" customHeight="1" x14ac:dyDescent="0.25">
      <c r="A647" s="14" t="s">
        <v>3311</v>
      </c>
      <c r="B647" s="11" t="s">
        <v>1097</v>
      </c>
      <c r="C647" s="11" t="s">
        <v>2480</v>
      </c>
      <c r="D647" s="11" t="s">
        <v>922</v>
      </c>
      <c r="E647" s="13">
        <v>0</v>
      </c>
      <c r="F647" s="13">
        <v>0</v>
      </c>
      <c r="G647" s="11" t="s">
        <v>2169</v>
      </c>
      <c r="H647" s="12">
        <v>0</v>
      </c>
      <c r="I647" s="11" t="s">
        <v>1098</v>
      </c>
    </row>
    <row r="648" spans="1:9" ht="15" customHeight="1" x14ac:dyDescent="0.25">
      <c r="A648" s="14" t="s">
        <v>3312</v>
      </c>
      <c r="B648" s="11" t="s">
        <v>1099</v>
      </c>
      <c r="C648" s="11" t="s">
        <v>2480</v>
      </c>
      <c r="D648" s="11" t="s">
        <v>922</v>
      </c>
      <c r="E648" s="13">
        <v>350</v>
      </c>
      <c r="F648" s="13">
        <v>0</v>
      </c>
      <c r="G648" s="11" t="s">
        <v>2161</v>
      </c>
      <c r="H648" s="12">
        <v>19774650</v>
      </c>
      <c r="I648" s="11" t="s">
        <v>458</v>
      </c>
    </row>
    <row r="649" spans="1:9" ht="15" customHeight="1" x14ac:dyDescent="0.25">
      <c r="A649" s="14" t="s">
        <v>3313</v>
      </c>
      <c r="B649" s="11" t="s">
        <v>1100</v>
      </c>
      <c r="C649" s="11" t="s">
        <v>2480</v>
      </c>
      <c r="D649" s="11" t="s">
        <v>922</v>
      </c>
      <c r="E649" s="13">
        <v>140</v>
      </c>
      <c r="F649" s="13">
        <v>0</v>
      </c>
      <c r="G649" s="11" t="s">
        <v>2161</v>
      </c>
      <c r="H649" s="12">
        <v>6775440</v>
      </c>
      <c r="I649" s="11" t="s">
        <v>459</v>
      </c>
    </row>
    <row r="650" spans="1:9" ht="15" customHeight="1" x14ac:dyDescent="0.25">
      <c r="A650" s="14" t="s">
        <v>3314</v>
      </c>
      <c r="B650" s="11" t="s">
        <v>3315</v>
      </c>
      <c r="C650" s="11" t="s">
        <v>2480</v>
      </c>
      <c r="D650" s="11" t="s">
        <v>922</v>
      </c>
      <c r="E650" s="13">
        <v>20</v>
      </c>
      <c r="F650" s="13">
        <v>0</v>
      </c>
      <c r="G650" s="11" t="s">
        <v>2161</v>
      </c>
      <c r="H650" s="12">
        <v>291000</v>
      </c>
      <c r="I650" s="11" t="s">
        <v>450</v>
      </c>
    </row>
    <row r="651" spans="1:9" ht="15" customHeight="1" x14ac:dyDescent="0.25">
      <c r="A651" s="14" t="s">
        <v>3316</v>
      </c>
      <c r="B651" s="11" t="s">
        <v>3317</v>
      </c>
      <c r="C651" s="11" t="s">
        <v>2480</v>
      </c>
      <c r="D651" s="11" t="s">
        <v>2200</v>
      </c>
      <c r="E651" s="13">
        <v>53000</v>
      </c>
      <c r="F651" s="13">
        <v>0</v>
      </c>
      <c r="G651" s="11" t="s">
        <v>2161</v>
      </c>
      <c r="H651" s="12">
        <v>1802000</v>
      </c>
      <c r="I651" s="11" t="s">
        <v>451</v>
      </c>
    </row>
    <row r="652" spans="1:9" ht="15" customHeight="1" x14ac:dyDescent="0.25">
      <c r="A652" s="14" t="s">
        <v>3318</v>
      </c>
      <c r="B652" s="11" t="s">
        <v>1578</v>
      </c>
      <c r="C652" s="11" t="s">
        <v>2460</v>
      </c>
      <c r="D652" s="11" t="s">
        <v>922</v>
      </c>
      <c r="E652" s="13">
        <v>0</v>
      </c>
      <c r="F652" s="13">
        <v>0</v>
      </c>
      <c r="G652" s="11" t="s">
        <v>2169</v>
      </c>
      <c r="H652" s="12">
        <v>0</v>
      </c>
      <c r="I652" s="11" t="s">
        <v>118</v>
      </c>
    </row>
    <row r="653" spans="1:9" ht="15" customHeight="1" x14ac:dyDescent="0.25">
      <c r="A653" s="14" t="s">
        <v>3319</v>
      </c>
      <c r="B653" s="11" t="s">
        <v>3320</v>
      </c>
      <c r="C653" s="11" t="s">
        <v>2480</v>
      </c>
      <c r="D653" s="11" t="s">
        <v>922</v>
      </c>
      <c r="E653" s="13">
        <v>20</v>
      </c>
      <c r="F653" s="13">
        <v>0</v>
      </c>
      <c r="G653" s="11" t="s">
        <v>2161</v>
      </c>
      <c r="H653" s="12">
        <v>400000</v>
      </c>
      <c r="I653" s="11" t="s">
        <v>103</v>
      </c>
    </row>
    <row r="654" spans="1:9" ht="15" customHeight="1" x14ac:dyDescent="0.25">
      <c r="A654" s="14" t="s">
        <v>3321</v>
      </c>
      <c r="B654" s="11" t="s">
        <v>3322</v>
      </c>
      <c r="C654" s="11" t="s">
        <v>2480</v>
      </c>
      <c r="D654" s="11" t="s">
        <v>922</v>
      </c>
      <c r="E654" s="13">
        <v>0</v>
      </c>
      <c r="F654" s="13">
        <v>5</v>
      </c>
      <c r="G654" s="11" t="s">
        <v>2169</v>
      </c>
      <c r="H654" s="12">
        <v>0</v>
      </c>
      <c r="I654" s="11" t="s">
        <v>1295</v>
      </c>
    </row>
    <row r="655" spans="1:9" ht="15" customHeight="1" x14ac:dyDescent="0.25">
      <c r="A655" s="14" t="s">
        <v>3323</v>
      </c>
      <c r="B655" s="11" t="s">
        <v>3324</v>
      </c>
      <c r="C655" s="11" t="s">
        <v>2480</v>
      </c>
      <c r="D655" s="11" t="s">
        <v>2200</v>
      </c>
      <c r="E655" s="13">
        <v>0</v>
      </c>
      <c r="F655" s="13">
        <v>0</v>
      </c>
      <c r="G655" s="11" t="s">
        <v>2169</v>
      </c>
      <c r="H655" s="12">
        <v>0</v>
      </c>
      <c r="I655" s="11" t="s">
        <v>1721</v>
      </c>
    </row>
    <row r="656" spans="1:9" ht="15" customHeight="1" x14ac:dyDescent="0.25">
      <c r="A656" s="14" t="s">
        <v>3325</v>
      </c>
      <c r="B656" s="11" t="s">
        <v>1113</v>
      </c>
      <c r="C656" s="11" t="s">
        <v>2480</v>
      </c>
      <c r="D656" s="11" t="s">
        <v>922</v>
      </c>
      <c r="E656" s="13">
        <v>20</v>
      </c>
      <c r="F656" s="13">
        <v>2</v>
      </c>
      <c r="G656" s="11" t="s">
        <v>2161</v>
      </c>
      <c r="H656" s="12">
        <v>758000</v>
      </c>
      <c r="I656" s="11" t="s">
        <v>460</v>
      </c>
    </row>
    <row r="657" spans="1:9" ht="15" customHeight="1" x14ac:dyDescent="0.25">
      <c r="A657" s="14" t="s">
        <v>3326</v>
      </c>
      <c r="B657" s="11" t="s">
        <v>3327</v>
      </c>
      <c r="C657" s="11" t="s">
        <v>2480</v>
      </c>
      <c r="D657" s="11" t="s">
        <v>922</v>
      </c>
      <c r="E657" s="13">
        <v>0</v>
      </c>
      <c r="F657" s="13">
        <v>0</v>
      </c>
      <c r="G657" s="11" t="s">
        <v>2169</v>
      </c>
      <c r="H657" s="12">
        <v>0</v>
      </c>
      <c r="I657" s="11" t="s">
        <v>56</v>
      </c>
    </row>
    <row r="658" spans="1:9" ht="15" customHeight="1" x14ac:dyDescent="0.25">
      <c r="A658" s="14" t="s">
        <v>3328</v>
      </c>
      <c r="B658" s="11" t="s">
        <v>1310</v>
      </c>
      <c r="C658" s="11" t="s">
        <v>2480</v>
      </c>
      <c r="D658" s="11" t="s">
        <v>922</v>
      </c>
      <c r="E658" s="13">
        <v>725</v>
      </c>
      <c r="F658" s="13">
        <v>25</v>
      </c>
      <c r="G658" s="11" t="s">
        <v>2161</v>
      </c>
      <c r="H658" s="12">
        <v>5951158.9474999998</v>
      </c>
      <c r="I658" s="11" t="s">
        <v>35</v>
      </c>
    </row>
    <row r="659" spans="1:9" ht="15" customHeight="1" x14ac:dyDescent="0.25">
      <c r="A659" s="14" t="s">
        <v>3329</v>
      </c>
      <c r="B659" s="11" t="s">
        <v>3330</v>
      </c>
      <c r="C659" s="11" t="s">
        <v>2480</v>
      </c>
      <c r="D659" s="11" t="s">
        <v>922</v>
      </c>
      <c r="E659" s="13">
        <v>0</v>
      </c>
      <c r="F659" s="13">
        <v>0</v>
      </c>
      <c r="G659" s="11" t="s">
        <v>2169</v>
      </c>
      <c r="H659" s="12">
        <v>0</v>
      </c>
      <c r="I659" s="11" t="s">
        <v>1662</v>
      </c>
    </row>
    <row r="660" spans="1:9" ht="15" customHeight="1" x14ac:dyDescent="0.25">
      <c r="A660" s="14" t="s">
        <v>3331</v>
      </c>
      <c r="B660" s="11" t="s">
        <v>3332</v>
      </c>
      <c r="C660" s="11" t="s">
        <v>2480</v>
      </c>
      <c r="D660" s="11" t="s">
        <v>922</v>
      </c>
      <c r="E660" s="13">
        <v>800</v>
      </c>
      <c r="F660" s="13">
        <v>25</v>
      </c>
      <c r="G660" s="11" t="s">
        <v>2161</v>
      </c>
      <c r="H660" s="12">
        <v>7296000</v>
      </c>
      <c r="I660" s="11" t="s">
        <v>46</v>
      </c>
    </row>
    <row r="661" spans="1:9" ht="15" customHeight="1" x14ac:dyDescent="0.25">
      <c r="A661" s="14" t="s">
        <v>3333</v>
      </c>
      <c r="B661" s="11" t="s">
        <v>1118</v>
      </c>
      <c r="C661" s="11" t="s">
        <v>2776</v>
      </c>
      <c r="D661" s="11" t="s">
        <v>2777</v>
      </c>
      <c r="E661" s="13">
        <v>475</v>
      </c>
      <c r="F661" s="13">
        <v>0</v>
      </c>
      <c r="G661" s="11" t="s">
        <v>2161</v>
      </c>
      <c r="H661" s="12">
        <v>389500</v>
      </c>
      <c r="I661" s="11" t="s">
        <v>461</v>
      </c>
    </row>
    <row r="662" spans="1:9" ht="15" customHeight="1" x14ac:dyDescent="0.25">
      <c r="A662" s="14" t="s">
        <v>3334</v>
      </c>
      <c r="B662" s="11" t="s">
        <v>3335</v>
      </c>
      <c r="C662" s="11" t="s">
        <v>2187</v>
      </c>
      <c r="D662" s="11" t="s">
        <v>1005</v>
      </c>
      <c r="E662" s="13">
        <v>21</v>
      </c>
      <c r="F662" s="13">
        <v>0</v>
      </c>
      <c r="G662" s="11" t="s">
        <v>2161</v>
      </c>
      <c r="H662" s="12">
        <v>168000</v>
      </c>
      <c r="I662" s="11" t="s">
        <v>463</v>
      </c>
    </row>
    <row r="663" spans="1:9" ht="15" customHeight="1" x14ac:dyDescent="0.25">
      <c r="A663" s="14" t="s">
        <v>3336</v>
      </c>
      <c r="B663" s="11" t="s">
        <v>1482</v>
      </c>
      <c r="C663" s="11" t="s">
        <v>2187</v>
      </c>
      <c r="D663" s="11" t="s">
        <v>1005</v>
      </c>
      <c r="E663" s="13">
        <v>67</v>
      </c>
      <c r="F663" s="13">
        <v>0</v>
      </c>
      <c r="G663" s="11" t="s">
        <v>2161</v>
      </c>
      <c r="H663" s="12">
        <v>502500</v>
      </c>
      <c r="I663" s="11" t="s">
        <v>462</v>
      </c>
    </row>
    <row r="664" spans="1:9" ht="15" customHeight="1" x14ac:dyDescent="0.25">
      <c r="A664" s="14" t="s">
        <v>3337</v>
      </c>
      <c r="B664" s="11" t="s">
        <v>3338</v>
      </c>
      <c r="C664" s="11" t="s">
        <v>2491</v>
      </c>
      <c r="D664" s="11" t="s">
        <v>922</v>
      </c>
      <c r="E664" s="13">
        <v>0</v>
      </c>
      <c r="F664" s="13">
        <v>0</v>
      </c>
      <c r="G664" s="11" t="s">
        <v>2169</v>
      </c>
      <c r="H664" s="12">
        <v>0</v>
      </c>
      <c r="I664" s="11" t="s">
        <v>3339</v>
      </c>
    </row>
    <row r="665" spans="1:9" ht="15" customHeight="1" x14ac:dyDescent="0.25">
      <c r="A665" s="14" t="s">
        <v>3340</v>
      </c>
      <c r="B665" s="11" t="s">
        <v>3341</v>
      </c>
      <c r="C665" s="11" t="s">
        <v>2776</v>
      </c>
      <c r="D665" s="11" t="s">
        <v>1005</v>
      </c>
      <c r="E665" s="13">
        <v>0</v>
      </c>
      <c r="F665" s="13">
        <v>0</v>
      </c>
      <c r="G665" s="11" t="s">
        <v>2169</v>
      </c>
      <c r="H665" s="12">
        <v>0</v>
      </c>
      <c r="I665" s="11" t="s">
        <v>1764</v>
      </c>
    </row>
    <row r="666" spans="1:9" ht="15" customHeight="1" x14ac:dyDescent="0.25">
      <c r="A666" s="14" t="s">
        <v>3342</v>
      </c>
      <c r="B666" s="11" t="s">
        <v>3343</v>
      </c>
      <c r="C666" s="11" t="s">
        <v>2776</v>
      </c>
      <c r="D666" s="11" t="s">
        <v>1005</v>
      </c>
      <c r="E666" s="13">
        <v>1340</v>
      </c>
      <c r="F666" s="13">
        <v>0</v>
      </c>
      <c r="G666" s="11" t="s">
        <v>2161</v>
      </c>
      <c r="H666" s="12">
        <v>8308000</v>
      </c>
      <c r="I666" s="11" t="s">
        <v>452</v>
      </c>
    </row>
    <row r="667" spans="1:9" ht="15" customHeight="1" x14ac:dyDescent="0.25">
      <c r="A667" s="14" t="s">
        <v>3344</v>
      </c>
      <c r="B667" s="11" t="s">
        <v>3345</v>
      </c>
      <c r="C667" s="11" t="s">
        <v>2776</v>
      </c>
      <c r="D667" s="11" t="s">
        <v>1005</v>
      </c>
      <c r="E667" s="13">
        <v>0</v>
      </c>
      <c r="F667" s="13">
        <v>0</v>
      </c>
      <c r="G667" s="11" t="s">
        <v>2169</v>
      </c>
      <c r="H667" s="12">
        <v>0</v>
      </c>
      <c r="I667" s="11" t="s">
        <v>1736</v>
      </c>
    </row>
    <row r="668" spans="1:9" ht="15" customHeight="1" x14ac:dyDescent="0.25">
      <c r="A668" s="14" t="s">
        <v>3346</v>
      </c>
      <c r="B668" s="11" t="s">
        <v>3347</v>
      </c>
      <c r="C668" s="11" t="s">
        <v>2187</v>
      </c>
      <c r="D668" s="11" t="s">
        <v>1005</v>
      </c>
      <c r="E668" s="13">
        <v>2900</v>
      </c>
      <c r="F668" s="13">
        <v>0</v>
      </c>
      <c r="G668" s="11" t="s">
        <v>2161</v>
      </c>
      <c r="H668" s="12">
        <v>1740000</v>
      </c>
      <c r="I668" s="11" t="s">
        <v>453</v>
      </c>
    </row>
    <row r="669" spans="1:9" ht="15" customHeight="1" x14ac:dyDescent="0.25">
      <c r="A669" s="14" t="s">
        <v>3348</v>
      </c>
      <c r="B669" s="11" t="s">
        <v>1497</v>
      </c>
      <c r="C669" s="11" t="s">
        <v>2187</v>
      </c>
      <c r="D669" s="11" t="s">
        <v>1005</v>
      </c>
      <c r="E669" s="13">
        <v>368</v>
      </c>
      <c r="F669" s="13">
        <v>0</v>
      </c>
      <c r="G669" s="11" t="s">
        <v>2161</v>
      </c>
      <c r="H669" s="12">
        <v>1104000</v>
      </c>
      <c r="I669" s="11" t="s">
        <v>464</v>
      </c>
    </row>
    <row r="670" spans="1:9" ht="15" customHeight="1" x14ac:dyDescent="0.25">
      <c r="A670" s="14" t="s">
        <v>3349</v>
      </c>
      <c r="B670" s="11" t="s">
        <v>1498</v>
      </c>
      <c r="C670" s="11" t="s">
        <v>2187</v>
      </c>
      <c r="D670" s="11" t="s">
        <v>1005</v>
      </c>
      <c r="E670" s="13">
        <v>0</v>
      </c>
      <c r="F670" s="13">
        <v>0</v>
      </c>
      <c r="G670" s="11" t="s">
        <v>2169</v>
      </c>
      <c r="H670" s="12">
        <v>0</v>
      </c>
      <c r="I670" s="11" t="s">
        <v>1499</v>
      </c>
    </row>
    <row r="671" spans="1:9" ht="15" customHeight="1" x14ac:dyDescent="0.25">
      <c r="A671" s="14" t="s">
        <v>3350</v>
      </c>
      <c r="B671" s="11" t="s">
        <v>3351</v>
      </c>
      <c r="C671" s="11" t="s">
        <v>2187</v>
      </c>
      <c r="D671" s="11" t="s">
        <v>1005</v>
      </c>
      <c r="E671" s="13">
        <v>4</v>
      </c>
      <c r="F671" s="13">
        <v>0</v>
      </c>
      <c r="G671" s="11" t="s">
        <v>2161</v>
      </c>
      <c r="H671" s="12">
        <v>20000</v>
      </c>
      <c r="I671" s="11" t="s">
        <v>465</v>
      </c>
    </row>
    <row r="672" spans="1:9" ht="15" customHeight="1" x14ac:dyDescent="0.25">
      <c r="A672" s="14" t="s">
        <v>3352</v>
      </c>
      <c r="B672" s="11" t="s">
        <v>3353</v>
      </c>
      <c r="C672" s="11" t="s">
        <v>2187</v>
      </c>
      <c r="D672" s="11" t="s">
        <v>1005</v>
      </c>
      <c r="E672" s="13">
        <v>66</v>
      </c>
      <c r="F672" s="13">
        <v>0</v>
      </c>
      <c r="G672" s="11" t="s">
        <v>2161</v>
      </c>
      <c r="H672" s="12">
        <v>429000</v>
      </c>
      <c r="I672" s="11" t="s">
        <v>454</v>
      </c>
    </row>
    <row r="673" spans="1:9" ht="15" customHeight="1" x14ac:dyDescent="0.25">
      <c r="A673" s="14" t="s">
        <v>3354</v>
      </c>
      <c r="B673" s="11" t="s">
        <v>3355</v>
      </c>
      <c r="C673" s="11" t="s">
        <v>2187</v>
      </c>
      <c r="D673" s="11" t="s">
        <v>1005</v>
      </c>
      <c r="E673" s="13">
        <v>0</v>
      </c>
      <c r="F673" s="13">
        <v>0</v>
      </c>
      <c r="G673" s="11" t="s">
        <v>2169</v>
      </c>
      <c r="H673" s="12">
        <v>0</v>
      </c>
      <c r="I673" s="11" t="s">
        <v>80</v>
      </c>
    </row>
    <row r="674" spans="1:9" ht="15" customHeight="1" x14ac:dyDescent="0.25">
      <c r="A674" s="14" t="s">
        <v>3356</v>
      </c>
      <c r="B674" s="11" t="s">
        <v>3357</v>
      </c>
      <c r="C674" s="11" t="s">
        <v>2187</v>
      </c>
      <c r="D674" s="11" t="s">
        <v>1005</v>
      </c>
      <c r="E674" s="13">
        <v>163200</v>
      </c>
      <c r="F674" s="13">
        <v>0</v>
      </c>
      <c r="G674" s="11" t="s">
        <v>2161</v>
      </c>
      <c r="H674" s="12">
        <v>90739200</v>
      </c>
      <c r="I674" s="11" t="s">
        <v>455</v>
      </c>
    </row>
    <row r="675" spans="1:9" ht="15" customHeight="1" x14ac:dyDescent="0.25">
      <c r="A675" s="14" t="s">
        <v>3358</v>
      </c>
      <c r="B675" s="11" t="s">
        <v>3359</v>
      </c>
      <c r="C675" s="11" t="s">
        <v>2187</v>
      </c>
      <c r="D675" s="11" t="s">
        <v>1005</v>
      </c>
      <c r="E675" s="13">
        <v>0</v>
      </c>
      <c r="F675" s="13">
        <v>0</v>
      </c>
      <c r="G675" s="11" t="s">
        <v>2169</v>
      </c>
      <c r="H675" s="12">
        <v>0</v>
      </c>
      <c r="I675" s="11" t="s">
        <v>3360</v>
      </c>
    </row>
    <row r="676" spans="1:9" ht="15" customHeight="1" x14ac:dyDescent="0.25">
      <c r="A676" s="14" t="s">
        <v>3361</v>
      </c>
      <c r="B676" s="11" t="s">
        <v>3362</v>
      </c>
      <c r="C676" s="11" t="s">
        <v>2187</v>
      </c>
      <c r="D676" s="11" t="s">
        <v>1005</v>
      </c>
      <c r="E676" s="13">
        <v>216</v>
      </c>
      <c r="F676" s="13">
        <v>0</v>
      </c>
      <c r="G676" s="11" t="s">
        <v>2161</v>
      </c>
      <c r="H676" s="12">
        <v>756000</v>
      </c>
      <c r="I676" s="11" t="s">
        <v>466</v>
      </c>
    </row>
    <row r="677" spans="1:9" ht="15" customHeight="1" x14ac:dyDescent="0.25">
      <c r="A677" s="14" t="s">
        <v>3363</v>
      </c>
      <c r="B677" s="11" t="s">
        <v>3364</v>
      </c>
      <c r="C677" s="11" t="s">
        <v>2187</v>
      </c>
      <c r="D677" s="11" t="s">
        <v>1005</v>
      </c>
      <c r="E677" s="13">
        <v>156</v>
      </c>
      <c r="F677" s="13">
        <v>0</v>
      </c>
      <c r="G677" s="11" t="s">
        <v>2161</v>
      </c>
      <c r="H677" s="12">
        <v>546000</v>
      </c>
      <c r="I677" s="11" t="s">
        <v>150</v>
      </c>
    </row>
    <row r="678" spans="1:9" ht="15" customHeight="1" x14ac:dyDescent="0.25">
      <c r="A678" s="14" t="s">
        <v>3365</v>
      </c>
      <c r="B678" s="11" t="s">
        <v>3366</v>
      </c>
      <c r="C678" s="11" t="s">
        <v>2187</v>
      </c>
      <c r="D678" s="11" t="s">
        <v>1005</v>
      </c>
      <c r="E678" s="13">
        <v>84</v>
      </c>
      <c r="F678" s="13">
        <v>0</v>
      </c>
      <c r="G678" s="11" t="s">
        <v>2161</v>
      </c>
      <c r="H678" s="12">
        <v>294000</v>
      </c>
      <c r="I678" s="11" t="s">
        <v>467</v>
      </c>
    </row>
    <row r="679" spans="1:9" ht="15" customHeight="1" x14ac:dyDescent="0.25">
      <c r="A679" s="14" t="s">
        <v>3367</v>
      </c>
      <c r="B679" s="11" t="s">
        <v>3368</v>
      </c>
      <c r="C679" s="11" t="s">
        <v>2187</v>
      </c>
      <c r="D679" s="11" t="s">
        <v>1005</v>
      </c>
      <c r="E679" s="13">
        <v>132</v>
      </c>
      <c r="F679" s="13">
        <v>0</v>
      </c>
      <c r="G679" s="11" t="s">
        <v>2161</v>
      </c>
      <c r="H679" s="12">
        <v>462000</v>
      </c>
      <c r="I679" s="11" t="s">
        <v>470</v>
      </c>
    </row>
    <row r="680" spans="1:9" ht="15" customHeight="1" x14ac:dyDescent="0.25">
      <c r="A680" s="14" t="s">
        <v>3369</v>
      </c>
      <c r="B680" s="11" t="s">
        <v>3370</v>
      </c>
      <c r="C680" s="11" t="s">
        <v>2187</v>
      </c>
      <c r="D680" s="11" t="s">
        <v>1005</v>
      </c>
      <c r="E680" s="13">
        <v>144</v>
      </c>
      <c r="F680" s="13">
        <v>0</v>
      </c>
      <c r="G680" s="11" t="s">
        <v>2161</v>
      </c>
      <c r="H680" s="12">
        <v>504000</v>
      </c>
      <c r="I680" s="11" t="s">
        <v>468</v>
      </c>
    </row>
    <row r="681" spans="1:9" ht="15" customHeight="1" x14ac:dyDescent="0.25">
      <c r="A681" s="14" t="s">
        <v>3371</v>
      </c>
      <c r="B681" s="11" t="s">
        <v>3372</v>
      </c>
      <c r="C681" s="11" t="s">
        <v>2187</v>
      </c>
      <c r="D681" s="11" t="s">
        <v>1005</v>
      </c>
      <c r="E681" s="13">
        <v>156</v>
      </c>
      <c r="F681" s="13">
        <v>0</v>
      </c>
      <c r="G681" s="11" t="s">
        <v>2161</v>
      </c>
      <c r="H681" s="12">
        <v>546000</v>
      </c>
      <c r="I681" s="11" t="s">
        <v>469</v>
      </c>
    </row>
    <row r="682" spans="1:9" ht="15" customHeight="1" x14ac:dyDescent="0.25">
      <c r="A682" s="14" t="s">
        <v>3373</v>
      </c>
      <c r="B682" s="11" t="s">
        <v>3374</v>
      </c>
      <c r="C682" s="11" t="s">
        <v>2195</v>
      </c>
      <c r="D682" s="11" t="s">
        <v>922</v>
      </c>
      <c r="E682" s="13">
        <v>563.99919599999998</v>
      </c>
      <c r="F682" s="13">
        <v>0</v>
      </c>
      <c r="G682" s="11" t="s">
        <v>2161</v>
      </c>
      <c r="H682" s="12">
        <v>27071961.408</v>
      </c>
      <c r="I682" s="11" t="s">
        <v>26</v>
      </c>
    </row>
    <row r="683" spans="1:9" ht="15" customHeight="1" x14ac:dyDescent="0.25">
      <c r="A683" s="14" t="s">
        <v>3375</v>
      </c>
      <c r="B683" s="11" t="s">
        <v>3376</v>
      </c>
      <c r="C683" s="11" t="s">
        <v>2195</v>
      </c>
      <c r="D683" s="11" t="s">
        <v>922</v>
      </c>
      <c r="E683" s="13">
        <v>0</v>
      </c>
      <c r="F683" s="13">
        <v>0</v>
      </c>
      <c r="G683" s="11" t="s">
        <v>2169</v>
      </c>
      <c r="H683" s="12">
        <v>0</v>
      </c>
      <c r="I683" s="11" t="s">
        <v>1191</v>
      </c>
    </row>
    <row r="684" spans="1:9" ht="15" customHeight="1" x14ac:dyDescent="0.25">
      <c r="A684" s="14" t="s">
        <v>3377</v>
      </c>
      <c r="B684" s="11" t="s">
        <v>1483</v>
      </c>
      <c r="C684" s="11" t="s">
        <v>2278</v>
      </c>
      <c r="D684" s="11" t="s">
        <v>3378</v>
      </c>
      <c r="E684" s="13">
        <v>575</v>
      </c>
      <c r="F684" s="13">
        <v>0</v>
      </c>
      <c r="G684" s="11" t="s">
        <v>2161</v>
      </c>
      <c r="H684" s="12">
        <v>12051149</v>
      </c>
      <c r="I684" s="11" t="s">
        <v>471</v>
      </c>
    </row>
    <row r="685" spans="1:9" ht="15" customHeight="1" x14ac:dyDescent="0.25">
      <c r="A685" s="14" t="s">
        <v>3379</v>
      </c>
      <c r="B685" s="11" t="s">
        <v>3380</v>
      </c>
      <c r="C685" s="11" t="s">
        <v>2278</v>
      </c>
      <c r="D685" s="11" t="s">
        <v>922</v>
      </c>
      <c r="E685" s="13">
        <v>0</v>
      </c>
      <c r="F685" s="13">
        <v>0</v>
      </c>
      <c r="G685" s="11" t="s">
        <v>2169</v>
      </c>
      <c r="H685" s="12">
        <v>0</v>
      </c>
      <c r="I685" s="11" t="s">
        <v>1276</v>
      </c>
    </row>
    <row r="686" spans="1:9" ht="15" customHeight="1" x14ac:dyDescent="0.25">
      <c r="A686" s="14" t="s">
        <v>3381</v>
      </c>
      <c r="B686" s="11" t="s">
        <v>3382</v>
      </c>
      <c r="C686" s="11" t="s">
        <v>2190</v>
      </c>
      <c r="D686" s="11" t="s">
        <v>1005</v>
      </c>
      <c r="E686" s="13">
        <v>0</v>
      </c>
      <c r="F686" s="13">
        <v>0</v>
      </c>
      <c r="G686" s="11" t="s">
        <v>2169</v>
      </c>
      <c r="H686" s="12">
        <v>0</v>
      </c>
      <c r="I686" s="11" t="s">
        <v>1752</v>
      </c>
    </row>
    <row r="687" spans="1:9" ht="15" customHeight="1" x14ac:dyDescent="0.25">
      <c r="A687" s="14" t="s">
        <v>3383</v>
      </c>
      <c r="B687" s="11" t="s">
        <v>3384</v>
      </c>
      <c r="C687" s="11" t="s">
        <v>2190</v>
      </c>
      <c r="D687" s="11" t="s">
        <v>1005</v>
      </c>
      <c r="E687" s="13">
        <v>0</v>
      </c>
      <c r="F687" s="13">
        <v>0</v>
      </c>
      <c r="G687" s="11" t="s">
        <v>2169</v>
      </c>
      <c r="H687" s="12">
        <v>0</v>
      </c>
      <c r="I687" s="11" t="s">
        <v>1754</v>
      </c>
    </row>
    <row r="688" spans="1:9" ht="15" customHeight="1" x14ac:dyDescent="0.25">
      <c r="A688" s="14" t="s">
        <v>3385</v>
      </c>
      <c r="B688" s="11" t="s">
        <v>3386</v>
      </c>
      <c r="C688" s="11" t="s">
        <v>2326</v>
      </c>
      <c r="D688" s="11" t="s">
        <v>2200</v>
      </c>
      <c r="E688" s="13">
        <v>1000</v>
      </c>
      <c r="F688" s="13">
        <v>0</v>
      </c>
      <c r="G688" s="11" t="s">
        <v>2161</v>
      </c>
      <c r="H688" s="12">
        <v>500000</v>
      </c>
      <c r="I688" s="11" t="s">
        <v>472</v>
      </c>
    </row>
    <row r="689" spans="1:9" ht="15" customHeight="1" x14ac:dyDescent="0.25">
      <c r="A689" s="14" t="s">
        <v>3387</v>
      </c>
      <c r="B689" s="11" t="s">
        <v>3388</v>
      </c>
      <c r="C689" s="11" t="s">
        <v>2251</v>
      </c>
      <c r="D689" s="11" t="s">
        <v>922</v>
      </c>
      <c r="E689" s="13">
        <v>72</v>
      </c>
      <c r="F689" s="13">
        <v>0</v>
      </c>
      <c r="G689" s="11" t="s">
        <v>2161</v>
      </c>
      <c r="H689" s="12">
        <v>13536000</v>
      </c>
      <c r="I689" s="11" t="s">
        <v>473</v>
      </c>
    </row>
    <row r="690" spans="1:9" ht="15" customHeight="1" x14ac:dyDescent="0.25">
      <c r="A690" s="14" t="s">
        <v>3389</v>
      </c>
      <c r="B690" s="11" t="s">
        <v>1128</v>
      </c>
      <c r="C690" s="11" t="s">
        <v>2491</v>
      </c>
      <c r="D690" s="11" t="s">
        <v>1005</v>
      </c>
      <c r="E690" s="13">
        <v>33</v>
      </c>
      <c r="F690" s="13">
        <v>0</v>
      </c>
      <c r="G690" s="11" t="s">
        <v>2161</v>
      </c>
      <c r="H690" s="12">
        <v>512820</v>
      </c>
      <c r="I690" s="11" t="s">
        <v>474</v>
      </c>
    </row>
    <row r="691" spans="1:9" ht="15" customHeight="1" x14ac:dyDescent="0.25">
      <c r="A691" s="14" t="s">
        <v>3390</v>
      </c>
      <c r="B691" s="11" t="s">
        <v>1129</v>
      </c>
      <c r="C691" s="11" t="s">
        <v>2251</v>
      </c>
      <c r="D691" s="11" t="s">
        <v>1005</v>
      </c>
      <c r="E691" s="13">
        <v>288</v>
      </c>
      <c r="F691" s="13">
        <v>0</v>
      </c>
      <c r="G691" s="11" t="s">
        <v>2161</v>
      </c>
      <c r="H691" s="12">
        <v>1903999.9968000001</v>
      </c>
      <c r="I691" s="11" t="s">
        <v>171</v>
      </c>
    </row>
    <row r="692" spans="1:9" ht="15" customHeight="1" x14ac:dyDescent="0.25">
      <c r="A692" s="14" t="s">
        <v>3391</v>
      </c>
      <c r="B692" s="11" t="s">
        <v>3392</v>
      </c>
      <c r="C692" s="11" t="s">
        <v>2160</v>
      </c>
      <c r="D692" s="11" t="s">
        <v>922</v>
      </c>
      <c r="E692" s="13">
        <v>0</v>
      </c>
      <c r="F692" s="13">
        <v>0</v>
      </c>
      <c r="G692" s="11" t="s">
        <v>2169</v>
      </c>
      <c r="H692" s="12">
        <v>0</v>
      </c>
      <c r="I692" s="11" t="s">
        <v>1151</v>
      </c>
    </row>
    <row r="693" spans="1:9" ht="15" customHeight="1" x14ac:dyDescent="0.25">
      <c r="A693" s="14" t="s">
        <v>3393</v>
      </c>
      <c r="B693" s="11" t="s">
        <v>1152</v>
      </c>
      <c r="C693" s="11" t="s">
        <v>2491</v>
      </c>
      <c r="D693" s="11" t="s">
        <v>922</v>
      </c>
      <c r="E693" s="13">
        <v>108</v>
      </c>
      <c r="F693" s="13">
        <v>0</v>
      </c>
      <c r="G693" s="11" t="s">
        <v>2161</v>
      </c>
      <c r="H693" s="12">
        <v>10584000</v>
      </c>
      <c r="I693" s="11" t="s">
        <v>476</v>
      </c>
    </row>
    <row r="694" spans="1:9" ht="15" customHeight="1" x14ac:dyDescent="0.25">
      <c r="A694" s="14" t="s">
        <v>3394</v>
      </c>
      <c r="B694" s="11" t="s">
        <v>1153</v>
      </c>
      <c r="C694" s="11" t="s">
        <v>2302</v>
      </c>
      <c r="D694" s="11" t="s">
        <v>922</v>
      </c>
      <c r="E694" s="13">
        <v>80</v>
      </c>
      <c r="F694" s="13">
        <v>0</v>
      </c>
      <c r="G694" s="11" t="s">
        <v>2161</v>
      </c>
      <c r="H694" s="12">
        <v>4393830</v>
      </c>
      <c r="I694" s="11" t="s">
        <v>477</v>
      </c>
    </row>
    <row r="695" spans="1:9" ht="15" customHeight="1" x14ac:dyDescent="0.25">
      <c r="A695" s="14" t="s">
        <v>3395</v>
      </c>
      <c r="B695" s="11" t="s">
        <v>3396</v>
      </c>
      <c r="C695" s="11" t="s">
        <v>2262</v>
      </c>
      <c r="D695" s="11" t="s">
        <v>922</v>
      </c>
      <c r="E695" s="13">
        <v>5.35</v>
      </c>
      <c r="F695" s="13">
        <v>0</v>
      </c>
      <c r="G695" s="11" t="s">
        <v>2161</v>
      </c>
      <c r="H695" s="12">
        <v>80250</v>
      </c>
      <c r="I695" s="11" t="s">
        <v>475</v>
      </c>
    </row>
    <row r="696" spans="1:9" ht="15" customHeight="1" x14ac:dyDescent="0.25">
      <c r="A696" s="14" t="s">
        <v>3397</v>
      </c>
      <c r="B696" s="11" t="s">
        <v>3398</v>
      </c>
      <c r="C696" s="11" t="s">
        <v>2172</v>
      </c>
      <c r="D696" s="11" t="s">
        <v>922</v>
      </c>
      <c r="E696" s="13">
        <v>0</v>
      </c>
      <c r="F696" s="13">
        <v>0</v>
      </c>
      <c r="G696" s="11" t="s">
        <v>2169</v>
      </c>
      <c r="H696" s="12">
        <v>0</v>
      </c>
      <c r="I696" s="11" t="s">
        <v>3399</v>
      </c>
    </row>
    <row r="697" spans="1:9" ht="15" customHeight="1" x14ac:dyDescent="0.25">
      <c r="A697" s="14" t="s">
        <v>3400</v>
      </c>
      <c r="B697" s="11" t="s">
        <v>3401</v>
      </c>
      <c r="C697" s="11" t="s">
        <v>2172</v>
      </c>
      <c r="D697" s="11" t="s">
        <v>922</v>
      </c>
      <c r="E697" s="13">
        <v>0</v>
      </c>
      <c r="F697" s="13">
        <v>0</v>
      </c>
      <c r="G697" s="11" t="s">
        <v>2169</v>
      </c>
      <c r="H697" s="12">
        <v>0</v>
      </c>
      <c r="I697" s="11" t="s">
        <v>3402</v>
      </c>
    </row>
    <row r="698" spans="1:9" ht="15" customHeight="1" x14ac:dyDescent="0.25">
      <c r="A698" s="14" t="s">
        <v>3403</v>
      </c>
      <c r="B698" s="11" t="s">
        <v>3404</v>
      </c>
      <c r="C698" s="11" t="s">
        <v>2380</v>
      </c>
      <c r="D698" s="11" t="s">
        <v>2200</v>
      </c>
      <c r="E698" s="13">
        <v>14280</v>
      </c>
      <c r="F698" s="13">
        <v>0</v>
      </c>
      <c r="G698" s="11" t="s">
        <v>2161</v>
      </c>
      <c r="H698" s="12">
        <v>2267999.58</v>
      </c>
      <c r="I698" s="11" t="s">
        <v>153</v>
      </c>
    </row>
  </sheetData>
  <autoFilter ref="A1:I698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Ringkasan</vt:lpstr>
      <vt:lpstr>Perbandingan</vt:lpstr>
      <vt:lpstr>Data SO</vt:lpstr>
      <vt:lpstr>Data SCM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Windows User</cp:lastModifiedBy>
  <cp:revision>0</cp:revision>
  <dcterms:created xsi:type="dcterms:W3CDTF">2026-10-07T02:25:04Z</dcterms:created>
  <dcterms:modified xsi:type="dcterms:W3CDTF">2026-10-07T07:47:51Z</dcterms:modified>
  <dc:language>en-US</dc:language>
</cp:coreProperties>
</file>